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/>
  <mc:AlternateContent xmlns:mc="http://schemas.openxmlformats.org/markup-compatibility/2006">
    <mc:Choice Requires="x15">
      <x15ac:absPath xmlns:x15ac="http://schemas.microsoft.com/office/spreadsheetml/2010/11/ac" url="C:\Users\Гульнара\Desktop\КОЛЕСО ЖИЗНИ\4 КАРЬЕРА, ФИНАНСЫ, ДОКУМЕНТЫ\КАРЬЕРА\Ridges\ОТЧЕТЫ, АНАЛИТИКА\2. ИП Султанов\1. ИП Султанов WB\ИП Султанов 7 нед 09-15.02\"/>
    </mc:Choice>
  </mc:AlternateContent>
  <xr:revisionPtr revIDLastSave="0" documentId="13_ncr:1_{F26C5123-A007-44E0-A9DA-A7412B558961}" xr6:coauthVersionLast="45" xr6:coauthVersionMax="45" xr10:uidLastSave="{00000000-0000-0000-0000-000000000000}"/>
  <bookViews>
    <workbookView xWindow="-110" yWindow="-110" windowWidth="19420" windowHeight="10420" activeTab="14" xr2:uid="{00000000-000D-0000-FFFF-FFFF00000000}"/>
  </bookViews>
  <sheets>
    <sheet name="Реклама" sheetId="1" r:id="rId1"/>
    <sheet name="Сводная" sheetId="3" r:id="rId2"/>
    <sheet name="АВС 8" sheetId="27" state="hidden" r:id="rId3"/>
    <sheet name="АВС 7" sheetId="26" r:id="rId4"/>
    <sheet name="АВС 6" sheetId="21" state="hidden" r:id="rId5"/>
    <sheet name="АВС ЯНВАРЬ" sheetId="16" state="hidden" r:id="rId6"/>
    <sheet name="АВС 5" sheetId="15" state="hidden" r:id="rId7"/>
    <sheet name="АВС 4" sheetId="14" state="hidden" r:id="rId8"/>
    <sheet name="АВС 3" sheetId="7" state="hidden" r:id="rId9"/>
    <sheet name="АВС 2" sheetId="18" state="hidden" r:id="rId10"/>
    <sheet name="АВС 1" sheetId="17" state="hidden" r:id="rId11"/>
    <sheet name="ФЕВРАЛЬ" sheetId="25" r:id="rId12"/>
    <sheet name="Юнит 9" sheetId="24" state="hidden" r:id="rId13"/>
    <sheet name="Юнит 8" sheetId="23" state="hidden" r:id="rId14"/>
    <sheet name="Юнит 7" sheetId="22" r:id="rId15"/>
    <sheet name="Юнит 6" sheetId="19" state="hidden" r:id="rId16"/>
    <sheet name="ЯНВАРЬ" sheetId="13" state="hidden" r:id="rId17"/>
    <sheet name="Юнит 5" sheetId="10" state="hidden" r:id="rId18"/>
    <sheet name="Юнит 4" sheetId="9" state="hidden" r:id="rId19"/>
    <sheet name="Юнит 3" sheetId="8" state="hidden" r:id="rId20"/>
    <sheet name="Юнит 2" sheetId="11" state="hidden" r:id="rId21"/>
    <sheet name="Юнит 1" sheetId="12" state="hidden" r:id="rId2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5" i="26" l="1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4" i="26"/>
  <c r="C5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30" i="26"/>
  <c r="C23" i="26"/>
  <c r="C35" i="26"/>
  <c r="C24" i="26"/>
  <c r="C25" i="26"/>
  <c r="C31" i="26"/>
  <c r="C26" i="26"/>
  <c r="C33" i="26"/>
  <c r="C34" i="26"/>
  <c r="C27" i="26"/>
  <c r="C32" i="26"/>
  <c r="C28" i="26"/>
  <c r="C29" i="26"/>
  <c r="C4" i="26"/>
  <c r="Z10" i="3"/>
  <c r="Z4" i="22"/>
  <c r="AI4" i="22"/>
  <c r="Z5" i="22"/>
  <c r="AI5" i="22"/>
  <c r="Z6" i="22"/>
  <c r="AI6" i="22"/>
  <c r="Z7" i="22"/>
  <c r="AI7" i="22"/>
  <c r="Z8" i="22"/>
  <c r="AI8" i="22"/>
  <c r="Z9" i="22"/>
  <c r="AI9" i="22"/>
  <c r="Z10" i="22"/>
  <c r="AI10" i="22"/>
  <c r="Z11" i="22"/>
  <c r="AI11" i="22"/>
  <c r="Z12" i="22"/>
  <c r="AI12" i="22"/>
  <c r="Z13" i="22"/>
  <c r="AI13" i="22"/>
  <c r="Z14" i="22"/>
  <c r="AI14" i="22"/>
  <c r="Z15" i="22"/>
  <c r="AI15" i="22"/>
  <c r="Z16" i="22"/>
  <c r="AI16" i="22"/>
  <c r="Z17" i="22"/>
  <c r="AI17" i="22"/>
  <c r="Z18" i="22"/>
  <c r="AI18" i="22"/>
  <c r="Z19" i="22"/>
  <c r="AI19" i="22"/>
  <c r="Z20" i="22"/>
  <c r="AI20" i="22"/>
  <c r="Z21" i="22"/>
  <c r="AI21" i="22"/>
  <c r="Z22" i="22"/>
  <c r="AI22" i="22"/>
  <c r="Z23" i="22"/>
  <c r="AI23" i="22"/>
  <c r="Z24" i="22"/>
  <c r="AI24" i="22"/>
  <c r="Z25" i="22"/>
  <c r="AI25" i="22"/>
  <c r="Z26" i="22"/>
  <c r="AI26" i="22"/>
  <c r="Z27" i="22"/>
  <c r="AI27" i="22"/>
  <c r="Z28" i="22"/>
  <c r="AI28" i="22"/>
  <c r="Z29" i="22"/>
  <c r="AI29" i="22"/>
  <c r="Z30" i="22"/>
  <c r="AI30" i="22"/>
  <c r="Z31" i="22"/>
  <c r="AI31" i="22"/>
  <c r="Z32" i="22"/>
  <c r="AI32" i="22"/>
  <c r="Z33" i="22"/>
  <c r="AI33" i="22"/>
  <c r="Z34" i="22"/>
  <c r="AI34" i="22"/>
  <c r="S16" i="22"/>
  <c r="AB16" i="22" s="1"/>
  <c r="Y16" i="22"/>
  <c r="Y18" i="22"/>
  <c r="V26" i="22"/>
  <c r="S31" i="22"/>
  <c r="AB31" i="22" s="1"/>
  <c r="V31" i="22"/>
  <c r="S34" i="22"/>
  <c r="AB34" i="22" s="1"/>
  <c r="Y34" i="22"/>
  <c r="AD34" i="22" s="1"/>
  <c r="V34" i="22" l="1"/>
  <c r="S18" i="22"/>
  <c r="AB18" i="22" s="1"/>
  <c r="V22" i="22"/>
  <c r="S20" i="22"/>
  <c r="AB20" i="22" s="1"/>
  <c r="V25" i="22"/>
  <c r="Y22" i="22"/>
  <c r="AD22" i="22" s="1"/>
  <c r="Y31" i="22"/>
  <c r="AD31" i="22" s="1"/>
  <c r="Y28" i="22"/>
  <c r="AD28" i="22" s="1"/>
  <c r="V23" i="22"/>
  <c r="V18" i="22"/>
  <c r="V33" i="22"/>
  <c r="V28" i="22"/>
  <c r="S19" i="22"/>
  <c r="AB19" i="22" s="1"/>
  <c r="V17" i="22"/>
  <c r="V29" i="22"/>
  <c r="S28" i="22"/>
  <c r="AB28" i="22" s="1"/>
  <c r="Y27" i="22"/>
  <c r="S26" i="22"/>
  <c r="AB26" i="22" s="1"/>
  <c r="V19" i="22"/>
  <c r="Y33" i="22"/>
  <c r="V32" i="22"/>
  <c r="Y30" i="22"/>
  <c r="AD30" i="22" s="1"/>
  <c r="S21" i="22"/>
  <c r="AB21" i="22" s="1"/>
  <c r="Y20" i="22"/>
  <c r="V27" i="22"/>
  <c r="S24" i="22"/>
  <c r="AB24" i="22" s="1"/>
  <c r="Y23" i="22"/>
  <c r="AD23" i="22" s="1"/>
  <c r="S29" i="22"/>
  <c r="AB29" i="22" s="1"/>
  <c r="Y26" i="22"/>
  <c r="Y21" i="22"/>
  <c r="V20" i="22"/>
  <c r="S17" i="22"/>
  <c r="AB17" i="22" s="1"/>
  <c r="S32" i="22"/>
  <c r="AB32" i="22" s="1"/>
  <c r="V30" i="22"/>
  <c r="S27" i="22"/>
  <c r="AB27" i="22" s="1"/>
  <c r="S22" i="22"/>
  <c r="AB22" i="22" s="1"/>
  <c r="V16" i="22"/>
  <c r="Y29" i="22"/>
  <c r="S25" i="22"/>
  <c r="AB25" i="22" s="1"/>
  <c r="Y24" i="22"/>
  <c r="AD24" i="22" s="1"/>
  <c r="Y17" i="22"/>
  <c r="S30" i="22"/>
  <c r="AB30" i="22" s="1"/>
  <c r="S23" i="22"/>
  <c r="AB23" i="22" s="1"/>
  <c r="V21" i="22"/>
  <c r="Y19" i="22"/>
  <c r="S33" i="22"/>
  <c r="AB33" i="22" s="1"/>
  <c r="Y32" i="22"/>
  <c r="Y25" i="22"/>
  <c r="V24" i="22"/>
  <c r="AD32" i="22"/>
  <c r="AD25" i="22"/>
  <c r="AD33" i="22"/>
  <c r="AD20" i="22"/>
  <c r="AD16" i="22"/>
  <c r="AD18" i="22"/>
  <c r="AD26" i="22"/>
  <c r="AD21" i="22"/>
  <c r="AD29" i="22"/>
  <c r="AD17" i="22"/>
  <c r="AD27" i="22"/>
  <c r="AD19" i="22"/>
  <c r="I93" i="23"/>
  <c r="I93" i="24"/>
  <c r="I93" i="25"/>
  <c r="AL75" i="13"/>
  <c r="AK4" i="13"/>
  <c r="AK5" i="13"/>
  <c r="AK6" i="13"/>
  <c r="AK7" i="13"/>
  <c r="AK8" i="13"/>
  <c r="AK9" i="13"/>
  <c r="AK10" i="13"/>
  <c r="AK11" i="13"/>
  <c r="AK12" i="13"/>
  <c r="AK13" i="13"/>
  <c r="AK14" i="13"/>
  <c r="AK15" i="13"/>
  <c r="AK3" i="13"/>
  <c r="AK17" i="13"/>
  <c r="AC4" i="3"/>
  <c r="AC9" i="3"/>
  <c r="AB5" i="3"/>
  <c r="AC5" i="3"/>
  <c r="AB6" i="3"/>
  <c r="AC6" i="3"/>
  <c r="AB7" i="3"/>
  <c r="AC7" i="3"/>
  <c r="AB8" i="3"/>
  <c r="AC8" i="3"/>
  <c r="AB9" i="3"/>
  <c r="AB11" i="3"/>
  <c r="AC11" i="3"/>
  <c r="AB12" i="3"/>
  <c r="AC12" i="3"/>
  <c r="AB13" i="3"/>
  <c r="AC13" i="3"/>
  <c r="AB4" i="3"/>
  <c r="Y10" i="3" l="1"/>
  <c r="S10" i="3"/>
  <c r="E3" i="19"/>
  <c r="E4" i="22"/>
  <c r="E5" i="22"/>
  <c r="E6" i="22"/>
  <c r="E7" i="22"/>
  <c r="E8" i="22"/>
  <c r="E9" i="22"/>
  <c r="E10" i="22"/>
  <c r="E11" i="22"/>
  <c r="E12" i="22"/>
  <c r="E13" i="22"/>
  <c r="E14" i="22"/>
  <c r="E15" i="22"/>
  <c r="E16" i="22"/>
  <c r="E17" i="22"/>
  <c r="J17" i="22" s="1"/>
  <c r="E18" i="22"/>
  <c r="E19" i="22"/>
  <c r="J19" i="22" s="1"/>
  <c r="E20" i="22"/>
  <c r="E21" i="22"/>
  <c r="E22" i="22"/>
  <c r="E23" i="22"/>
  <c r="E24" i="22"/>
  <c r="J24" i="22" s="1"/>
  <c r="E25" i="22"/>
  <c r="J25" i="22" s="1"/>
  <c r="E26" i="22"/>
  <c r="E27" i="22"/>
  <c r="J27" i="22" s="1"/>
  <c r="E28" i="22"/>
  <c r="J28" i="22" s="1"/>
  <c r="E29" i="22"/>
  <c r="E30" i="22"/>
  <c r="E31" i="22"/>
  <c r="E32" i="22"/>
  <c r="E33" i="22"/>
  <c r="J33" i="22" s="1"/>
  <c r="E34" i="22"/>
  <c r="E3" i="22"/>
  <c r="E4" i="23"/>
  <c r="E5" i="23"/>
  <c r="E6" i="23"/>
  <c r="E36" i="23" s="1"/>
  <c r="E7" i="23"/>
  <c r="E8" i="23"/>
  <c r="E9" i="23"/>
  <c r="E10" i="23"/>
  <c r="E11" i="23"/>
  <c r="J11" i="23" s="1"/>
  <c r="E12" i="23"/>
  <c r="E13" i="23"/>
  <c r="E14" i="23"/>
  <c r="J14" i="23" s="1"/>
  <c r="E15" i="23"/>
  <c r="E16" i="23"/>
  <c r="E17" i="23"/>
  <c r="E18" i="23"/>
  <c r="E19" i="23"/>
  <c r="J19" i="23" s="1"/>
  <c r="E20" i="23"/>
  <c r="E21" i="23"/>
  <c r="E22" i="23"/>
  <c r="J22" i="23" s="1"/>
  <c r="E23" i="23"/>
  <c r="E24" i="23"/>
  <c r="E25" i="23"/>
  <c r="E26" i="23"/>
  <c r="E27" i="23"/>
  <c r="J27" i="23" s="1"/>
  <c r="E28" i="23"/>
  <c r="E29" i="23"/>
  <c r="E30" i="23"/>
  <c r="E31" i="23"/>
  <c r="E32" i="23"/>
  <c r="E33" i="23"/>
  <c r="E34" i="23"/>
  <c r="E3" i="23"/>
  <c r="E4" i="24"/>
  <c r="E4" i="25" s="1"/>
  <c r="E5" i="24"/>
  <c r="E6" i="24"/>
  <c r="E7" i="24"/>
  <c r="E8" i="24"/>
  <c r="E9" i="24"/>
  <c r="E9" i="25" s="1"/>
  <c r="E10" i="24"/>
  <c r="E11" i="24"/>
  <c r="J11" i="24" s="1"/>
  <c r="E12" i="24"/>
  <c r="E12" i="25" s="1"/>
  <c r="E13" i="24"/>
  <c r="E14" i="24"/>
  <c r="E15" i="24"/>
  <c r="E16" i="24"/>
  <c r="E17" i="24"/>
  <c r="E17" i="25" s="1"/>
  <c r="J17" i="25" s="1"/>
  <c r="E18" i="24"/>
  <c r="E19" i="24"/>
  <c r="E19" i="25" s="1"/>
  <c r="J19" i="25" s="1"/>
  <c r="E20" i="24"/>
  <c r="E20" i="25" s="1"/>
  <c r="J20" i="25" s="1"/>
  <c r="E21" i="24"/>
  <c r="E22" i="24"/>
  <c r="E23" i="24"/>
  <c r="E24" i="24"/>
  <c r="E25" i="24"/>
  <c r="E25" i="25" s="1"/>
  <c r="J25" i="25" s="1"/>
  <c r="E26" i="24"/>
  <c r="E27" i="24"/>
  <c r="E27" i="25" s="1"/>
  <c r="J27" i="25" s="1"/>
  <c r="E28" i="24"/>
  <c r="E28" i="25" s="1"/>
  <c r="J28" i="25" s="1"/>
  <c r="E29" i="24"/>
  <c r="E30" i="24"/>
  <c r="E31" i="24"/>
  <c r="E32" i="24"/>
  <c r="E33" i="24"/>
  <c r="E33" i="25" s="1"/>
  <c r="J33" i="25" s="1"/>
  <c r="E34" i="24"/>
  <c r="E3" i="24"/>
  <c r="J36" i="27"/>
  <c r="K29" i="27" s="1"/>
  <c r="C36" i="27"/>
  <c r="D33" i="27" s="1"/>
  <c r="D29" i="27"/>
  <c r="K28" i="27"/>
  <c r="D25" i="27"/>
  <c r="K24" i="27"/>
  <c r="D22" i="27"/>
  <c r="K21" i="27"/>
  <c r="D21" i="27"/>
  <c r="K20" i="27"/>
  <c r="D20" i="27"/>
  <c r="K19" i="27"/>
  <c r="D19" i="27"/>
  <c r="K18" i="27"/>
  <c r="D18" i="27"/>
  <c r="K17" i="27"/>
  <c r="D17" i="27"/>
  <c r="K16" i="27"/>
  <c r="D16" i="27"/>
  <c r="K15" i="27"/>
  <c r="D15" i="27"/>
  <c r="K14" i="27"/>
  <c r="D14" i="27"/>
  <c r="K13" i="27"/>
  <c r="D13" i="27"/>
  <c r="K12" i="27"/>
  <c r="D12" i="27"/>
  <c r="K11" i="27"/>
  <c r="D11" i="27"/>
  <c r="K10" i="27"/>
  <c r="D10" i="27"/>
  <c r="K9" i="27"/>
  <c r="D9" i="27"/>
  <c r="K8" i="27"/>
  <c r="D8" i="27"/>
  <c r="K7" i="27"/>
  <c r="D7" i="27"/>
  <c r="K6" i="27"/>
  <c r="D6" i="27"/>
  <c r="K5" i="27"/>
  <c r="D5" i="27"/>
  <c r="K4" i="27"/>
  <c r="K36" i="27" s="1"/>
  <c r="D4" i="27"/>
  <c r="D36" i="27" s="1"/>
  <c r="AJ36" i="25"/>
  <c r="AI36" i="25"/>
  <c r="AH36" i="25"/>
  <c r="AG36" i="25"/>
  <c r="AF36" i="25"/>
  <c r="AE36" i="25"/>
  <c r="H36" i="25"/>
  <c r="G36" i="25"/>
  <c r="F36" i="25"/>
  <c r="E34" i="25"/>
  <c r="F34" i="25"/>
  <c r="G34" i="25"/>
  <c r="H34" i="25"/>
  <c r="J34" i="25"/>
  <c r="K34" i="25"/>
  <c r="L34" i="25"/>
  <c r="Z34" i="25" s="1"/>
  <c r="Q34" i="25"/>
  <c r="S34" i="25" s="1"/>
  <c r="R34" i="25"/>
  <c r="T34" i="25"/>
  <c r="V34" i="25" s="1"/>
  <c r="AK34" i="25" s="1"/>
  <c r="U34" i="25"/>
  <c r="W34" i="25"/>
  <c r="Y34" i="25" s="1"/>
  <c r="X34" i="25"/>
  <c r="AC34" i="25"/>
  <c r="AO34" i="25"/>
  <c r="E32" i="25"/>
  <c r="J32" i="25" s="1"/>
  <c r="E31" i="25"/>
  <c r="E30" i="25"/>
  <c r="J30" i="25" s="1"/>
  <c r="E29" i="25"/>
  <c r="E26" i="25"/>
  <c r="J26" i="25" s="1"/>
  <c r="E24" i="25"/>
  <c r="E23" i="25"/>
  <c r="J23" i="25" s="1"/>
  <c r="E22" i="25"/>
  <c r="J22" i="25" s="1"/>
  <c r="E21" i="25"/>
  <c r="E18" i="25"/>
  <c r="J18" i="25" s="1"/>
  <c r="E16" i="25"/>
  <c r="J16" i="25" s="1"/>
  <c r="E15" i="25"/>
  <c r="E14" i="25"/>
  <c r="E13" i="25"/>
  <c r="E10" i="25"/>
  <c r="E8" i="25"/>
  <c r="E7" i="25"/>
  <c r="E6" i="25"/>
  <c r="E5" i="25"/>
  <c r="E3" i="25"/>
  <c r="F16" i="25"/>
  <c r="G16" i="25"/>
  <c r="H16" i="25"/>
  <c r="K16" i="25"/>
  <c r="L16" i="25"/>
  <c r="O16" i="25"/>
  <c r="Q16" i="25"/>
  <c r="AQ16" i="25" s="1"/>
  <c r="R16" i="25"/>
  <c r="T16" i="25"/>
  <c r="V16" i="25" s="1"/>
  <c r="AK16" i="25" s="1"/>
  <c r="U16" i="25"/>
  <c r="W16" i="25"/>
  <c r="Y16" i="25" s="1"/>
  <c r="X16" i="25"/>
  <c r="Z16" i="25"/>
  <c r="AC16" i="25"/>
  <c r="AO16" i="25"/>
  <c r="AR16" i="25"/>
  <c r="F17" i="25"/>
  <c r="G17" i="25"/>
  <c r="H17" i="25"/>
  <c r="K17" i="25"/>
  <c r="L17" i="25"/>
  <c r="O17" i="25" s="1"/>
  <c r="Q17" i="25"/>
  <c r="R17" i="25"/>
  <c r="T17" i="25"/>
  <c r="V17" i="25" s="1"/>
  <c r="AK17" i="25" s="1"/>
  <c r="U17" i="25"/>
  <c r="W17" i="25"/>
  <c r="Y17" i="25" s="1"/>
  <c r="X17" i="25"/>
  <c r="Z17" i="25"/>
  <c r="AC17" i="25"/>
  <c r="AO17" i="25"/>
  <c r="AQ17" i="25"/>
  <c r="AR17" i="25"/>
  <c r="F18" i="25"/>
  <c r="G18" i="25"/>
  <c r="H18" i="25"/>
  <c r="K18" i="25"/>
  <c r="L18" i="25"/>
  <c r="O18" i="25" s="1"/>
  <c r="Q18" i="25"/>
  <c r="R18" i="25"/>
  <c r="T18" i="25"/>
  <c r="V18" i="25" s="1"/>
  <c r="AK18" i="25" s="1"/>
  <c r="U18" i="25"/>
  <c r="W18" i="25"/>
  <c r="Y18" i="25" s="1"/>
  <c r="X18" i="25"/>
  <c r="Z18" i="25"/>
  <c r="AC18" i="25"/>
  <c r="AO18" i="25"/>
  <c r="F19" i="25"/>
  <c r="G19" i="25"/>
  <c r="H19" i="25"/>
  <c r="K19" i="25"/>
  <c r="L19" i="25"/>
  <c r="O19" i="25" s="1"/>
  <c r="Q19" i="25"/>
  <c r="AQ19" i="25" s="1"/>
  <c r="R19" i="25"/>
  <c r="T19" i="25"/>
  <c r="U19" i="25"/>
  <c r="W19" i="25"/>
  <c r="Y19" i="25" s="1"/>
  <c r="AD19" i="25" s="1"/>
  <c r="X19" i="25"/>
  <c r="AC19" i="25"/>
  <c r="AO19" i="25"/>
  <c r="F20" i="25"/>
  <c r="G20" i="25"/>
  <c r="H20" i="25"/>
  <c r="K20" i="25"/>
  <c r="L20" i="25"/>
  <c r="O20" i="25" s="1"/>
  <c r="Q20" i="25"/>
  <c r="AQ20" i="25" s="1"/>
  <c r="R20" i="25"/>
  <c r="T20" i="25"/>
  <c r="V20" i="25" s="1"/>
  <c r="AK20" i="25" s="1"/>
  <c r="U20" i="25"/>
  <c r="W20" i="25"/>
  <c r="X20" i="25"/>
  <c r="AC20" i="25"/>
  <c r="AO20" i="25"/>
  <c r="J21" i="25"/>
  <c r="F21" i="25"/>
  <c r="G21" i="25"/>
  <c r="H21" i="25"/>
  <c r="K21" i="25"/>
  <c r="L21" i="25"/>
  <c r="Z21" i="25" s="1"/>
  <c r="Q21" i="25"/>
  <c r="S21" i="25" s="1"/>
  <c r="AN21" i="25" s="1"/>
  <c r="AT21" i="25" s="1"/>
  <c r="R21" i="25"/>
  <c r="T21" i="25"/>
  <c r="V21" i="25" s="1"/>
  <c r="AK21" i="25" s="1"/>
  <c r="U21" i="25"/>
  <c r="W21" i="25"/>
  <c r="X21" i="25"/>
  <c r="AC21" i="25"/>
  <c r="AO21" i="25"/>
  <c r="AQ21" i="25"/>
  <c r="AR21" i="25"/>
  <c r="F22" i="25"/>
  <c r="G22" i="25"/>
  <c r="H22" i="25"/>
  <c r="K22" i="25"/>
  <c r="L22" i="25"/>
  <c r="O22" i="25" s="1"/>
  <c r="Q22" i="25"/>
  <c r="AR22" i="25" s="1"/>
  <c r="R22" i="25"/>
  <c r="T22" i="25"/>
  <c r="U22" i="25"/>
  <c r="V22" i="25" s="1"/>
  <c r="AK22" i="25" s="1"/>
  <c r="W22" i="25"/>
  <c r="Y22" i="25" s="1"/>
  <c r="X22" i="25"/>
  <c r="Z22" i="25"/>
  <c r="AC22" i="25"/>
  <c r="AO22" i="25"/>
  <c r="F23" i="25"/>
  <c r="G23" i="25"/>
  <c r="H23" i="25"/>
  <c r="K23" i="25"/>
  <c r="L23" i="25"/>
  <c r="O23" i="25" s="1"/>
  <c r="Q23" i="25"/>
  <c r="S23" i="25" s="1"/>
  <c r="R23" i="25"/>
  <c r="T23" i="25"/>
  <c r="U23" i="25"/>
  <c r="W23" i="25"/>
  <c r="X23" i="25"/>
  <c r="Y23" i="25" s="1"/>
  <c r="Z23" i="25"/>
  <c r="AC23" i="25"/>
  <c r="AO23" i="25"/>
  <c r="J24" i="25"/>
  <c r="F24" i="25"/>
  <c r="G24" i="25"/>
  <c r="H24" i="25"/>
  <c r="K24" i="25"/>
  <c r="L24" i="25"/>
  <c r="O24" i="25"/>
  <c r="Q24" i="25"/>
  <c r="S24" i="25" s="1"/>
  <c r="R24" i="25"/>
  <c r="T24" i="25"/>
  <c r="U24" i="25"/>
  <c r="V24" i="25" s="1"/>
  <c r="AK24" i="25" s="1"/>
  <c r="W24" i="25"/>
  <c r="X24" i="25"/>
  <c r="Z24" i="25"/>
  <c r="AC24" i="25"/>
  <c r="AO24" i="25"/>
  <c r="AQ24" i="25"/>
  <c r="AR24" i="25"/>
  <c r="F25" i="25"/>
  <c r="G25" i="25"/>
  <c r="H25" i="25"/>
  <c r="K25" i="25"/>
  <c r="L25" i="25"/>
  <c r="Z25" i="25" s="1"/>
  <c r="Q25" i="25"/>
  <c r="S25" i="25" s="1"/>
  <c r="R25" i="25"/>
  <c r="T25" i="25"/>
  <c r="U25" i="25"/>
  <c r="W25" i="25"/>
  <c r="X25" i="25"/>
  <c r="AC25" i="25"/>
  <c r="AO25" i="25"/>
  <c r="AQ25" i="25"/>
  <c r="AR25" i="25"/>
  <c r="F26" i="25"/>
  <c r="G26" i="25"/>
  <c r="H26" i="25"/>
  <c r="K26" i="25"/>
  <c r="L26" i="25"/>
  <c r="O26" i="25"/>
  <c r="Q26" i="25"/>
  <c r="S26" i="25" s="1"/>
  <c r="R26" i="25"/>
  <c r="T26" i="25"/>
  <c r="V26" i="25" s="1"/>
  <c r="AK26" i="25" s="1"/>
  <c r="U26" i="25"/>
  <c r="W26" i="25"/>
  <c r="X26" i="25"/>
  <c r="Z26" i="25"/>
  <c r="AC26" i="25"/>
  <c r="AO26" i="25"/>
  <c r="F27" i="25"/>
  <c r="G27" i="25"/>
  <c r="H27" i="25"/>
  <c r="K27" i="25"/>
  <c r="L27" i="25"/>
  <c r="O27" i="25" s="1"/>
  <c r="Q27" i="25"/>
  <c r="R27" i="25"/>
  <c r="T27" i="25"/>
  <c r="V27" i="25" s="1"/>
  <c r="AK27" i="25" s="1"/>
  <c r="U27" i="25"/>
  <c r="W27" i="25"/>
  <c r="Y27" i="25" s="1"/>
  <c r="AD27" i="25" s="1"/>
  <c r="X27" i="25"/>
  <c r="AC27" i="25"/>
  <c r="AO27" i="25"/>
  <c r="F28" i="25"/>
  <c r="G28" i="25"/>
  <c r="H28" i="25"/>
  <c r="K28" i="25"/>
  <c r="L28" i="25"/>
  <c r="O28" i="25" s="1"/>
  <c r="Q28" i="25"/>
  <c r="AQ28" i="25" s="1"/>
  <c r="R28" i="25"/>
  <c r="T28" i="25"/>
  <c r="V28" i="25" s="1"/>
  <c r="AK28" i="25" s="1"/>
  <c r="U28" i="25"/>
  <c r="W28" i="25"/>
  <c r="Y28" i="25" s="1"/>
  <c r="AD28" i="25" s="1"/>
  <c r="X28" i="25"/>
  <c r="AC28" i="25"/>
  <c r="AO28" i="25"/>
  <c r="J29" i="25"/>
  <c r="F29" i="25"/>
  <c r="G29" i="25"/>
  <c r="H29" i="25"/>
  <c r="K29" i="25"/>
  <c r="L29" i="25"/>
  <c r="Z29" i="25" s="1"/>
  <c r="Q29" i="25"/>
  <c r="S29" i="25" s="1"/>
  <c r="R29" i="25"/>
  <c r="T29" i="25"/>
  <c r="U29" i="25"/>
  <c r="W29" i="25"/>
  <c r="X29" i="25"/>
  <c r="AC29" i="25"/>
  <c r="AO29" i="25"/>
  <c r="F30" i="25"/>
  <c r="G30" i="25"/>
  <c r="H30" i="25"/>
  <c r="K30" i="25"/>
  <c r="L30" i="25"/>
  <c r="O30" i="25" s="1"/>
  <c r="Q30" i="25"/>
  <c r="S30" i="25" s="1"/>
  <c r="AP30" i="25" s="1"/>
  <c r="R30" i="25"/>
  <c r="T30" i="25"/>
  <c r="U30" i="25"/>
  <c r="V30" i="25" s="1"/>
  <c r="AK30" i="25" s="1"/>
  <c r="W30" i="25"/>
  <c r="X30" i="25"/>
  <c r="Y30" i="25" s="1"/>
  <c r="Z30" i="25"/>
  <c r="AC30" i="25"/>
  <c r="AO30" i="25"/>
  <c r="AQ30" i="25"/>
  <c r="AR30" i="25"/>
  <c r="J31" i="25"/>
  <c r="F31" i="25"/>
  <c r="G31" i="25"/>
  <c r="H31" i="25"/>
  <c r="K31" i="25"/>
  <c r="L31" i="25"/>
  <c r="O31" i="25" s="1"/>
  <c r="Q31" i="25"/>
  <c r="R31" i="25"/>
  <c r="T31" i="25"/>
  <c r="U31" i="25"/>
  <c r="V31" i="25" s="1"/>
  <c r="AK31" i="25" s="1"/>
  <c r="W31" i="25"/>
  <c r="X31" i="25"/>
  <c r="Y31" i="25" s="1"/>
  <c r="AC31" i="25"/>
  <c r="AO31" i="25"/>
  <c r="AQ31" i="25"/>
  <c r="AR31" i="25"/>
  <c r="F32" i="25"/>
  <c r="G32" i="25"/>
  <c r="H32" i="25"/>
  <c r="K32" i="25"/>
  <c r="L32" i="25"/>
  <c r="O32" i="25" s="1"/>
  <c r="Q32" i="25"/>
  <c r="R32" i="25"/>
  <c r="T32" i="25"/>
  <c r="U32" i="25"/>
  <c r="V32" i="25" s="1"/>
  <c r="AK32" i="25" s="1"/>
  <c r="W32" i="25"/>
  <c r="Y32" i="25" s="1"/>
  <c r="X32" i="25"/>
  <c r="Z32" i="25"/>
  <c r="AC32" i="25"/>
  <c r="AO32" i="25"/>
  <c r="AQ32" i="25"/>
  <c r="AR32" i="25"/>
  <c r="F33" i="25"/>
  <c r="G33" i="25"/>
  <c r="H33" i="25"/>
  <c r="K33" i="25"/>
  <c r="L33" i="25"/>
  <c r="O33" i="25" s="1"/>
  <c r="Q33" i="25"/>
  <c r="R33" i="25"/>
  <c r="T33" i="25"/>
  <c r="U33" i="25"/>
  <c r="W33" i="25"/>
  <c r="Y33" i="25" s="1"/>
  <c r="X33" i="25"/>
  <c r="Z33" i="25"/>
  <c r="AC33" i="25"/>
  <c r="AO33" i="25"/>
  <c r="AQ33" i="25"/>
  <c r="AR33" i="25"/>
  <c r="AF94" i="24"/>
  <c r="T93" i="24"/>
  <c r="P93" i="24"/>
  <c r="O93" i="24"/>
  <c r="N93" i="24"/>
  <c r="M93" i="24"/>
  <c r="K93" i="24"/>
  <c r="AJ91" i="24"/>
  <c r="AH91" i="24"/>
  <c r="AG91" i="24"/>
  <c r="AF91" i="24"/>
  <c r="AR91" i="24" s="1"/>
  <c r="AE91" i="24"/>
  <c r="AC91" i="24"/>
  <c r="X91" i="24"/>
  <c r="W91" i="24"/>
  <c r="U91" i="24"/>
  <c r="T91" i="24"/>
  <c r="R91" i="24"/>
  <c r="Q91" i="24"/>
  <c r="L91" i="24"/>
  <c r="H91" i="24"/>
  <c r="G91" i="24"/>
  <c r="F91" i="24"/>
  <c r="AR89" i="24"/>
  <c r="AQ89" i="24"/>
  <c r="AO89" i="24"/>
  <c r="AU89" i="24" s="1"/>
  <c r="AD89" i="24"/>
  <c r="AB89" i="24"/>
  <c r="Z89" i="24"/>
  <c r="Y89" i="24"/>
  <c r="V89" i="24"/>
  <c r="AK89" i="24" s="1"/>
  <c r="S89" i="24"/>
  <c r="AP89" i="24" s="1"/>
  <c r="P89" i="24"/>
  <c r="O89" i="24"/>
  <c r="J89" i="24"/>
  <c r="E89" i="24"/>
  <c r="AR88" i="24"/>
  <c r="AQ88" i="24"/>
  <c r="AO88" i="24"/>
  <c r="AU88" i="24" s="1"/>
  <c r="AD88" i="24"/>
  <c r="AB88" i="24"/>
  <c r="Z88" i="24"/>
  <c r="Y88" i="24"/>
  <c r="V88" i="24"/>
  <c r="AK88" i="24" s="1"/>
  <c r="S88" i="24"/>
  <c r="AP88" i="24" s="1"/>
  <c r="P88" i="24"/>
  <c r="O88" i="24"/>
  <c r="J88" i="24"/>
  <c r="E88" i="24"/>
  <c r="AR87" i="24"/>
  <c r="AQ87" i="24"/>
  <c r="AO87" i="24"/>
  <c r="AU87" i="24" s="1"/>
  <c r="AD87" i="24"/>
  <c r="AB87" i="24"/>
  <c r="Z87" i="24"/>
  <c r="Y87" i="24"/>
  <c r="V87" i="24"/>
  <c r="AK87" i="24" s="1"/>
  <c r="S87" i="24"/>
  <c r="AP87" i="24" s="1"/>
  <c r="P87" i="24"/>
  <c r="O87" i="24"/>
  <c r="J87" i="24"/>
  <c r="E87" i="24"/>
  <c r="AR86" i="24"/>
  <c r="AQ86" i="24"/>
  <c r="AO86" i="24"/>
  <c r="AU86" i="24" s="1"/>
  <c r="AD86" i="24"/>
  <c r="AB86" i="24"/>
  <c r="Z86" i="24"/>
  <c r="Y86" i="24"/>
  <c r="V86" i="24"/>
  <c r="AK86" i="24" s="1"/>
  <c r="S86" i="24"/>
  <c r="AP86" i="24" s="1"/>
  <c r="P86" i="24"/>
  <c r="O86" i="24"/>
  <c r="J86" i="24"/>
  <c r="E86" i="24"/>
  <c r="AR85" i="24"/>
  <c r="AQ85" i="24"/>
  <c r="AP85" i="24"/>
  <c r="AO85" i="24"/>
  <c r="AU85" i="24" s="1"/>
  <c r="AD85" i="24"/>
  <c r="AB85" i="24"/>
  <c r="Z85" i="24"/>
  <c r="Y85" i="24"/>
  <c r="V85" i="24"/>
  <c r="AK85" i="24" s="1"/>
  <c r="S85" i="24"/>
  <c r="AN85" i="24" s="1"/>
  <c r="AT85" i="24" s="1"/>
  <c r="P85" i="24"/>
  <c r="O85" i="24"/>
  <c r="J85" i="24"/>
  <c r="E85" i="24"/>
  <c r="AR84" i="24"/>
  <c r="AQ84" i="24"/>
  <c r="AP84" i="24"/>
  <c r="AO84" i="24"/>
  <c r="AU84" i="24" s="1"/>
  <c r="AD84" i="24"/>
  <c r="AB84" i="24"/>
  <c r="Z84" i="24"/>
  <c r="Y84" i="24"/>
  <c r="V84" i="24"/>
  <c r="AK84" i="24" s="1"/>
  <c r="S84" i="24"/>
  <c r="AN84" i="24" s="1"/>
  <c r="AT84" i="24" s="1"/>
  <c r="P84" i="24"/>
  <c r="O84" i="24"/>
  <c r="J84" i="24"/>
  <c r="E84" i="24"/>
  <c r="AR83" i="24"/>
  <c r="AQ83" i="24"/>
  <c r="AP83" i="24"/>
  <c r="AO83" i="24"/>
  <c r="AU83" i="24" s="1"/>
  <c r="AD83" i="24"/>
  <c r="AB83" i="24"/>
  <c r="Z83" i="24"/>
  <c r="Y83" i="24"/>
  <c r="V83" i="24"/>
  <c r="AK83" i="24" s="1"/>
  <c r="S83" i="24"/>
  <c r="AN83" i="24" s="1"/>
  <c r="AT83" i="24" s="1"/>
  <c r="P83" i="24"/>
  <c r="O83" i="24"/>
  <c r="J83" i="24"/>
  <c r="E83" i="24"/>
  <c r="AR82" i="24"/>
  <c r="AQ82" i="24"/>
  <c r="AP82" i="24"/>
  <c r="AO82" i="24"/>
  <c r="AU82" i="24" s="1"/>
  <c r="AD82" i="24"/>
  <c r="AB82" i="24"/>
  <c r="Z82" i="24"/>
  <c r="Y82" i="24"/>
  <c r="V82" i="24"/>
  <c r="AK82" i="24" s="1"/>
  <c r="S82" i="24"/>
  <c r="AN82" i="24" s="1"/>
  <c r="AT82" i="24" s="1"/>
  <c r="P82" i="24"/>
  <c r="O82" i="24"/>
  <c r="J82" i="24"/>
  <c r="E82" i="24"/>
  <c r="AR81" i="24"/>
  <c r="AQ81" i="24"/>
  <c r="AP81" i="24"/>
  <c r="AO81" i="24"/>
  <c r="AU81" i="24" s="1"/>
  <c r="AD81" i="24"/>
  <c r="AB81" i="24"/>
  <c r="Z81" i="24"/>
  <c r="Y81" i="24"/>
  <c r="V81" i="24"/>
  <c r="AK81" i="24" s="1"/>
  <c r="S81" i="24"/>
  <c r="AN81" i="24" s="1"/>
  <c r="AT81" i="24" s="1"/>
  <c r="P81" i="24"/>
  <c r="O81" i="24"/>
  <c r="J81" i="24"/>
  <c r="E81" i="24"/>
  <c r="AR80" i="24"/>
  <c r="AQ80" i="24"/>
  <c r="AP80" i="24"/>
  <c r="AO80" i="24"/>
  <c r="AU80" i="24" s="1"/>
  <c r="AD80" i="24"/>
  <c r="AB80" i="24"/>
  <c r="Z80" i="24"/>
  <c r="Y80" i="24"/>
  <c r="V80" i="24"/>
  <c r="AK80" i="24" s="1"/>
  <c r="S80" i="24"/>
  <c r="AN80" i="24" s="1"/>
  <c r="AT80" i="24" s="1"/>
  <c r="P80" i="24"/>
  <c r="O80" i="24"/>
  <c r="J80" i="24"/>
  <c r="E80" i="24"/>
  <c r="AT79" i="24"/>
  <c r="AR79" i="24"/>
  <c r="AQ79" i="24"/>
  <c r="AP79" i="24"/>
  <c r="AO79" i="24"/>
  <c r="AU79" i="24" s="1"/>
  <c r="AN79" i="24"/>
  <c r="AD79" i="24"/>
  <c r="AB79" i="24"/>
  <c r="Z79" i="24"/>
  <c r="Y79" i="24"/>
  <c r="V79" i="24"/>
  <c r="AK79" i="24" s="1"/>
  <c r="S79" i="24"/>
  <c r="P79" i="24"/>
  <c r="O79" i="24"/>
  <c r="J79" i="24"/>
  <c r="E79" i="24"/>
  <c r="AT78" i="24"/>
  <c r="AR78" i="24"/>
  <c r="AQ78" i="24"/>
  <c r="AP78" i="24"/>
  <c r="AO78" i="24"/>
  <c r="AU78" i="24" s="1"/>
  <c r="AN78" i="24"/>
  <c r="AD78" i="24"/>
  <c r="AB78" i="24"/>
  <c r="Z78" i="24"/>
  <c r="Y78" i="24"/>
  <c r="V78" i="24"/>
  <c r="AK78" i="24" s="1"/>
  <c r="S78" i="24"/>
  <c r="P78" i="24"/>
  <c r="O78" i="24"/>
  <c r="J78" i="24"/>
  <c r="E78" i="24"/>
  <c r="AT77" i="24"/>
  <c r="AR77" i="24"/>
  <c r="AQ77" i="24"/>
  <c r="AP77" i="24"/>
  <c r="AO77" i="24"/>
  <c r="AU77" i="24" s="1"/>
  <c r="AN77" i="24"/>
  <c r="AD77" i="24"/>
  <c r="AB77" i="24"/>
  <c r="Z77" i="24"/>
  <c r="Y77" i="24"/>
  <c r="V77" i="24"/>
  <c r="AK77" i="24" s="1"/>
  <c r="S77" i="24"/>
  <c r="P77" i="24"/>
  <c r="O77" i="24"/>
  <c r="J77" i="24"/>
  <c r="E77" i="24"/>
  <c r="AT76" i="24"/>
  <c r="AR76" i="24"/>
  <c r="AQ76" i="24"/>
  <c r="AP76" i="24"/>
  <c r="AO76" i="24"/>
  <c r="AU76" i="24" s="1"/>
  <c r="AN76" i="24"/>
  <c r="AD76" i="24"/>
  <c r="AB76" i="24"/>
  <c r="Z76" i="24"/>
  <c r="Y76" i="24"/>
  <c r="V76" i="24"/>
  <c r="AK76" i="24" s="1"/>
  <c r="S76" i="24"/>
  <c r="P76" i="24"/>
  <c r="O76" i="24"/>
  <c r="J76" i="24"/>
  <c r="E76" i="24"/>
  <c r="AT75" i="24"/>
  <c r="AR75" i="24"/>
  <c r="AQ75" i="24"/>
  <c r="AP75" i="24"/>
  <c r="AO75" i="24"/>
  <c r="AU75" i="24" s="1"/>
  <c r="AN75" i="24"/>
  <c r="AD75" i="24"/>
  <c r="AB75" i="24"/>
  <c r="Z75" i="24"/>
  <c r="Y75" i="24"/>
  <c r="V75" i="24"/>
  <c r="AK75" i="24" s="1"/>
  <c r="S75" i="24"/>
  <c r="P75" i="24"/>
  <c r="O75" i="24"/>
  <c r="J75" i="24"/>
  <c r="E75" i="24"/>
  <c r="AT74" i="24"/>
  <c r="AR74" i="24"/>
  <c r="AQ74" i="24"/>
  <c r="AP74" i="24"/>
  <c r="AO74" i="24"/>
  <c r="AU74" i="24" s="1"/>
  <c r="AN74" i="24"/>
  <c r="AD74" i="24"/>
  <c r="AB74" i="24"/>
  <c r="Z74" i="24"/>
  <c r="Y74" i="24"/>
  <c r="V74" i="24"/>
  <c r="AK74" i="24" s="1"/>
  <c r="S74" i="24"/>
  <c r="P74" i="24"/>
  <c r="O74" i="24"/>
  <c r="J74" i="24"/>
  <c r="E74" i="24"/>
  <c r="AT73" i="24"/>
  <c r="AR73" i="24"/>
  <c r="AQ73" i="24"/>
  <c r="AP73" i="24"/>
  <c r="AO73" i="24"/>
  <c r="AU73" i="24" s="1"/>
  <c r="AN73" i="24"/>
  <c r="AD73" i="24"/>
  <c r="AB73" i="24"/>
  <c r="Z73" i="24"/>
  <c r="Y73" i="24"/>
  <c r="V73" i="24"/>
  <c r="AK73" i="24" s="1"/>
  <c r="S73" i="24"/>
  <c r="P73" i="24"/>
  <c r="O73" i="24"/>
  <c r="J73" i="24"/>
  <c r="E73" i="24"/>
  <c r="AT72" i="24"/>
  <c r="AR72" i="24"/>
  <c r="AQ72" i="24"/>
  <c r="AP72" i="24"/>
  <c r="AO72" i="24"/>
  <c r="AU72" i="24" s="1"/>
  <c r="AN72" i="24"/>
  <c r="AD72" i="24"/>
  <c r="AB72" i="24"/>
  <c r="Z72" i="24"/>
  <c r="Y72" i="24"/>
  <c r="V72" i="24"/>
  <c r="AK72" i="24" s="1"/>
  <c r="S72" i="24"/>
  <c r="P72" i="24"/>
  <c r="O72" i="24"/>
  <c r="J72" i="24"/>
  <c r="E72" i="24"/>
  <c r="AT71" i="24"/>
  <c r="AR71" i="24"/>
  <c r="AQ71" i="24"/>
  <c r="AP71" i="24"/>
  <c r="AO71" i="24"/>
  <c r="AU71" i="24" s="1"/>
  <c r="AN71" i="24"/>
  <c r="AD71" i="24"/>
  <c r="AB71" i="24"/>
  <c r="Z71" i="24"/>
  <c r="Y71" i="24"/>
  <c r="V71" i="24"/>
  <c r="AK71" i="24" s="1"/>
  <c r="S71" i="24"/>
  <c r="P71" i="24"/>
  <c r="O71" i="24"/>
  <c r="J71" i="24"/>
  <c r="E71" i="24"/>
  <c r="AT70" i="24"/>
  <c r="AR70" i="24"/>
  <c r="AQ70" i="24"/>
  <c r="AP70" i="24"/>
  <c r="AO70" i="24"/>
  <c r="AU70" i="24" s="1"/>
  <c r="AN70" i="24"/>
  <c r="AD70" i="24"/>
  <c r="AB70" i="24"/>
  <c r="Z70" i="24"/>
  <c r="Y70" i="24"/>
  <c r="V70" i="24"/>
  <c r="AK70" i="24" s="1"/>
  <c r="S70" i="24"/>
  <c r="P70" i="24"/>
  <c r="O70" i="24"/>
  <c r="J70" i="24"/>
  <c r="E70" i="24"/>
  <c r="AT69" i="24"/>
  <c r="AR69" i="24"/>
  <c r="AQ69" i="24"/>
  <c r="AP69" i="24"/>
  <c r="AO69" i="24"/>
  <c r="AU69" i="24" s="1"/>
  <c r="AN69" i="24"/>
  <c r="AD69" i="24"/>
  <c r="AB69" i="24"/>
  <c r="Z69" i="24"/>
  <c r="Y69" i="24"/>
  <c r="V69" i="24"/>
  <c r="AK69" i="24" s="1"/>
  <c r="S69" i="24"/>
  <c r="P69" i="24"/>
  <c r="O69" i="24"/>
  <c r="J69" i="24"/>
  <c r="E69" i="24"/>
  <c r="AT68" i="24"/>
  <c r="AR68" i="24"/>
  <c r="AQ68" i="24"/>
  <c r="AP68" i="24"/>
  <c r="AO68" i="24"/>
  <c r="AU68" i="24" s="1"/>
  <c r="AN68" i="24"/>
  <c r="AD68" i="24"/>
  <c r="AB68" i="24"/>
  <c r="Z68" i="24"/>
  <c r="Y68" i="24"/>
  <c r="V68" i="24"/>
  <c r="AK68" i="24" s="1"/>
  <c r="S68" i="24"/>
  <c r="P68" i="24"/>
  <c r="O68" i="24"/>
  <c r="J68" i="24"/>
  <c r="E68" i="24"/>
  <c r="AT67" i="24"/>
  <c r="AR67" i="24"/>
  <c r="AQ67" i="24"/>
  <c r="AP67" i="24"/>
  <c r="AO67" i="24"/>
  <c r="AU67" i="24" s="1"/>
  <c r="AN67" i="24"/>
  <c r="AD67" i="24"/>
  <c r="AB67" i="24"/>
  <c r="Z67" i="24"/>
  <c r="Y67" i="24"/>
  <c r="V67" i="24"/>
  <c r="AK67" i="24" s="1"/>
  <c r="S67" i="24"/>
  <c r="P67" i="24"/>
  <c r="O67" i="24"/>
  <c r="J67" i="24"/>
  <c r="E67" i="24"/>
  <c r="AT66" i="24"/>
  <c r="AR66" i="24"/>
  <c r="AQ66" i="24"/>
  <c r="AP66" i="24"/>
  <c r="AO66" i="24"/>
  <c r="AU66" i="24" s="1"/>
  <c r="AN66" i="24"/>
  <c r="AD66" i="24"/>
  <c r="AB66" i="24"/>
  <c r="Z66" i="24"/>
  <c r="Y66" i="24"/>
  <c r="V66" i="24"/>
  <c r="AK66" i="24" s="1"/>
  <c r="S66" i="24"/>
  <c r="P66" i="24"/>
  <c r="O66" i="24"/>
  <c r="J66" i="24"/>
  <c r="E66" i="24"/>
  <c r="AT65" i="24"/>
  <c r="AR65" i="24"/>
  <c r="AQ65" i="24"/>
  <c r="AP65" i="24"/>
  <c r="AO65" i="24"/>
  <c r="AU65" i="24" s="1"/>
  <c r="AN65" i="24"/>
  <c r="AD65" i="24"/>
  <c r="AB65" i="24"/>
  <c r="Z65" i="24"/>
  <c r="Y65" i="24"/>
  <c r="V65" i="24"/>
  <c r="AK65" i="24" s="1"/>
  <c r="S65" i="24"/>
  <c r="P65" i="24"/>
  <c r="O65" i="24"/>
  <c r="J65" i="24"/>
  <c r="E65" i="24"/>
  <c r="AT64" i="24"/>
  <c r="AR64" i="24"/>
  <c r="AQ64" i="24"/>
  <c r="AP64" i="24"/>
  <c r="AO64" i="24"/>
  <c r="AU64" i="24" s="1"/>
  <c r="AN64" i="24"/>
  <c r="AD64" i="24"/>
  <c r="AB64" i="24"/>
  <c r="Z64" i="24"/>
  <c r="Y64" i="24"/>
  <c r="V64" i="24"/>
  <c r="AK64" i="24" s="1"/>
  <c r="S64" i="24"/>
  <c r="P64" i="24"/>
  <c r="O64" i="24"/>
  <c r="J64" i="24"/>
  <c r="E64" i="24"/>
  <c r="AT63" i="24"/>
  <c r="AR63" i="24"/>
  <c r="AQ63" i="24"/>
  <c r="AP63" i="24"/>
  <c r="AO63" i="24"/>
  <c r="AU63" i="24" s="1"/>
  <c r="AN63" i="24"/>
  <c r="AD63" i="24"/>
  <c r="AB63" i="24"/>
  <c r="Z63" i="24"/>
  <c r="Y63" i="24"/>
  <c r="V63" i="24"/>
  <c r="AK63" i="24" s="1"/>
  <c r="S63" i="24"/>
  <c r="P63" i="24"/>
  <c r="O63" i="24"/>
  <c r="J63" i="24"/>
  <c r="E63" i="24"/>
  <c r="AT62" i="24"/>
  <c r="AR62" i="24"/>
  <c r="AQ62" i="24"/>
  <c r="AP62" i="24"/>
  <c r="AO62" i="24"/>
  <c r="AU62" i="24" s="1"/>
  <c r="AN62" i="24"/>
  <c r="AD62" i="24"/>
  <c r="AB62" i="24"/>
  <c r="Z62" i="24"/>
  <c r="Y62" i="24"/>
  <c r="V62" i="24"/>
  <c r="AK62" i="24" s="1"/>
  <c r="S62" i="24"/>
  <c r="P62" i="24"/>
  <c r="O62" i="24"/>
  <c r="J62" i="24"/>
  <c r="E62" i="24"/>
  <c r="AT61" i="24"/>
  <c r="AR61" i="24"/>
  <c r="AQ61" i="24"/>
  <c r="AP61" i="24"/>
  <c r="AO61" i="24"/>
  <c r="AU61" i="24" s="1"/>
  <c r="AN61" i="24"/>
  <c r="AD61" i="24"/>
  <c r="AB61" i="24"/>
  <c r="Z61" i="24"/>
  <c r="Y61" i="24"/>
  <c r="V61" i="24"/>
  <c r="AK61" i="24" s="1"/>
  <c r="S61" i="24"/>
  <c r="P61" i="24"/>
  <c r="O61" i="24"/>
  <c r="J61" i="24"/>
  <c r="E61" i="24"/>
  <c r="AT60" i="24"/>
  <c r="AR60" i="24"/>
  <c r="AQ60" i="24"/>
  <c r="AP60" i="24"/>
  <c r="AO60" i="24"/>
  <c r="AU60" i="24" s="1"/>
  <c r="AN60" i="24"/>
  <c r="AD60" i="24"/>
  <c r="AB60" i="24"/>
  <c r="Z60" i="24"/>
  <c r="Y60" i="24"/>
  <c r="V60" i="24"/>
  <c r="AK60" i="24" s="1"/>
  <c r="S60" i="24"/>
  <c r="P60" i="24"/>
  <c r="O60" i="24"/>
  <c r="J60" i="24"/>
  <c r="E60" i="24"/>
  <c r="AT59" i="24"/>
  <c r="AR59" i="24"/>
  <c r="AQ59" i="24"/>
  <c r="AP59" i="24"/>
  <c r="AO59" i="24"/>
  <c r="AU59" i="24" s="1"/>
  <c r="AN59" i="24"/>
  <c r="AD59" i="24"/>
  <c r="AB59" i="24"/>
  <c r="Z59" i="24"/>
  <c r="Y59" i="24"/>
  <c r="V59" i="24"/>
  <c r="AK59" i="24" s="1"/>
  <c r="S59" i="24"/>
  <c r="P59" i="24"/>
  <c r="O59" i="24"/>
  <c r="J59" i="24"/>
  <c r="E59" i="24"/>
  <c r="AT58" i="24"/>
  <c r="AR58" i="24"/>
  <c r="AQ58" i="24"/>
  <c r="AP58" i="24"/>
  <c r="AO58" i="24"/>
  <c r="AU58" i="24" s="1"/>
  <c r="AN58" i="24"/>
  <c r="AD58" i="24"/>
  <c r="AB58" i="24"/>
  <c r="Z58" i="24"/>
  <c r="Y58" i="24"/>
  <c r="V58" i="24"/>
  <c r="AK58" i="24" s="1"/>
  <c r="S58" i="24"/>
  <c r="P58" i="24"/>
  <c r="O58" i="24"/>
  <c r="J58" i="24"/>
  <c r="E58" i="24"/>
  <c r="AT57" i="24"/>
  <c r="AR57" i="24"/>
  <c r="AQ57" i="24"/>
  <c r="AP57" i="24"/>
  <c r="AO57" i="24"/>
  <c r="AU57" i="24" s="1"/>
  <c r="AN57" i="24"/>
  <c r="AD57" i="24"/>
  <c r="AB57" i="24"/>
  <c r="Z57" i="24"/>
  <c r="Y57" i="24"/>
  <c r="V57" i="24"/>
  <c r="AK57" i="24" s="1"/>
  <c r="S57" i="24"/>
  <c r="P57" i="24"/>
  <c r="O57" i="24"/>
  <c r="J57" i="24"/>
  <c r="E57" i="24"/>
  <c r="AT56" i="24"/>
  <c r="AR56" i="24"/>
  <c r="AQ56" i="24"/>
  <c r="AP56" i="24"/>
  <c r="AO56" i="24"/>
  <c r="AU56" i="24" s="1"/>
  <c r="AN56" i="24"/>
  <c r="AD56" i="24"/>
  <c r="AB56" i="24"/>
  <c r="Z56" i="24"/>
  <c r="Y56" i="24"/>
  <c r="V56" i="24"/>
  <c r="AK56" i="24" s="1"/>
  <c r="S56" i="24"/>
  <c r="P56" i="24"/>
  <c r="O56" i="24"/>
  <c r="J56" i="24"/>
  <c r="E56" i="24"/>
  <c r="AT55" i="24"/>
  <c r="AR55" i="24"/>
  <c r="AQ55" i="24"/>
  <c r="AP55" i="24"/>
  <c r="AO55" i="24"/>
  <c r="AU55" i="24" s="1"/>
  <c r="AN55" i="24"/>
  <c r="AB55" i="24"/>
  <c r="Z55" i="24"/>
  <c r="Y55" i="24"/>
  <c r="V55" i="24"/>
  <c r="AK55" i="24" s="1"/>
  <c r="S55" i="24"/>
  <c r="P55" i="24"/>
  <c r="O55" i="24"/>
  <c r="J55" i="24"/>
  <c r="E55" i="24"/>
  <c r="AR54" i="24"/>
  <c r="AQ54" i="24"/>
  <c r="AP54" i="24"/>
  <c r="AO54" i="24"/>
  <c r="AU54" i="24" s="1"/>
  <c r="AN54" i="24"/>
  <c r="AT54" i="24" s="1"/>
  <c r="AB54" i="24"/>
  <c r="Z54" i="24"/>
  <c r="Y54" i="24"/>
  <c r="AD54" i="24" s="1"/>
  <c r="V54" i="24"/>
  <c r="AK54" i="24" s="1"/>
  <c r="S54" i="24"/>
  <c r="P54" i="24"/>
  <c r="O54" i="24"/>
  <c r="E54" i="24"/>
  <c r="J54" i="24" s="1"/>
  <c r="AT53" i="24"/>
  <c r="AR53" i="24"/>
  <c r="AQ53" i="24"/>
  <c r="AP53" i="24"/>
  <c r="AO53" i="24"/>
  <c r="AU53" i="24" s="1"/>
  <c r="AN53" i="24"/>
  <c r="AB53" i="24"/>
  <c r="Z53" i="24"/>
  <c r="Y53" i="24"/>
  <c r="V53" i="24"/>
  <c r="AK53" i="24" s="1"/>
  <c r="S53" i="24"/>
  <c r="P53" i="24"/>
  <c r="O53" i="24"/>
  <c r="J53" i="24"/>
  <c r="E53" i="24"/>
  <c r="AU52" i="24"/>
  <c r="AT52" i="24"/>
  <c r="AR52" i="24"/>
  <c r="AQ52" i="24"/>
  <c r="AP52" i="24"/>
  <c r="AO52" i="24"/>
  <c r="AN52" i="24"/>
  <c r="AD52" i="24"/>
  <c r="AB52" i="24"/>
  <c r="Z52" i="24"/>
  <c r="Y52" i="24"/>
  <c r="V52" i="24"/>
  <c r="AK52" i="24" s="1"/>
  <c r="S52" i="24"/>
  <c r="P52" i="24"/>
  <c r="O52" i="24"/>
  <c r="J52" i="24"/>
  <c r="E52" i="24"/>
  <c r="AR51" i="24"/>
  <c r="AQ51" i="24"/>
  <c r="AP51" i="24"/>
  <c r="AO51" i="24"/>
  <c r="AU51" i="24" s="1"/>
  <c r="AN51" i="24"/>
  <c r="AT51" i="24" s="1"/>
  <c r="AD51" i="24"/>
  <c r="AB51" i="24"/>
  <c r="Z51" i="24"/>
  <c r="Y51" i="24"/>
  <c r="V51" i="24"/>
  <c r="AK51" i="24" s="1"/>
  <c r="S51" i="24"/>
  <c r="P51" i="24"/>
  <c r="O51" i="24"/>
  <c r="E51" i="24"/>
  <c r="J51" i="24" s="1"/>
  <c r="AU50" i="24"/>
  <c r="AR50" i="24"/>
  <c r="AQ50" i="24"/>
  <c r="AO50" i="24"/>
  <c r="AK50" i="24"/>
  <c r="Z50" i="24"/>
  <c r="Y50" i="24"/>
  <c r="V50" i="24"/>
  <c r="S50" i="24"/>
  <c r="AN50" i="24" s="1"/>
  <c r="AT50" i="24" s="1"/>
  <c r="O50" i="24"/>
  <c r="J50" i="24"/>
  <c r="E50" i="24"/>
  <c r="AR49" i="24"/>
  <c r="AQ49" i="24"/>
  <c r="AO49" i="24"/>
  <c r="AU49" i="24" s="1"/>
  <c r="AN49" i="24"/>
  <c r="AT49" i="24" s="1"/>
  <c r="AK49" i="24"/>
  <c r="Z49" i="24"/>
  <c r="Y49" i="24"/>
  <c r="V49" i="24"/>
  <c r="S49" i="24"/>
  <c r="O49" i="24"/>
  <c r="J49" i="24"/>
  <c r="E49" i="24"/>
  <c r="AU48" i="24"/>
  <c r="AR48" i="24"/>
  <c r="AQ48" i="24"/>
  <c r="AO48" i="24"/>
  <c r="AB48" i="24"/>
  <c r="Z48" i="24"/>
  <c r="Y48" i="24"/>
  <c r="V48" i="24"/>
  <c r="AK48" i="24" s="1"/>
  <c r="S48" i="24"/>
  <c r="AN48" i="24" s="1"/>
  <c r="AT48" i="24" s="1"/>
  <c r="O48" i="24"/>
  <c r="J48" i="24"/>
  <c r="E48" i="24"/>
  <c r="AR47" i="24"/>
  <c r="AQ47" i="24"/>
  <c r="AO47" i="24"/>
  <c r="AU47" i="24" s="1"/>
  <c r="AN47" i="24"/>
  <c r="AT47" i="24" s="1"/>
  <c r="AK47" i="24"/>
  <c r="Z47" i="24"/>
  <c r="Y47" i="24"/>
  <c r="V47" i="24"/>
  <c r="S47" i="24"/>
  <c r="O47" i="24"/>
  <c r="J47" i="24"/>
  <c r="E47" i="24"/>
  <c r="AR46" i="24"/>
  <c r="AQ46" i="24"/>
  <c r="AO46" i="24"/>
  <c r="AU46" i="24" s="1"/>
  <c r="Z46" i="24"/>
  <c r="Y46" i="24"/>
  <c r="V46" i="24"/>
  <c r="AK46" i="24" s="1"/>
  <c r="S46" i="24"/>
  <c r="O46" i="24"/>
  <c r="J46" i="24"/>
  <c r="E46" i="24"/>
  <c r="AR45" i="24"/>
  <c r="AQ45" i="24"/>
  <c r="AO45" i="24"/>
  <c r="AU45" i="24" s="1"/>
  <c r="AN45" i="24"/>
  <c r="AT45" i="24" s="1"/>
  <c r="AB45" i="24"/>
  <c r="Z45" i="24"/>
  <c r="Y45" i="24"/>
  <c r="V45" i="24"/>
  <c r="AK45" i="24" s="1"/>
  <c r="S45" i="24"/>
  <c r="O45" i="24"/>
  <c r="J45" i="24"/>
  <c r="E45" i="24"/>
  <c r="AR44" i="24"/>
  <c r="AQ44" i="24"/>
  <c r="AO44" i="24"/>
  <c r="AU44" i="24" s="1"/>
  <c r="AK44" i="24"/>
  <c r="Z44" i="24"/>
  <c r="Y44" i="24"/>
  <c r="V44" i="24"/>
  <c r="S44" i="24"/>
  <c r="AN44" i="24" s="1"/>
  <c r="AT44" i="24" s="1"/>
  <c r="O44" i="24"/>
  <c r="J44" i="24"/>
  <c r="E44" i="24"/>
  <c r="AR43" i="24"/>
  <c r="AQ43" i="24"/>
  <c r="AO43" i="24"/>
  <c r="AU43" i="24" s="1"/>
  <c r="AN43" i="24"/>
  <c r="AT43" i="24" s="1"/>
  <c r="AB43" i="24"/>
  <c r="Z43" i="24"/>
  <c r="Y43" i="24"/>
  <c r="V43" i="24"/>
  <c r="AK43" i="24" s="1"/>
  <c r="S43" i="24"/>
  <c r="O43" i="24"/>
  <c r="J43" i="24"/>
  <c r="E43" i="24"/>
  <c r="AU42" i="24"/>
  <c r="AR42" i="24"/>
  <c r="AQ42" i="24"/>
  <c r="AO42" i="24"/>
  <c r="AK42" i="24"/>
  <c r="AB42" i="24"/>
  <c r="Z42" i="24"/>
  <c r="Y42" i="24"/>
  <c r="V42" i="24"/>
  <c r="S42" i="24"/>
  <c r="AN42" i="24" s="1"/>
  <c r="AT42" i="24" s="1"/>
  <c r="O42" i="24"/>
  <c r="J42" i="24"/>
  <c r="E42" i="24"/>
  <c r="AU41" i="24"/>
  <c r="AR41" i="24"/>
  <c r="AQ41" i="24"/>
  <c r="AO41" i="24"/>
  <c r="AK41" i="24"/>
  <c r="Z41" i="24"/>
  <c r="Y41" i="24"/>
  <c r="V41" i="24"/>
  <c r="S41" i="24"/>
  <c r="AN41" i="24" s="1"/>
  <c r="AT41" i="24" s="1"/>
  <c r="O41" i="24"/>
  <c r="J41" i="24"/>
  <c r="E41" i="24"/>
  <c r="AR40" i="24"/>
  <c r="AQ40" i="24"/>
  <c r="AO40" i="24"/>
  <c r="AU40" i="24" s="1"/>
  <c r="AB40" i="24"/>
  <c r="Z40" i="24"/>
  <c r="Y40" i="24"/>
  <c r="V40" i="24"/>
  <c r="AK40" i="24" s="1"/>
  <c r="S40" i="24"/>
  <c r="AN40" i="24" s="1"/>
  <c r="AT40" i="24" s="1"/>
  <c r="O40" i="24"/>
  <c r="J40" i="24"/>
  <c r="E40" i="24"/>
  <c r="AU39" i="24"/>
  <c r="AR39" i="24"/>
  <c r="AQ39" i="24"/>
  <c r="AO39" i="24"/>
  <c r="AN39" i="24"/>
  <c r="AT39" i="24" s="1"/>
  <c r="AK39" i="24"/>
  <c r="Z39" i="24"/>
  <c r="Y39" i="24"/>
  <c r="V39" i="24"/>
  <c r="S39" i="24"/>
  <c r="O39" i="24"/>
  <c r="J39" i="24"/>
  <c r="E39" i="24"/>
  <c r="AR38" i="24"/>
  <c r="AQ38" i="24"/>
  <c r="AO38" i="24"/>
  <c r="AO90" i="24" s="1"/>
  <c r="Z38" i="24"/>
  <c r="Y38" i="24"/>
  <c r="V38" i="24"/>
  <c r="S38" i="24"/>
  <c r="O38" i="24"/>
  <c r="J38" i="24"/>
  <c r="E38" i="24"/>
  <c r="AR36" i="24"/>
  <c r="AJ36" i="24"/>
  <c r="AJ93" i="24" s="1"/>
  <c r="AH36" i="24"/>
  <c r="AH93" i="24" s="1"/>
  <c r="AG36" i="24"/>
  <c r="AG93" i="24" s="1"/>
  <c r="AF36" i="24"/>
  <c r="AF93" i="24" s="1"/>
  <c r="AR93" i="24" s="1"/>
  <c r="AE36" i="24"/>
  <c r="AE93" i="24" s="1"/>
  <c r="AC36" i="24"/>
  <c r="AC93" i="24" s="1"/>
  <c r="X36" i="24"/>
  <c r="X93" i="24" s="1"/>
  <c r="W36" i="24"/>
  <c r="W93" i="24" s="1"/>
  <c r="U36" i="24"/>
  <c r="U93" i="24" s="1"/>
  <c r="T36" i="24"/>
  <c r="R36" i="24"/>
  <c r="R93" i="24" s="1"/>
  <c r="Q36" i="24"/>
  <c r="Q93" i="24" s="1"/>
  <c r="L36" i="24"/>
  <c r="L93" i="24" s="1"/>
  <c r="H36" i="24"/>
  <c r="H93" i="24" s="1"/>
  <c r="AI33" i="24" s="1"/>
  <c r="G36" i="24"/>
  <c r="G93" i="24" s="1"/>
  <c r="F36" i="24"/>
  <c r="F93" i="24" s="1"/>
  <c r="E36" i="24"/>
  <c r="AR34" i="24"/>
  <c r="AQ34" i="24"/>
  <c r="AO34" i="24"/>
  <c r="AD34" i="24"/>
  <c r="Z34" i="24"/>
  <c r="Y34" i="24"/>
  <c r="V34" i="24"/>
  <c r="AK34" i="24" s="1"/>
  <c r="S34" i="24"/>
  <c r="P34" i="24"/>
  <c r="O34" i="24"/>
  <c r="J34" i="24"/>
  <c r="AR33" i="24"/>
  <c r="AQ33" i="24"/>
  <c r="AO33" i="24"/>
  <c r="AK33" i="24"/>
  <c r="AD33" i="24"/>
  <c r="AB33" i="24"/>
  <c r="Z33" i="24"/>
  <c r="Y33" i="24"/>
  <c r="V33" i="24"/>
  <c r="S33" i="24"/>
  <c r="AP33" i="24" s="1"/>
  <c r="P33" i="24"/>
  <c r="O33" i="24"/>
  <c r="J33" i="24"/>
  <c r="AR32" i="24"/>
  <c r="AQ32" i="24"/>
  <c r="AP32" i="24"/>
  <c r="AO32" i="24"/>
  <c r="AD32" i="24"/>
  <c r="AB32" i="24"/>
  <c r="Z32" i="24"/>
  <c r="Y32" i="24"/>
  <c r="V32" i="24"/>
  <c r="AK32" i="24" s="1"/>
  <c r="S32" i="24"/>
  <c r="AN32" i="24" s="1"/>
  <c r="AT32" i="24" s="1"/>
  <c r="P32" i="24"/>
  <c r="O32" i="24"/>
  <c r="J32" i="24"/>
  <c r="AR31" i="24"/>
  <c r="AQ31" i="24"/>
  <c r="AP31" i="24"/>
  <c r="AO31" i="24"/>
  <c r="AK31" i="24"/>
  <c r="AD31" i="24"/>
  <c r="AB31" i="24"/>
  <c r="Z31" i="24"/>
  <c r="Y31" i="24"/>
  <c r="V31" i="24"/>
  <c r="S31" i="24"/>
  <c r="O31" i="24"/>
  <c r="J31" i="24"/>
  <c r="AR30" i="24"/>
  <c r="AQ30" i="24"/>
  <c r="AP30" i="24"/>
  <c r="AO30" i="24"/>
  <c r="AN30" i="24"/>
  <c r="AT30" i="24" s="1"/>
  <c r="AK30" i="24"/>
  <c r="AB30" i="24"/>
  <c r="Z30" i="24"/>
  <c r="Y30" i="24"/>
  <c r="V30" i="24"/>
  <c r="S30" i="24"/>
  <c r="P30" i="24"/>
  <c r="O30" i="24"/>
  <c r="J30" i="24"/>
  <c r="AR29" i="24"/>
  <c r="AQ29" i="24"/>
  <c r="AP29" i="24"/>
  <c r="AO29" i="24"/>
  <c r="AN29" i="24"/>
  <c r="AT29" i="24" s="1"/>
  <c r="AB29" i="24"/>
  <c r="Z29" i="24"/>
  <c r="Y29" i="24"/>
  <c r="V29" i="24"/>
  <c r="AK29" i="24" s="1"/>
  <c r="S29" i="24"/>
  <c r="P29" i="24"/>
  <c r="O29" i="24"/>
  <c r="J29" i="24"/>
  <c r="AR28" i="24"/>
  <c r="AQ28" i="24"/>
  <c r="AO28" i="24"/>
  <c r="AK28" i="24"/>
  <c r="AB28" i="24"/>
  <c r="Z28" i="24"/>
  <c r="Y28" i="24"/>
  <c r="V28" i="24"/>
  <c r="S28" i="24"/>
  <c r="AN28" i="24" s="1"/>
  <c r="AT28" i="24" s="1"/>
  <c r="O28" i="24"/>
  <c r="J28" i="24"/>
  <c r="AR27" i="24"/>
  <c r="AQ27" i="24"/>
  <c r="AP27" i="24"/>
  <c r="AO27" i="24"/>
  <c r="Z27" i="24"/>
  <c r="Y27" i="24"/>
  <c r="AD27" i="24" s="1"/>
  <c r="V27" i="24"/>
  <c r="AK27" i="24" s="1"/>
  <c r="S27" i="24"/>
  <c r="AB27" i="24" s="1"/>
  <c r="P27" i="24"/>
  <c r="O27" i="24"/>
  <c r="AR26" i="24"/>
  <c r="AQ26" i="24"/>
  <c r="AO26" i="24"/>
  <c r="AD26" i="24"/>
  <c r="Z26" i="24"/>
  <c r="Y26" i="24"/>
  <c r="V26" i="24"/>
  <c r="AK26" i="24" s="1"/>
  <c r="S26" i="24"/>
  <c r="P26" i="24"/>
  <c r="O26" i="24"/>
  <c r="J26" i="24"/>
  <c r="AR25" i="24"/>
  <c r="AQ25" i="24"/>
  <c r="AO25" i="24"/>
  <c r="AK25" i="24"/>
  <c r="AD25" i="24"/>
  <c r="AB25" i="24"/>
  <c r="Z25" i="24"/>
  <c r="Y25" i="24"/>
  <c r="V25" i="24"/>
  <c r="S25" i="24"/>
  <c r="AP25" i="24" s="1"/>
  <c r="P25" i="24"/>
  <c r="O25" i="24"/>
  <c r="J25" i="24"/>
  <c r="AR24" i="24"/>
  <c r="AQ24" i="24"/>
  <c r="AO24" i="24"/>
  <c r="AK24" i="24"/>
  <c r="AD24" i="24"/>
  <c r="Z24" i="24"/>
  <c r="Y24" i="24"/>
  <c r="V24" i="24"/>
  <c r="S24" i="24"/>
  <c r="AN24" i="24" s="1"/>
  <c r="AT24" i="24" s="1"/>
  <c r="O24" i="24"/>
  <c r="J24" i="24"/>
  <c r="AR23" i="24"/>
  <c r="AQ23" i="24"/>
  <c r="AP23" i="24"/>
  <c r="AO23" i="24"/>
  <c r="AK23" i="24"/>
  <c r="AD23" i="24"/>
  <c r="AB23" i="24"/>
  <c r="Z23" i="24"/>
  <c r="Y23" i="24"/>
  <c r="V23" i="24"/>
  <c r="S23" i="24"/>
  <c r="AN23" i="24" s="1"/>
  <c r="AT23" i="24" s="1"/>
  <c r="P23" i="24"/>
  <c r="O23" i="24"/>
  <c r="J23" i="24"/>
  <c r="AR22" i="24"/>
  <c r="AQ22" i="24"/>
  <c r="AP22" i="24"/>
  <c r="AO22" i="24"/>
  <c r="AN22" i="24"/>
  <c r="AT22" i="24" s="1"/>
  <c r="AD22" i="24"/>
  <c r="AB22" i="24"/>
  <c r="Z22" i="24"/>
  <c r="Y22" i="24"/>
  <c r="V22" i="24"/>
  <c r="AK22" i="24" s="1"/>
  <c r="S22" i="24"/>
  <c r="P22" i="24"/>
  <c r="O22" i="24"/>
  <c r="J22" i="24"/>
  <c r="AR21" i="24"/>
  <c r="AQ21" i="24"/>
  <c r="AP21" i="24"/>
  <c r="AO21" i="24"/>
  <c r="AK21" i="24"/>
  <c r="Z21" i="24"/>
  <c r="Y21" i="24"/>
  <c r="V21" i="24"/>
  <c r="S21" i="24"/>
  <c r="AN21" i="24" s="1"/>
  <c r="AT21" i="24" s="1"/>
  <c r="O21" i="24"/>
  <c r="J21" i="24"/>
  <c r="AT20" i="24"/>
  <c r="AR20" i="24"/>
  <c r="AQ20" i="24"/>
  <c r="AP20" i="24"/>
  <c r="AO20" i="24"/>
  <c r="AN20" i="24"/>
  <c r="AD20" i="24"/>
  <c r="AB20" i="24"/>
  <c r="Z20" i="24"/>
  <c r="Y20" i="24"/>
  <c r="V20" i="24"/>
  <c r="AK20" i="24" s="1"/>
  <c r="S20" i="24"/>
  <c r="P20" i="24"/>
  <c r="O20" i="24"/>
  <c r="J20" i="24"/>
  <c r="AR19" i="24"/>
  <c r="AQ19" i="24"/>
  <c r="AO19" i="24"/>
  <c r="AN19" i="24"/>
  <c r="AT19" i="24" s="1"/>
  <c r="AK19" i="24"/>
  <c r="Z19" i="24"/>
  <c r="Y19" i="24"/>
  <c r="V19" i="24"/>
  <c r="S19" i="24"/>
  <c r="O19" i="24"/>
  <c r="AR18" i="24"/>
  <c r="AQ18" i="24"/>
  <c r="AP18" i="24"/>
  <c r="AO18" i="24"/>
  <c r="AB18" i="24"/>
  <c r="Z18" i="24"/>
  <c r="Y18" i="24"/>
  <c r="AD18" i="24" s="1"/>
  <c r="V18" i="24"/>
  <c r="AK18" i="24" s="1"/>
  <c r="S18" i="24"/>
  <c r="AN18" i="24" s="1"/>
  <c r="AT18" i="24" s="1"/>
  <c r="P18" i="24"/>
  <c r="O18" i="24"/>
  <c r="J18" i="24"/>
  <c r="AR17" i="24"/>
  <c r="AQ17" i="24"/>
  <c r="AO17" i="24"/>
  <c r="AK17" i="24"/>
  <c r="AD17" i="24"/>
  <c r="Z17" i="24"/>
  <c r="Y17" i="24"/>
  <c r="V17" i="24"/>
  <c r="S17" i="24"/>
  <c r="O17" i="24"/>
  <c r="J17" i="24"/>
  <c r="AT16" i="24"/>
  <c r="AR16" i="24"/>
  <c r="AQ16" i="24"/>
  <c r="AO16" i="24"/>
  <c r="AN16" i="24"/>
  <c r="AI16" i="24"/>
  <c r="AB16" i="24"/>
  <c r="AL16" i="24" s="1"/>
  <c r="AS16" i="24" s="1" a="1"/>
  <c r="AS16" i="24" s="1"/>
  <c r="AW16" i="24" s="1"/>
  <c r="Z16" i="24"/>
  <c r="Y16" i="24"/>
  <c r="AD16" i="24" s="1"/>
  <c r="V16" i="24"/>
  <c r="AK16" i="24" s="1"/>
  <c r="S16" i="24"/>
  <c r="AP16" i="24" s="1"/>
  <c r="P16" i="24"/>
  <c r="O16" i="24"/>
  <c r="J16" i="24"/>
  <c r="AR15" i="24"/>
  <c r="AQ15" i="24"/>
  <c r="AP15" i="24"/>
  <c r="AO15" i="24"/>
  <c r="AN15" i="24"/>
  <c r="AT15" i="24" s="1"/>
  <c r="AK15" i="24"/>
  <c r="AD15" i="24"/>
  <c r="Z15" i="24"/>
  <c r="Y15" i="24"/>
  <c r="V15" i="24"/>
  <c r="S15" i="24"/>
  <c r="AB15" i="24" s="1"/>
  <c r="O15" i="24"/>
  <c r="J15" i="24"/>
  <c r="AR14" i="24"/>
  <c r="AQ14" i="24"/>
  <c r="AO14" i="24"/>
  <c r="AD14" i="24"/>
  <c r="AB14" i="24"/>
  <c r="Z14" i="24"/>
  <c r="Y14" i="24"/>
  <c r="V14" i="24"/>
  <c r="AK14" i="24" s="1"/>
  <c r="S14" i="24"/>
  <c r="AP14" i="24" s="1"/>
  <c r="P14" i="24"/>
  <c r="O14" i="24"/>
  <c r="J14" i="24"/>
  <c r="AR13" i="24"/>
  <c r="AQ13" i="24"/>
  <c r="AP13" i="24"/>
  <c r="AO13" i="24"/>
  <c r="AK13" i="24"/>
  <c r="Z13" i="24"/>
  <c r="Y13" i="24"/>
  <c r="V13" i="24"/>
  <c r="S13" i="24"/>
  <c r="AN13" i="24" s="1"/>
  <c r="AT13" i="24" s="1"/>
  <c r="O13" i="24"/>
  <c r="J13" i="24"/>
  <c r="AT12" i="24"/>
  <c r="AR12" i="24"/>
  <c r="AQ12" i="24"/>
  <c r="AP12" i="24"/>
  <c r="AO12" i="24"/>
  <c r="AN12" i="24"/>
  <c r="AD12" i="24"/>
  <c r="AB12" i="24"/>
  <c r="Z12" i="24"/>
  <c r="Y12" i="24"/>
  <c r="V12" i="24"/>
  <c r="AK12" i="24" s="1"/>
  <c r="S12" i="24"/>
  <c r="P12" i="24"/>
  <c r="O12" i="24"/>
  <c r="J12" i="24"/>
  <c r="AR11" i="24"/>
  <c r="AQ11" i="24"/>
  <c r="AO11" i="24"/>
  <c r="AN11" i="24"/>
  <c r="AT11" i="24" s="1"/>
  <c r="AK11" i="24"/>
  <c r="Z11" i="24"/>
  <c r="Y11" i="24"/>
  <c r="V11" i="24"/>
  <c r="S11" i="24"/>
  <c r="O11" i="24"/>
  <c r="AR10" i="24"/>
  <c r="AQ10" i="24"/>
  <c r="AP10" i="24"/>
  <c r="AO10" i="24"/>
  <c r="AB10" i="24"/>
  <c r="Z10" i="24"/>
  <c r="Y10" i="24"/>
  <c r="AD10" i="24" s="1"/>
  <c r="V10" i="24"/>
  <c r="AK10" i="24" s="1"/>
  <c r="S10" i="24"/>
  <c r="AN10" i="24" s="1"/>
  <c r="AT10" i="24" s="1"/>
  <c r="P10" i="24"/>
  <c r="O10" i="24"/>
  <c r="J10" i="24"/>
  <c r="AR9" i="24"/>
  <c r="AQ9" i="24"/>
  <c r="AO9" i="24"/>
  <c r="AK9" i="24"/>
  <c r="AD9" i="24"/>
  <c r="Z9" i="24"/>
  <c r="Y9" i="24"/>
  <c r="V9" i="24"/>
  <c r="S9" i="24"/>
  <c r="O9" i="24"/>
  <c r="J9" i="24"/>
  <c r="AT8" i="24"/>
  <c r="AR8" i="24"/>
  <c r="AQ8" i="24"/>
  <c r="AO8" i="24"/>
  <c r="AN8" i="24"/>
  <c r="AI8" i="24"/>
  <c r="AB8" i="24"/>
  <c r="Z8" i="24"/>
  <c r="Y8" i="24"/>
  <c r="AD8" i="24" s="1"/>
  <c r="V8" i="24"/>
  <c r="AK8" i="24" s="1"/>
  <c r="S8" i="24"/>
  <c r="AP8" i="24" s="1"/>
  <c r="P8" i="24"/>
  <c r="O8" i="24"/>
  <c r="J8" i="24"/>
  <c r="AR7" i="24"/>
  <c r="AQ7" i="24"/>
  <c r="AP7" i="24"/>
  <c r="AO7" i="24"/>
  <c r="AN7" i="24"/>
  <c r="AT7" i="24" s="1"/>
  <c r="AK7" i="24"/>
  <c r="AD7" i="24"/>
  <c r="Z7" i="24"/>
  <c r="Y7" i="24"/>
  <c r="V7" i="24"/>
  <c r="S7" i="24"/>
  <c r="AB7" i="24" s="1"/>
  <c r="O7" i="24"/>
  <c r="J7" i="24"/>
  <c r="AR6" i="24"/>
  <c r="AQ6" i="24"/>
  <c r="AO6" i="24"/>
  <c r="AD6" i="24"/>
  <c r="AB6" i="24"/>
  <c r="Z6" i="24"/>
  <c r="Y6" i="24"/>
  <c r="V6" i="24"/>
  <c r="AK6" i="24" s="1"/>
  <c r="S6" i="24"/>
  <c r="AP6" i="24" s="1"/>
  <c r="P6" i="24"/>
  <c r="O6" i="24"/>
  <c r="J6" i="24"/>
  <c r="AR5" i="24"/>
  <c r="AQ5" i="24"/>
  <c r="AP5" i="24"/>
  <c r="AO5" i="24"/>
  <c r="AK5" i="24"/>
  <c r="Z5" i="24"/>
  <c r="Y5" i="24"/>
  <c r="V5" i="24"/>
  <c r="S5" i="24"/>
  <c r="AN5" i="24" s="1"/>
  <c r="AT5" i="24" s="1"/>
  <c r="O5" i="24"/>
  <c r="J5" i="24"/>
  <c r="AT4" i="24"/>
  <c r="AR4" i="24"/>
  <c r="AQ4" i="24"/>
  <c r="AP4" i="24"/>
  <c r="AO4" i="24"/>
  <c r="AN4" i="24"/>
  <c r="AD4" i="24"/>
  <c r="AB4" i="24"/>
  <c r="Z4" i="24"/>
  <c r="Y4" i="24"/>
  <c r="V4" i="24"/>
  <c r="AK4" i="24" s="1"/>
  <c r="S4" i="24"/>
  <c r="P4" i="24"/>
  <c r="O4" i="24"/>
  <c r="J4" i="24"/>
  <c r="AR3" i="24"/>
  <c r="AR35" i="24" s="1"/>
  <c r="AQ3" i="24"/>
  <c r="AQ35" i="24" s="1"/>
  <c r="AO3" i="24"/>
  <c r="AB3" i="24"/>
  <c r="Z3" i="24"/>
  <c r="Z36" i="24" s="1"/>
  <c r="Y3" i="24"/>
  <c r="V3" i="24"/>
  <c r="V36" i="24" s="1"/>
  <c r="S3" i="24"/>
  <c r="AP3" i="24" s="1"/>
  <c r="AP35" i="24" s="1"/>
  <c r="P3" i="24"/>
  <c r="O3" i="24"/>
  <c r="J3" i="24"/>
  <c r="AF94" i="23"/>
  <c r="P93" i="23"/>
  <c r="O93" i="23"/>
  <c r="N93" i="23"/>
  <c r="M93" i="23"/>
  <c r="K93" i="23"/>
  <c r="AJ91" i="23"/>
  <c r="AH91" i="23"/>
  <c r="AG91" i="23"/>
  <c r="AF91" i="23"/>
  <c r="AR91" i="23" s="1"/>
  <c r="AE91" i="23"/>
  <c r="AC91" i="23"/>
  <c r="X91" i="23"/>
  <c r="W91" i="23"/>
  <c r="U91" i="23"/>
  <c r="T91" i="23"/>
  <c r="R91" i="23"/>
  <c r="Q91" i="23"/>
  <c r="L91" i="23"/>
  <c r="H91" i="23"/>
  <c r="G91" i="23"/>
  <c r="F91" i="23"/>
  <c r="AR89" i="23"/>
  <c r="AQ89" i="23"/>
  <c r="AO89" i="23"/>
  <c r="AU89" i="23" s="1"/>
  <c r="AN89" i="23"/>
  <c r="AT89" i="23" s="1"/>
  <c r="AD89" i="23"/>
  <c r="AB89" i="23"/>
  <c r="Z89" i="23"/>
  <c r="Y89" i="23"/>
  <c r="V89" i="23"/>
  <c r="AK89" i="23" s="1"/>
  <c r="S89" i="23"/>
  <c r="AP89" i="23" s="1"/>
  <c r="P89" i="23"/>
  <c r="O89" i="23"/>
  <c r="J89" i="23"/>
  <c r="E89" i="23"/>
  <c r="AR88" i="23"/>
  <c r="AQ88" i="23"/>
  <c r="AP88" i="23"/>
  <c r="AO88" i="23"/>
  <c r="AU88" i="23" s="1"/>
  <c r="AN88" i="23"/>
  <c r="AT88" i="23" s="1"/>
  <c r="AD88" i="23"/>
  <c r="AB88" i="23"/>
  <c r="Z88" i="23"/>
  <c r="Y88" i="23"/>
  <c r="V88" i="23"/>
  <c r="AK88" i="23" s="1"/>
  <c r="S88" i="23"/>
  <c r="P88" i="23"/>
  <c r="O88" i="23"/>
  <c r="J88" i="23"/>
  <c r="E88" i="23"/>
  <c r="AU87" i="23"/>
  <c r="AR87" i="23"/>
  <c r="AQ87" i="23"/>
  <c r="AP87" i="23"/>
  <c r="AO87" i="23"/>
  <c r="AN87" i="23"/>
  <c r="AT87" i="23" s="1"/>
  <c r="AD87" i="23"/>
  <c r="AB87" i="23"/>
  <c r="Z87" i="23"/>
  <c r="Y87" i="23"/>
  <c r="V87" i="23"/>
  <c r="AK87" i="23" s="1"/>
  <c r="S87" i="23"/>
  <c r="P87" i="23"/>
  <c r="O87" i="23"/>
  <c r="J87" i="23"/>
  <c r="E87" i="23"/>
  <c r="AU86" i="23"/>
  <c r="AR86" i="23"/>
  <c r="AQ86" i="23"/>
  <c r="AP86" i="23"/>
  <c r="AO86" i="23"/>
  <c r="AN86" i="23"/>
  <c r="AT86" i="23" s="1"/>
  <c r="AD86" i="23"/>
  <c r="AB86" i="23"/>
  <c r="Z86" i="23"/>
  <c r="Y86" i="23"/>
  <c r="V86" i="23"/>
  <c r="AK86" i="23" s="1"/>
  <c r="S86" i="23"/>
  <c r="P86" i="23"/>
  <c r="O86" i="23"/>
  <c r="J86" i="23"/>
  <c r="E86" i="23"/>
  <c r="AU85" i="23"/>
  <c r="AR85" i="23"/>
  <c r="AQ85" i="23"/>
  <c r="AP85" i="23"/>
  <c r="AO85" i="23"/>
  <c r="AN85" i="23"/>
  <c r="AT85" i="23" s="1"/>
  <c r="AD85" i="23"/>
  <c r="AB85" i="23"/>
  <c r="Z85" i="23"/>
  <c r="Y85" i="23"/>
  <c r="V85" i="23"/>
  <c r="AK85" i="23" s="1"/>
  <c r="S85" i="23"/>
  <c r="P85" i="23"/>
  <c r="O85" i="23"/>
  <c r="J85" i="23"/>
  <c r="E85" i="23"/>
  <c r="AU84" i="23"/>
  <c r="AR84" i="23"/>
  <c r="AQ84" i="23"/>
  <c r="AP84" i="23"/>
  <c r="AO84" i="23"/>
  <c r="AN84" i="23"/>
  <c r="AT84" i="23" s="1"/>
  <c r="AD84" i="23"/>
  <c r="AB84" i="23"/>
  <c r="Z84" i="23"/>
  <c r="Y84" i="23"/>
  <c r="V84" i="23"/>
  <c r="AK84" i="23" s="1"/>
  <c r="S84" i="23"/>
  <c r="P84" i="23"/>
  <c r="O84" i="23"/>
  <c r="J84" i="23"/>
  <c r="E84" i="23"/>
  <c r="AR83" i="23"/>
  <c r="AQ83" i="23"/>
  <c r="AP83" i="23"/>
  <c r="AO83" i="23"/>
  <c r="AU83" i="23" s="1"/>
  <c r="AN83" i="23"/>
  <c r="AT83" i="23" s="1"/>
  <c r="AD83" i="23"/>
  <c r="AB83" i="23"/>
  <c r="Z83" i="23"/>
  <c r="Y83" i="23"/>
  <c r="V83" i="23"/>
  <c r="AK83" i="23" s="1"/>
  <c r="S83" i="23"/>
  <c r="P83" i="23"/>
  <c r="O83" i="23"/>
  <c r="J83" i="23"/>
  <c r="E83" i="23"/>
  <c r="AU82" i="23"/>
  <c r="AR82" i="23"/>
  <c r="AQ82" i="23"/>
  <c r="AP82" i="23"/>
  <c r="AO82" i="23"/>
  <c r="AN82" i="23"/>
  <c r="AT82" i="23" s="1"/>
  <c r="AD82" i="23"/>
  <c r="AB82" i="23"/>
  <c r="Z82" i="23"/>
  <c r="Y82" i="23"/>
  <c r="V82" i="23"/>
  <c r="AK82" i="23" s="1"/>
  <c r="S82" i="23"/>
  <c r="P82" i="23"/>
  <c r="O82" i="23"/>
  <c r="J82" i="23"/>
  <c r="E82" i="23"/>
  <c r="AR81" i="23"/>
  <c r="AQ81" i="23"/>
  <c r="AP81" i="23"/>
  <c r="AO81" i="23"/>
  <c r="AU81" i="23" s="1"/>
  <c r="AN81" i="23"/>
  <c r="AT81" i="23" s="1"/>
  <c r="AD81" i="23"/>
  <c r="AB81" i="23"/>
  <c r="Z81" i="23"/>
  <c r="Y81" i="23"/>
  <c r="V81" i="23"/>
  <c r="AK81" i="23" s="1"/>
  <c r="S81" i="23"/>
  <c r="P81" i="23"/>
  <c r="O81" i="23"/>
  <c r="J81" i="23"/>
  <c r="E81" i="23"/>
  <c r="AR80" i="23"/>
  <c r="AQ80" i="23"/>
  <c r="AO80" i="23"/>
  <c r="AU80" i="23" s="1"/>
  <c r="AN80" i="23"/>
  <c r="AT80" i="23" s="1"/>
  <c r="AD80" i="23"/>
  <c r="AB80" i="23"/>
  <c r="Z80" i="23"/>
  <c r="Y80" i="23"/>
  <c r="V80" i="23"/>
  <c r="AK80" i="23" s="1"/>
  <c r="S80" i="23"/>
  <c r="AP80" i="23" s="1"/>
  <c r="P80" i="23"/>
  <c r="O80" i="23"/>
  <c r="J80" i="23"/>
  <c r="E80" i="23"/>
  <c r="AR79" i="23"/>
  <c r="AQ79" i="23"/>
  <c r="AO79" i="23"/>
  <c r="AU79" i="23" s="1"/>
  <c r="AN79" i="23"/>
  <c r="AT79" i="23" s="1"/>
  <c r="AD79" i="23"/>
  <c r="AB79" i="23"/>
  <c r="Z79" i="23"/>
  <c r="Y79" i="23"/>
  <c r="V79" i="23"/>
  <c r="AK79" i="23" s="1"/>
  <c r="S79" i="23"/>
  <c r="AP79" i="23" s="1"/>
  <c r="P79" i="23"/>
  <c r="O79" i="23"/>
  <c r="J79" i="23"/>
  <c r="E79" i="23"/>
  <c r="AR78" i="23"/>
  <c r="AQ78" i="23"/>
  <c r="AO78" i="23"/>
  <c r="AU78" i="23" s="1"/>
  <c r="AN78" i="23"/>
  <c r="AT78" i="23" s="1"/>
  <c r="AD78" i="23"/>
  <c r="AB78" i="23"/>
  <c r="Z78" i="23"/>
  <c r="Y78" i="23"/>
  <c r="V78" i="23"/>
  <c r="AK78" i="23" s="1"/>
  <c r="S78" i="23"/>
  <c r="AP78" i="23" s="1"/>
  <c r="P78" i="23"/>
  <c r="O78" i="23"/>
  <c r="J78" i="23"/>
  <c r="E78" i="23"/>
  <c r="AR77" i="23"/>
  <c r="AQ77" i="23"/>
  <c r="AO77" i="23"/>
  <c r="AU77" i="23" s="1"/>
  <c r="AN77" i="23"/>
  <c r="AT77" i="23" s="1"/>
  <c r="AD77" i="23"/>
  <c r="AB77" i="23"/>
  <c r="Z77" i="23"/>
  <c r="Y77" i="23"/>
  <c r="V77" i="23"/>
  <c r="AK77" i="23" s="1"/>
  <c r="S77" i="23"/>
  <c r="AP77" i="23" s="1"/>
  <c r="P77" i="23"/>
  <c r="O77" i="23"/>
  <c r="J77" i="23"/>
  <c r="E77" i="23"/>
  <c r="AR76" i="23"/>
  <c r="AQ76" i="23"/>
  <c r="AO76" i="23"/>
  <c r="AU76" i="23" s="1"/>
  <c r="AN76" i="23"/>
  <c r="AT76" i="23" s="1"/>
  <c r="AD76" i="23"/>
  <c r="AB76" i="23"/>
  <c r="Z76" i="23"/>
  <c r="Y76" i="23"/>
  <c r="V76" i="23"/>
  <c r="AK76" i="23" s="1"/>
  <c r="S76" i="23"/>
  <c r="AP76" i="23" s="1"/>
  <c r="P76" i="23"/>
  <c r="O76" i="23"/>
  <c r="J76" i="23"/>
  <c r="E76" i="23"/>
  <c r="AR75" i="23"/>
  <c r="AQ75" i="23"/>
  <c r="AO75" i="23"/>
  <c r="AU75" i="23" s="1"/>
  <c r="AN75" i="23"/>
  <c r="AT75" i="23" s="1"/>
  <c r="AD75" i="23"/>
  <c r="AB75" i="23"/>
  <c r="Z75" i="23"/>
  <c r="Y75" i="23"/>
  <c r="V75" i="23"/>
  <c r="AK75" i="23" s="1"/>
  <c r="S75" i="23"/>
  <c r="AP75" i="23" s="1"/>
  <c r="P75" i="23"/>
  <c r="O75" i="23"/>
  <c r="J75" i="23"/>
  <c r="E75" i="23"/>
  <c r="AU74" i="23"/>
  <c r="AR74" i="23"/>
  <c r="AQ74" i="23"/>
  <c r="AO74" i="23"/>
  <c r="AN74" i="23"/>
  <c r="AT74" i="23" s="1"/>
  <c r="AD74" i="23"/>
  <c r="AB74" i="23"/>
  <c r="Z74" i="23"/>
  <c r="Y74" i="23"/>
  <c r="V74" i="23"/>
  <c r="AK74" i="23" s="1"/>
  <c r="S74" i="23"/>
  <c r="AP74" i="23" s="1"/>
  <c r="P74" i="23"/>
  <c r="O74" i="23"/>
  <c r="J74" i="23"/>
  <c r="E74" i="23"/>
  <c r="AR73" i="23"/>
  <c r="AQ73" i="23"/>
  <c r="AO73" i="23"/>
  <c r="AU73" i="23" s="1"/>
  <c r="AN73" i="23"/>
  <c r="AT73" i="23" s="1"/>
  <c r="AD73" i="23"/>
  <c r="AB73" i="23"/>
  <c r="Z73" i="23"/>
  <c r="Y73" i="23"/>
  <c r="V73" i="23"/>
  <c r="AK73" i="23" s="1"/>
  <c r="S73" i="23"/>
  <c r="AP73" i="23" s="1"/>
  <c r="P73" i="23"/>
  <c r="O73" i="23"/>
  <c r="J73" i="23"/>
  <c r="E73" i="23"/>
  <c r="AR72" i="23"/>
  <c r="AQ72" i="23"/>
  <c r="AP72" i="23"/>
  <c r="AO72" i="23"/>
  <c r="AU72" i="23" s="1"/>
  <c r="AN72" i="23"/>
  <c r="AT72" i="23" s="1"/>
  <c r="AD72" i="23"/>
  <c r="AB72" i="23"/>
  <c r="Z72" i="23"/>
  <c r="Y72" i="23"/>
  <c r="V72" i="23"/>
  <c r="AK72" i="23" s="1"/>
  <c r="S72" i="23"/>
  <c r="P72" i="23"/>
  <c r="O72" i="23"/>
  <c r="J72" i="23"/>
  <c r="E72" i="23"/>
  <c r="AR71" i="23"/>
  <c r="AQ71" i="23"/>
  <c r="AO71" i="23"/>
  <c r="AU71" i="23" s="1"/>
  <c r="AN71" i="23"/>
  <c r="AT71" i="23" s="1"/>
  <c r="AD71" i="23"/>
  <c r="AB71" i="23"/>
  <c r="Z71" i="23"/>
  <c r="Y71" i="23"/>
  <c r="V71" i="23"/>
  <c r="AK71" i="23" s="1"/>
  <c r="S71" i="23"/>
  <c r="AP71" i="23" s="1"/>
  <c r="P71" i="23"/>
  <c r="O71" i="23"/>
  <c r="J71" i="23"/>
  <c r="E71" i="23"/>
  <c r="AR70" i="23"/>
  <c r="AQ70" i="23"/>
  <c r="AO70" i="23"/>
  <c r="AU70" i="23" s="1"/>
  <c r="AN70" i="23"/>
  <c r="AT70" i="23" s="1"/>
  <c r="AD70" i="23"/>
  <c r="AB70" i="23"/>
  <c r="Z70" i="23"/>
  <c r="Y70" i="23"/>
  <c r="V70" i="23"/>
  <c r="AK70" i="23" s="1"/>
  <c r="S70" i="23"/>
  <c r="AP70" i="23" s="1"/>
  <c r="P70" i="23"/>
  <c r="O70" i="23"/>
  <c r="J70" i="23"/>
  <c r="E70" i="23"/>
  <c r="AR69" i="23"/>
  <c r="AQ69" i="23"/>
  <c r="AO69" i="23"/>
  <c r="AU69" i="23" s="1"/>
  <c r="AN69" i="23"/>
  <c r="AT69" i="23" s="1"/>
  <c r="AD69" i="23"/>
  <c r="AB69" i="23"/>
  <c r="Z69" i="23"/>
  <c r="Y69" i="23"/>
  <c r="V69" i="23"/>
  <c r="AK69" i="23" s="1"/>
  <c r="S69" i="23"/>
  <c r="AP69" i="23" s="1"/>
  <c r="P69" i="23"/>
  <c r="O69" i="23"/>
  <c r="J69" i="23"/>
  <c r="E69" i="23"/>
  <c r="AR68" i="23"/>
  <c r="AQ68" i="23"/>
  <c r="AO68" i="23"/>
  <c r="AU68" i="23" s="1"/>
  <c r="AN68" i="23"/>
  <c r="AT68" i="23" s="1"/>
  <c r="AD68" i="23"/>
  <c r="AB68" i="23"/>
  <c r="Z68" i="23"/>
  <c r="Y68" i="23"/>
  <c r="V68" i="23"/>
  <c r="AK68" i="23" s="1"/>
  <c r="S68" i="23"/>
  <c r="AP68" i="23" s="1"/>
  <c r="P68" i="23"/>
  <c r="O68" i="23"/>
  <c r="J68" i="23"/>
  <c r="E68" i="23"/>
  <c r="AR67" i="23"/>
  <c r="AQ67" i="23"/>
  <c r="AO67" i="23"/>
  <c r="AU67" i="23" s="1"/>
  <c r="AN67" i="23"/>
  <c r="AT67" i="23" s="1"/>
  <c r="AD67" i="23"/>
  <c r="AB67" i="23"/>
  <c r="Z67" i="23"/>
  <c r="Y67" i="23"/>
  <c r="V67" i="23"/>
  <c r="AK67" i="23" s="1"/>
  <c r="S67" i="23"/>
  <c r="AP67" i="23" s="1"/>
  <c r="P67" i="23"/>
  <c r="O67" i="23"/>
  <c r="J67" i="23"/>
  <c r="E67" i="23"/>
  <c r="AR66" i="23"/>
  <c r="AQ66" i="23"/>
  <c r="AO66" i="23"/>
  <c r="AU66" i="23" s="1"/>
  <c r="AN66" i="23"/>
  <c r="AT66" i="23" s="1"/>
  <c r="AD66" i="23"/>
  <c r="AB66" i="23"/>
  <c r="Z66" i="23"/>
  <c r="Y66" i="23"/>
  <c r="V66" i="23"/>
  <c r="AK66" i="23" s="1"/>
  <c r="S66" i="23"/>
  <c r="AP66" i="23" s="1"/>
  <c r="P66" i="23"/>
  <c r="O66" i="23"/>
  <c r="J66" i="23"/>
  <c r="E66" i="23"/>
  <c r="AU65" i="23"/>
  <c r="AR65" i="23"/>
  <c r="AQ65" i="23"/>
  <c r="AO65" i="23"/>
  <c r="AN65" i="23"/>
  <c r="AT65" i="23" s="1"/>
  <c r="AD65" i="23"/>
  <c r="AB65" i="23"/>
  <c r="Z65" i="23"/>
  <c r="Y65" i="23"/>
  <c r="V65" i="23"/>
  <c r="AK65" i="23" s="1"/>
  <c r="S65" i="23"/>
  <c r="AP65" i="23" s="1"/>
  <c r="P65" i="23"/>
  <c r="O65" i="23"/>
  <c r="J65" i="23"/>
  <c r="E65" i="23"/>
  <c r="AR64" i="23"/>
  <c r="AQ64" i="23"/>
  <c r="AO64" i="23"/>
  <c r="AU64" i="23" s="1"/>
  <c r="AN64" i="23"/>
  <c r="AT64" i="23" s="1"/>
  <c r="AD64" i="23"/>
  <c r="AB64" i="23"/>
  <c r="Z64" i="23"/>
  <c r="Y64" i="23"/>
  <c r="V64" i="23"/>
  <c r="AK64" i="23" s="1"/>
  <c r="S64" i="23"/>
  <c r="AP64" i="23" s="1"/>
  <c r="P64" i="23"/>
  <c r="O64" i="23"/>
  <c r="J64" i="23"/>
  <c r="E64" i="23"/>
  <c r="AR63" i="23"/>
  <c r="AQ63" i="23"/>
  <c r="AO63" i="23"/>
  <c r="AU63" i="23" s="1"/>
  <c r="AN63" i="23"/>
  <c r="AT63" i="23" s="1"/>
  <c r="AD63" i="23"/>
  <c r="AB63" i="23"/>
  <c r="Z63" i="23"/>
  <c r="Y63" i="23"/>
  <c r="V63" i="23"/>
  <c r="AK63" i="23" s="1"/>
  <c r="S63" i="23"/>
  <c r="AP63" i="23" s="1"/>
  <c r="P63" i="23"/>
  <c r="O63" i="23"/>
  <c r="J63" i="23"/>
  <c r="E63" i="23"/>
  <c r="AR62" i="23"/>
  <c r="AQ62" i="23"/>
  <c r="AO62" i="23"/>
  <c r="AU62" i="23" s="1"/>
  <c r="AN62" i="23"/>
  <c r="AT62" i="23" s="1"/>
  <c r="AD62" i="23"/>
  <c r="AB62" i="23"/>
  <c r="Z62" i="23"/>
  <c r="Y62" i="23"/>
  <c r="V62" i="23"/>
  <c r="AK62" i="23" s="1"/>
  <c r="S62" i="23"/>
  <c r="AP62" i="23" s="1"/>
  <c r="P62" i="23"/>
  <c r="O62" i="23"/>
  <c r="J62" i="23"/>
  <c r="E62" i="23"/>
  <c r="AR61" i="23"/>
  <c r="AQ61" i="23"/>
  <c r="AO61" i="23"/>
  <c r="AU61" i="23" s="1"/>
  <c r="AN61" i="23"/>
  <c r="AT61" i="23" s="1"/>
  <c r="AD61" i="23"/>
  <c r="AB61" i="23"/>
  <c r="Z61" i="23"/>
  <c r="Y61" i="23"/>
  <c r="V61" i="23"/>
  <c r="AK61" i="23" s="1"/>
  <c r="S61" i="23"/>
  <c r="AP61" i="23" s="1"/>
  <c r="P61" i="23"/>
  <c r="O61" i="23"/>
  <c r="J61" i="23"/>
  <c r="E61" i="23"/>
  <c r="AR60" i="23"/>
  <c r="AQ60" i="23"/>
  <c r="AO60" i="23"/>
  <c r="AU60" i="23" s="1"/>
  <c r="AN60" i="23"/>
  <c r="AT60" i="23" s="1"/>
  <c r="AI60" i="23"/>
  <c r="AD60" i="23"/>
  <c r="AB60" i="23"/>
  <c r="Z60" i="23"/>
  <c r="Y60" i="23"/>
  <c r="V60" i="23"/>
  <c r="AK60" i="23" s="1"/>
  <c r="S60" i="23"/>
  <c r="AP60" i="23" s="1"/>
  <c r="P60" i="23"/>
  <c r="O60" i="23"/>
  <c r="J60" i="23"/>
  <c r="E60" i="23"/>
  <c r="AR59" i="23"/>
  <c r="AQ59" i="23"/>
  <c r="AO59" i="23"/>
  <c r="AU59" i="23" s="1"/>
  <c r="AN59" i="23"/>
  <c r="AT59" i="23" s="1"/>
  <c r="AI59" i="23"/>
  <c r="AD59" i="23"/>
  <c r="AB59" i="23"/>
  <c r="Z59" i="23"/>
  <c r="Y59" i="23"/>
  <c r="V59" i="23"/>
  <c r="AK59" i="23" s="1"/>
  <c r="S59" i="23"/>
  <c r="AP59" i="23" s="1"/>
  <c r="P59" i="23"/>
  <c r="O59" i="23"/>
  <c r="J59" i="23"/>
  <c r="E59" i="23"/>
  <c r="AR58" i="23"/>
  <c r="AQ58" i="23"/>
  <c r="AO58" i="23"/>
  <c r="AU58" i="23" s="1"/>
  <c r="AN58" i="23"/>
  <c r="AT58" i="23" s="1"/>
  <c r="AB58" i="23"/>
  <c r="Z58" i="23"/>
  <c r="Y58" i="23"/>
  <c r="V58" i="23"/>
  <c r="AK58" i="23" s="1"/>
  <c r="S58" i="23"/>
  <c r="AP58" i="23" s="1"/>
  <c r="P58" i="23"/>
  <c r="O58" i="23"/>
  <c r="J58" i="23"/>
  <c r="E58" i="23"/>
  <c r="AR57" i="23"/>
  <c r="AQ57" i="23"/>
  <c r="AO57" i="23"/>
  <c r="AU57" i="23" s="1"/>
  <c r="AN57" i="23"/>
  <c r="AT57" i="23" s="1"/>
  <c r="AB57" i="23"/>
  <c r="Z57" i="23"/>
  <c r="Y57" i="23"/>
  <c r="V57" i="23"/>
  <c r="AK57" i="23" s="1"/>
  <c r="S57" i="23"/>
  <c r="AP57" i="23" s="1"/>
  <c r="P57" i="23"/>
  <c r="O57" i="23"/>
  <c r="J57" i="23"/>
  <c r="E57" i="23"/>
  <c r="AR56" i="23"/>
  <c r="AQ56" i="23"/>
  <c r="AO56" i="23"/>
  <c r="AU56" i="23" s="1"/>
  <c r="AN56" i="23"/>
  <c r="AT56" i="23" s="1"/>
  <c r="AB56" i="23"/>
  <c r="Z56" i="23"/>
  <c r="Y56" i="23"/>
  <c r="V56" i="23"/>
  <c r="AK56" i="23" s="1"/>
  <c r="S56" i="23"/>
  <c r="AP56" i="23" s="1"/>
  <c r="P56" i="23"/>
  <c r="O56" i="23"/>
  <c r="J56" i="23"/>
  <c r="E56" i="23"/>
  <c r="AR55" i="23"/>
  <c r="AQ55" i="23"/>
  <c r="AO55" i="23"/>
  <c r="AU55" i="23" s="1"/>
  <c r="AN55" i="23"/>
  <c r="AT55" i="23" s="1"/>
  <c r="AD55" i="23"/>
  <c r="AB55" i="23"/>
  <c r="Z55" i="23"/>
  <c r="Y55" i="23"/>
  <c r="V55" i="23"/>
  <c r="AK55" i="23" s="1"/>
  <c r="S55" i="23"/>
  <c r="AP55" i="23" s="1"/>
  <c r="P55" i="23"/>
  <c r="O55" i="23"/>
  <c r="J55" i="23"/>
  <c r="E55" i="23"/>
  <c r="AR54" i="23"/>
  <c r="AQ54" i="23"/>
  <c r="AO54" i="23"/>
  <c r="AU54" i="23" s="1"/>
  <c r="AN54" i="23"/>
  <c r="AT54" i="23" s="1"/>
  <c r="AI54" i="23"/>
  <c r="AB54" i="23"/>
  <c r="Z54" i="23"/>
  <c r="Y54" i="23"/>
  <c r="V54" i="23"/>
  <c r="AK54" i="23" s="1"/>
  <c r="S54" i="23"/>
  <c r="AP54" i="23" s="1"/>
  <c r="P54" i="23"/>
  <c r="O54" i="23"/>
  <c r="J54" i="23"/>
  <c r="E54" i="23"/>
  <c r="AR53" i="23"/>
  <c r="AQ53" i="23"/>
  <c r="AO53" i="23"/>
  <c r="AU53" i="23" s="1"/>
  <c r="AN53" i="23"/>
  <c r="AT53" i="23" s="1"/>
  <c r="AB53" i="23"/>
  <c r="Z53" i="23"/>
  <c r="Y53" i="23"/>
  <c r="V53" i="23"/>
  <c r="AK53" i="23" s="1"/>
  <c r="S53" i="23"/>
  <c r="AP53" i="23" s="1"/>
  <c r="P53" i="23"/>
  <c r="O53" i="23"/>
  <c r="E53" i="23"/>
  <c r="J53" i="23" s="1"/>
  <c r="AU52" i="23"/>
  <c r="AR52" i="23"/>
  <c r="AQ52" i="23"/>
  <c r="AP52" i="23"/>
  <c r="AO52" i="23"/>
  <c r="AN52" i="23"/>
  <c r="AT52" i="23" s="1"/>
  <c r="AD52" i="23"/>
  <c r="AB52" i="23"/>
  <c r="Z52" i="23"/>
  <c r="Y52" i="23"/>
  <c r="V52" i="23"/>
  <c r="AK52" i="23" s="1"/>
  <c r="S52" i="23"/>
  <c r="P52" i="23"/>
  <c r="O52" i="23"/>
  <c r="J52" i="23"/>
  <c r="E52" i="23"/>
  <c r="AR51" i="23"/>
  <c r="AQ51" i="23"/>
  <c r="AP51" i="23"/>
  <c r="AO51" i="23"/>
  <c r="AU51" i="23" s="1"/>
  <c r="AN51" i="23"/>
  <c r="AT51" i="23" s="1"/>
  <c r="AB51" i="23"/>
  <c r="Z51" i="23"/>
  <c r="Y51" i="23"/>
  <c r="V51" i="23"/>
  <c r="AK51" i="23" s="1"/>
  <c r="S51" i="23"/>
  <c r="P51" i="23"/>
  <c r="O51" i="23"/>
  <c r="E51" i="23"/>
  <c r="J51" i="23" s="1"/>
  <c r="AU50" i="23"/>
  <c r="AR50" i="23"/>
  <c r="AQ50" i="23"/>
  <c r="AO50" i="23"/>
  <c r="AK50" i="23"/>
  <c r="AI50" i="23"/>
  <c r="Z50" i="23"/>
  <c r="Y50" i="23"/>
  <c r="AD50" i="23" s="1"/>
  <c r="V50" i="23"/>
  <c r="S50" i="23"/>
  <c r="O50" i="23"/>
  <c r="E50" i="23"/>
  <c r="J50" i="23" s="1"/>
  <c r="AR49" i="23"/>
  <c r="AQ49" i="23"/>
  <c r="AO49" i="23"/>
  <c r="AU49" i="23" s="1"/>
  <c r="AK49" i="23"/>
  <c r="AI49" i="23"/>
  <c r="Z49" i="23"/>
  <c r="Y49" i="23"/>
  <c r="AD49" i="23" s="1"/>
  <c r="V49" i="23"/>
  <c r="S49" i="23"/>
  <c r="P49" i="23"/>
  <c r="O49" i="23"/>
  <c r="E49" i="23"/>
  <c r="J49" i="23" s="1"/>
  <c r="AR48" i="23"/>
  <c r="AQ48" i="23"/>
  <c r="AO48" i="23"/>
  <c r="AU48" i="23" s="1"/>
  <c r="AK48" i="23"/>
  <c r="AI48" i="23"/>
  <c r="Z48" i="23"/>
  <c r="Y48" i="23"/>
  <c r="AD48" i="23" s="1"/>
  <c r="V48" i="23"/>
  <c r="S48" i="23"/>
  <c r="O48" i="23"/>
  <c r="E48" i="23"/>
  <c r="J48" i="23" s="1"/>
  <c r="AR47" i="23"/>
  <c r="AQ47" i="23"/>
  <c r="AO47" i="23"/>
  <c r="AU47" i="23" s="1"/>
  <c r="AK47" i="23"/>
  <c r="AI47" i="23"/>
  <c r="Z47" i="23"/>
  <c r="Y47" i="23"/>
  <c r="AD47" i="23" s="1"/>
  <c r="V47" i="23"/>
  <c r="S47" i="23"/>
  <c r="P47" i="23"/>
  <c r="O47" i="23"/>
  <c r="E47" i="23"/>
  <c r="J47" i="23" s="1"/>
  <c r="AR46" i="23"/>
  <c r="AQ46" i="23"/>
  <c r="AO46" i="23"/>
  <c r="AU46" i="23" s="1"/>
  <c r="AK46" i="23"/>
  <c r="AI46" i="23"/>
  <c r="Z46" i="23"/>
  <c r="Y46" i="23"/>
  <c r="AD46" i="23" s="1"/>
  <c r="V46" i="23"/>
  <c r="S46" i="23"/>
  <c r="P46" i="23" s="1"/>
  <c r="O46" i="23"/>
  <c r="E46" i="23"/>
  <c r="J46" i="23" s="1"/>
  <c r="AU45" i="23"/>
  <c r="AR45" i="23"/>
  <c r="AQ45" i="23"/>
  <c r="AO45" i="23"/>
  <c r="AN45" i="23"/>
  <c r="AT45" i="23" s="1"/>
  <c r="AK45" i="23"/>
  <c r="AI45" i="23"/>
  <c r="Z45" i="23"/>
  <c r="Y45" i="23"/>
  <c r="V45" i="23"/>
  <c r="S45" i="23"/>
  <c r="P45" i="23" s="1"/>
  <c r="O45" i="23"/>
  <c r="E45" i="23"/>
  <c r="J45" i="23" s="1"/>
  <c r="AR44" i="23"/>
  <c r="AQ44" i="23"/>
  <c r="AO44" i="23"/>
  <c r="AU44" i="23" s="1"/>
  <c r="AN44" i="23"/>
  <c r="AT44" i="23" s="1"/>
  <c r="AK44" i="23"/>
  <c r="AI44" i="23"/>
  <c r="Z44" i="23"/>
  <c r="Y44" i="23"/>
  <c r="V44" i="23"/>
  <c r="S44" i="23"/>
  <c r="P44" i="23" s="1"/>
  <c r="O44" i="23"/>
  <c r="E44" i="23"/>
  <c r="J44" i="23" s="1"/>
  <c r="AR43" i="23"/>
  <c r="AQ43" i="23"/>
  <c r="AO43" i="23"/>
  <c r="AU43" i="23" s="1"/>
  <c r="AN43" i="23"/>
  <c r="AT43" i="23" s="1"/>
  <c r="AK43" i="23"/>
  <c r="AI43" i="23"/>
  <c r="Z43" i="23"/>
  <c r="Y43" i="23"/>
  <c r="V43" i="23"/>
  <c r="S43" i="23"/>
  <c r="P43" i="23" s="1"/>
  <c r="O43" i="23"/>
  <c r="E43" i="23"/>
  <c r="J43" i="23" s="1"/>
  <c r="AR42" i="23"/>
  <c r="AQ42" i="23"/>
  <c r="AO42" i="23"/>
  <c r="AU42" i="23" s="1"/>
  <c r="AN42" i="23"/>
  <c r="AT42" i="23" s="1"/>
  <c r="AK42" i="23"/>
  <c r="AI42" i="23"/>
  <c r="Z42" i="23"/>
  <c r="Y42" i="23"/>
  <c r="V42" i="23"/>
  <c r="S42" i="23"/>
  <c r="P42" i="23" s="1"/>
  <c r="O42" i="23"/>
  <c r="E42" i="23"/>
  <c r="J42" i="23" s="1"/>
  <c r="AR41" i="23"/>
  <c r="AQ41" i="23"/>
  <c r="AO41" i="23"/>
  <c r="AU41" i="23" s="1"/>
  <c r="AN41" i="23"/>
  <c r="AT41" i="23" s="1"/>
  <c r="AK41" i="23"/>
  <c r="AI41" i="23"/>
  <c r="Z41" i="23"/>
  <c r="Y41" i="23"/>
  <c r="V41" i="23"/>
  <c r="S41" i="23"/>
  <c r="P41" i="23" s="1"/>
  <c r="O41" i="23"/>
  <c r="E41" i="23"/>
  <c r="J41" i="23" s="1"/>
  <c r="AR40" i="23"/>
  <c r="AQ40" i="23"/>
  <c r="AO40" i="23"/>
  <c r="AU40" i="23" s="1"/>
  <c r="AN40" i="23"/>
  <c r="AT40" i="23" s="1"/>
  <c r="AK40" i="23"/>
  <c r="AI40" i="23"/>
  <c r="Z40" i="23"/>
  <c r="Y40" i="23"/>
  <c r="V40" i="23"/>
  <c r="S40" i="23"/>
  <c r="P40" i="23" s="1"/>
  <c r="O40" i="23"/>
  <c r="E40" i="23"/>
  <c r="J40" i="23" s="1"/>
  <c r="AR39" i="23"/>
  <c r="AQ39" i="23"/>
  <c r="AO39" i="23"/>
  <c r="AU39" i="23" s="1"/>
  <c r="AN39" i="23"/>
  <c r="AT39" i="23" s="1"/>
  <c r="AK39" i="23"/>
  <c r="AI39" i="23"/>
  <c r="Z39" i="23"/>
  <c r="Y39" i="23"/>
  <c r="V39" i="23"/>
  <c r="S39" i="23"/>
  <c r="P39" i="23" s="1"/>
  <c r="O39" i="23"/>
  <c r="E39" i="23"/>
  <c r="J39" i="23" s="1"/>
  <c r="AR38" i="23"/>
  <c r="AQ38" i="23"/>
  <c r="AO38" i="23"/>
  <c r="AU38" i="23" s="1"/>
  <c r="AN38" i="23"/>
  <c r="AK38" i="23"/>
  <c r="AI38" i="23"/>
  <c r="AI91" i="23" s="1"/>
  <c r="Z38" i="23"/>
  <c r="Y38" i="23"/>
  <c r="V38" i="23"/>
  <c r="V91" i="23" s="1"/>
  <c r="S38" i="23"/>
  <c r="P38" i="23" s="1"/>
  <c r="O38" i="23"/>
  <c r="E38" i="23"/>
  <c r="AR36" i="23"/>
  <c r="AJ36" i="23"/>
  <c r="AJ93" i="23" s="1"/>
  <c r="AH36" i="23"/>
  <c r="AH93" i="23" s="1"/>
  <c r="AG36" i="23"/>
  <c r="AG93" i="23" s="1"/>
  <c r="AF36" i="23"/>
  <c r="AF93" i="23" s="1"/>
  <c r="AE36" i="23"/>
  <c r="AE93" i="23" s="1"/>
  <c r="AC36" i="23"/>
  <c r="X36" i="23"/>
  <c r="X93" i="23" s="1"/>
  <c r="W36" i="23"/>
  <c r="W93" i="23" s="1"/>
  <c r="U36" i="23"/>
  <c r="U93" i="23" s="1"/>
  <c r="T36" i="23"/>
  <c r="T93" i="23" s="1"/>
  <c r="R36" i="23"/>
  <c r="R93" i="23" s="1"/>
  <c r="Q36" i="23"/>
  <c r="Q93" i="23" s="1"/>
  <c r="L36" i="23"/>
  <c r="L93" i="23" s="1"/>
  <c r="H36" i="23"/>
  <c r="H93" i="23" s="1"/>
  <c r="G36" i="23"/>
  <c r="G93" i="23" s="1"/>
  <c r="F36" i="23"/>
  <c r="F93" i="23" s="1"/>
  <c r="AR34" i="23"/>
  <c r="AQ34" i="23"/>
  <c r="AO34" i="23"/>
  <c r="AK34" i="23"/>
  <c r="AI34" i="23"/>
  <c r="AD34" i="23"/>
  <c r="Z34" i="23"/>
  <c r="Y34" i="23"/>
  <c r="V34" i="23"/>
  <c r="S34" i="23"/>
  <c r="AB34" i="23" s="1"/>
  <c r="AL34" i="23" s="1"/>
  <c r="O34" i="23"/>
  <c r="J34" i="23"/>
  <c r="AR33" i="23"/>
  <c r="AQ33" i="23"/>
  <c r="AP33" i="23"/>
  <c r="AO33" i="23"/>
  <c r="AK33" i="23"/>
  <c r="AI33" i="23"/>
  <c r="AD33" i="23"/>
  <c r="AB33" i="23"/>
  <c r="Z33" i="23"/>
  <c r="Y33" i="23"/>
  <c r="V33" i="23"/>
  <c r="S33" i="23"/>
  <c r="AN33" i="23" s="1"/>
  <c r="AT33" i="23" s="1"/>
  <c r="P33" i="23"/>
  <c r="O33" i="23"/>
  <c r="J33" i="23"/>
  <c r="AR32" i="23"/>
  <c r="AQ32" i="23"/>
  <c r="AP32" i="23"/>
  <c r="AO32" i="23"/>
  <c r="AI32" i="23"/>
  <c r="AD32" i="23"/>
  <c r="AB32" i="23"/>
  <c r="Z32" i="23"/>
  <c r="Y32" i="23"/>
  <c r="V32" i="23"/>
  <c r="AK32" i="23" s="1"/>
  <c r="S32" i="23"/>
  <c r="AN32" i="23" s="1"/>
  <c r="AT32" i="23" s="1"/>
  <c r="P32" i="23"/>
  <c r="O32" i="23"/>
  <c r="J32" i="23"/>
  <c r="AR31" i="23"/>
  <c r="AQ31" i="23"/>
  <c r="AP31" i="23"/>
  <c r="AO31" i="23"/>
  <c r="AN31" i="23"/>
  <c r="AT31" i="23" s="1"/>
  <c r="AI31" i="23"/>
  <c r="AB31" i="23"/>
  <c r="Z31" i="23"/>
  <c r="Y31" i="23"/>
  <c r="V31" i="23"/>
  <c r="AK31" i="23" s="1"/>
  <c r="S31" i="23"/>
  <c r="P31" i="23"/>
  <c r="O31" i="23"/>
  <c r="J31" i="23"/>
  <c r="AT30" i="23"/>
  <c r="AR30" i="23"/>
  <c r="AQ30" i="23"/>
  <c r="AP30" i="23"/>
  <c r="AO30" i="23"/>
  <c r="AN30" i="23"/>
  <c r="AL30" i="23"/>
  <c r="AI30" i="23"/>
  <c r="AB30" i="23"/>
  <c r="Z30" i="23"/>
  <c r="Y30" i="23"/>
  <c r="AD30" i="23" s="1"/>
  <c r="V30" i="23"/>
  <c r="AK30" i="23" s="1"/>
  <c r="S30" i="23"/>
  <c r="P30" i="23"/>
  <c r="O30" i="23"/>
  <c r="J30" i="23"/>
  <c r="AR29" i="23"/>
  <c r="AQ29" i="23"/>
  <c r="AO29" i="23"/>
  <c r="AK29" i="23"/>
  <c r="AI29" i="23"/>
  <c r="AD29" i="23"/>
  <c r="Z29" i="23"/>
  <c r="Y29" i="23"/>
  <c r="V29" i="23"/>
  <c r="S29" i="23"/>
  <c r="O29" i="23"/>
  <c r="J29" i="23"/>
  <c r="AR28" i="23"/>
  <c r="AQ28" i="23"/>
  <c r="AO28" i="23"/>
  <c r="AK28" i="23"/>
  <c r="AI28" i="23"/>
  <c r="Z28" i="23"/>
  <c r="Y28" i="23"/>
  <c r="V28" i="23"/>
  <c r="S28" i="23"/>
  <c r="AN28" i="23" s="1"/>
  <c r="AT28" i="23" s="1"/>
  <c r="P28" i="23"/>
  <c r="O28" i="23"/>
  <c r="J28" i="23"/>
  <c r="AT27" i="23"/>
  <c r="AR27" i="23"/>
  <c r="AQ27" i="23"/>
  <c r="AP27" i="23"/>
  <c r="AO27" i="23"/>
  <c r="AU27" i="23" s="1"/>
  <c r="AN27" i="23"/>
  <c r="AI27" i="23"/>
  <c r="AL27" i="23" s="1"/>
  <c r="AS27" i="23" s="1" a="1"/>
  <c r="AS27" i="23" s="1"/>
  <c r="AD27" i="23"/>
  <c r="AB27" i="23"/>
  <c r="Z27" i="23"/>
  <c r="Y27" i="23"/>
  <c r="V27" i="23"/>
  <c r="AK27" i="23" s="1"/>
  <c r="S27" i="23"/>
  <c r="P27" i="23"/>
  <c r="O27" i="23"/>
  <c r="AR26" i="23"/>
  <c r="AQ26" i="23"/>
  <c r="AO26" i="23"/>
  <c r="AK26" i="23"/>
  <c r="AI26" i="23"/>
  <c r="AD26" i="23"/>
  <c r="AB26" i="23"/>
  <c r="Z26" i="23"/>
  <c r="Y26" i="23"/>
  <c r="V26" i="23"/>
  <c r="S26" i="23"/>
  <c r="O26" i="23"/>
  <c r="J26" i="23"/>
  <c r="AR25" i="23"/>
  <c r="AQ25" i="23"/>
  <c r="AP25" i="23"/>
  <c r="AO25" i="23"/>
  <c r="AK25" i="23"/>
  <c r="AI25" i="23"/>
  <c r="AB25" i="23"/>
  <c r="Z25" i="23"/>
  <c r="Y25" i="23"/>
  <c r="V25" i="23"/>
  <c r="S25" i="23"/>
  <c r="AN25" i="23" s="1"/>
  <c r="AT25" i="23" s="1"/>
  <c r="P25" i="23"/>
  <c r="O25" i="23"/>
  <c r="J25" i="23"/>
  <c r="AR24" i="23"/>
  <c r="AQ24" i="23"/>
  <c r="AP24" i="23"/>
  <c r="AO24" i="23"/>
  <c r="AN24" i="23"/>
  <c r="AT24" i="23" s="1"/>
  <c r="AI24" i="23"/>
  <c r="AD24" i="23"/>
  <c r="Z24" i="23"/>
  <c r="Y24" i="23"/>
  <c r="V24" i="23"/>
  <c r="AK24" i="23" s="1"/>
  <c r="S24" i="23"/>
  <c r="AB24" i="23" s="1"/>
  <c r="P24" i="23"/>
  <c r="O24" i="23"/>
  <c r="J24" i="23"/>
  <c r="AR23" i="23"/>
  <c r="AQ23" i="23"/>
  <c r="AO23" i="23"/>
  <c r="AN23" i="23"/>
  <c r="AT23" i="23" s="1"/>
  <c r="AI23" i="23"/>
  <c r="AB23" i="23"/>
  <c r="Z23" i="23"/>
  <c r="Y23" i="23"/>
  <c r="V23" i="23"/>
  <c r="AK23" i="23" s="1"/>
  <c r="S23" i="23"/>
  <c r="O23" i="23"/>
  <c r="J23" i="23"/>
  <c r="AT22" i="23"/>
  <c r="AR22" i="23"/>
  <c r="AQ22" i="23"/>
  <c r="AP22" i="23"/>
  <c r="AO22" i="23"/>
  <c r="AN22" i="23"/>
  <c r="AL22" i="23"/>
  <c r="AI22" i="23"/>
  <c r="AB22" i="23"/>
  <c r="Z22" i="23"/>
  <c r="Y22" i="23"/>
  <c r="AD22" i="23" s="1"/>
  <c r="V22" i="23"/>
  <c r="AK22" i="23" s="1"/>
  <c r="S22" i="23"/>
  <c r="P22" i="23"/>
  <c r="O22" i="23"/>
  <c r="AR21" i="23"/>
  <c r="AQ21" i="23"/>
  <c r="AO21" i="23"/>
  <c r="AK21" i="23"/>
  <c r="AI21" i="23"/>
  <c r="AD21" i="23"/>
  <c r="Z21" i="23"/>
  <c r="Y21" i="23"/>
  <c r="V21" i="23"/>
  <c r="S21" i="23"/>
  <c r="O21" i="23"/>
  <c r="J21" i="23"/>
  <c r="AR20" i="23"/>
  <c r="AQ20" i="23"/>
  <c r="AO20" i="23"/>
  <c r="AK20" i="23"/>
  <c r="AI20" i="23"/>
  <c r="Z20" i="23"/>
  <c r="Y20" i="23"/>
  <c r="V20" i="23"/>
  <c r="S20" i="23"/>
  <c r="P20" i="23"/>
  <c r="O20" i="23"/>
  <c r="J20" i="23"/>
  <c r="AT19" i="23"/>
  <c r="AR19" i="23"/>
  <c r="AQ19" i="23"/>
  <c r="AP19" i="23"/>
  <c r="AO19" i="23"/>
  <c r="AN19" i="23"/>
  <c r="AI19" i="23"/>
  <c r="AD19" i="23"/>
  <c r="AB19" i="23"/>
  <c r="AL19" i="23" s="1"/>
  <c r="AS19" i="23" s="1" a="1"/>
  <c r="AS19" i="23" s="1"/>
  <c r="Z19" i="23"/>
  <c r="Y19" i="23"/>
  <c r="V19" i="23"/>
  <c r="AK19" i="23" s="1"/>
  <c r="S19" i="23"/>
  <c r="P19" i="23"/>
  <c r="O19" i="23"/>
  <c r="AR18" i="23"/>
  <c r="AQ18" i="23"/>
  <c r="AO18" i="23"/>
  <c r="AK18" i="23"/>
  <c r="AI18" i="23"/>
  <c r="AD18" i="23"/>
  <c r="AB18" i="23"/>
  <c r="AL18" i="23" s="1"/>
  <c r="Z18" i="23"/>
  <c r="Y18" i="23"/>
  <c r="V18" i="23"/>
  <c r="S18" i="23"/>
  <c r="O18" i="23"/>
  <c r="J18" i="23"/>
  <c r="AR17" i="23"/>
  <c r="AQ17" i="23"/>
  <c r="AP17" i="23"/>
  <c r="AO17" i="23"/>
  <c r="AK17" i="23"/>
  <c r="AI17" i="23"/>
  <c r="AB17" i="23"/>
  <c r="Z17" i="23"/>
  <c r="Y17" i="23"/>
  <c r="V17" i="23"/>
  <c r="S17" i="23"/>
  <c r="AN17" i="23" s="1"/>
  <c r="AT17" i="23" s="1"/>
  <c r="P17" i="23"/>
  <c r="O17" i="23"/>
  <c r="J17" i="23"/>
  <c r="AR16" i="23"/>
  <c r="AQ16" i="23"/>
  <c r="AP16" i="23"/>
  <c r="AO16" i="23"/>
  <c r="AN16" i="23"/>
  <c r="AT16" i="23" s="1"/>
  <c r="AI16" i="23"/>
  <c r="AD16" i="23"/>
  <c r="AB16" i="23"/>
  <c r="Z16" i="23"/>
  <c r="Y16" i="23"/>
  <c r="V16" i="23"/>
  <c r="AK16" i="23" s="1"/>
  <c r="S16" i="23"/>
  <c r="P16" i="23"/>
  <c r="O16" i="23"/>
  <c r="J16" i="23"/>
  <c r="AR15" i="23"/>
  <c r="AQ15" i="23"/>
  <c r="AO15" i="23"/>
  <c r="AN15" i="23"/>
  <c r="AT15" i="23" s="1"/>
  <c r="AI15" i="23"/>
  <c r="AB15" i="23"/>
  <c r="Z15" i="23"/>
  <c r="Y15" i="23"/>
  <c r="V15" i="23"/>
  <c r="AK15" i="23" s="1"/>
  <c r="S15" i="23"/>
  <c r="O15" i="23"/>
  <c r="J15" i="23"/>
  <c r="AT14" i="23"/>
  <c r="AR14" i="23"/>
  <c r="AQ14" i="23"/>
  <c r="AP14" i="23"/>
  <c r="AO14" i="23"/>
  <c r="AN14" i="23"/>
  <c r="AI14" i="23"/>
  <c r="AB14" i="23"/>
  <c r="Z14" i="23"/>
  <c r="Y14" i="23"/>
  <c r="AD14" i="23" s="1"/>
  <c r="V14" i="23"/>
  <c r="AK14" i="23" s="1"/>
  <c r="S14" i="23"/>
  <c r="O14" i="23"/>
  <c r="AR13" i="23"/>
  <c r="AQ13" i="23"/>
  <c r="AO13" i="23"/>
  <c r="AI13" i="23"/>
  <c r="AD13" i="23"/>
  <c r="Z13" i="23"/>
  <c r="Y13" i="23"/>
  <c r="V13" i="23"/>
  <c r="AK13" i="23" s="1"/>
  <c r="S13" i="23"/>
  <c r="O13" i="23"/>
  <c r="J13" i="23"/>
  <c r="AR12" i="23"/>
  <c r="AQ12" i="23"/>
  <c r="AO12" i="23"/>
  <c r="AK12" i="23"/>
  <c r="AI12" i="23"/>
  <c r="Z12" i="23"/>
  <c r="Y12" i="23"/>
  <c r="V12" i="23"/>
  <c r="S12" i="23"/>
  <c r="O12" i="23"/>
  <c r="J12" i="23"/>
  <c r="AR11" i="23"/>
  <c r="AQ11" i="23"/>
  <c r="AP11" i="23"/>
  <c r="AO11" i="23"/>
  <c r="AN11" i="23"/>
  <c r="AT11" i="23" s="1"/>
  <c r="AI11" i="23"/>
  <c r="AD11" i="23"/>
  <c r="AB11" i="23"/>
  <c r="Z11" i="23"/>
  <c r="Y11" i="23"/>
  <c r="V11" i="23"/>
  <c r="AK11" i="23" s="1"/>
  <c r="S11" i="23"/>
  <c r="P11" i="23"/>
  <c r="O11" i="23"/>
  <c r="AR10" i="23"/>
  <c r="AQ10" i="23"/>
  <c r="AO10" i="23"/>
  <c r="AK10" i="23"/>
  <c r="AI10" i="23"/>
  <c r="AD10" i="23"/>
  <c r="Z10" i="23"/>
  <c r="Y10" i="23"/>
  <c r="V10" i="23"/>
  <c r="S10" i="23"/>
  <c r="P10" i="23" s="1"/>
  <c r="O10" i="23"/>
  <c r="J10" i="23"/>
  <c r="AR9" i="23"/>
  <c r="AQ9" i="23"/>
  <c r="AP9" i="23"/>
  <c r="AO9" i="23"/>
  <c r="AK9" i="23"/>
  <c r="AI9" i="23"/>
  <c r="AD9" i="23"/>
  <c r="AB9" i="23"/>
  <c r="Z9" i="23"/>
  <c r="Y9" i="23"/>
  <c r="V9" i="23"/>
  <c r="S9" i="23"/>
  <c r="AN9" i="23" s="1"/>
  <c r="AT9" i="23" s="1"/>
  <c r="O9" i="23"/>
  <c r="J9" i="23"/>
  <c r="AR8" i="23"/>
  <c r="AQ8" i="23"/>
  <c r="AP8" i="23"/>
  <c r="AO8" i="23"/>
  <c r="AN8" i="23"/>
  <c r="AT8" i="23" s="1"/>
  <c r="AK8" i="23"/>
  <c r="AI8" i="23"/>
  <c r="AB8" i="23"/>
  <c r="Z8" i="23"/>
  <c r="Y8" i="23"/>
  <c r="V8" i="23"/>
  <c r="S8" i="23"/>
  <c r="P8" i="23"/>
  <c r="O8" i="23"/>
  <c r="J8" i="23"/>
  <c r="AT7" i="23"/>
  <c r="AR7" i="23"/>
  <c r="AQ7" i="23"/>
  <c r="AP7" i="23"/>
  <c r="AO7" i="23"/>
  <c r="AN7" i="23"/>
  <c r="AI7" i="23"/>
  <c r="AD7" i="23"/>
  <c r="AB7" i="23"/>
  <c r="Z7" i="23"/>
  <c r="Y7" i="23"/>
  <c r="V7" i="23"/>
  <c r="AK7" i="23" s="1"/>
  <c r="AL7" i="23" s="1"/>
  <c r="AS7" i="23" s="1" a="1"/>
  <c r="AS7" i="23" s="1"/>
  <c r="AW7" i="23" s="1"/>
  <c r="S7" i="23"/>
  <c r="P7" i="23"/>
  <c r="O7" i="23"/>
  <c r="J7" i="23"/>
  <c r="AR6" i="23"/>
  <c r="AQ6" i="23"/>
  <c r="AO6" i="23"/>
  <c r="AK6" i="23"/>
  <c r="AI6" i="23"/>
  <c r="Z6" i="23"/>
  <c r="Y6" i="23"/>
  <c r="AD6" i="23" s="1"/>
  <c r="V6" i="23"/>
  <c r="S6" i="23"/>
  <c r="O6" i="23"/>
  <c r="AT5" i="23"/>
  <c r="AR5" i="23"/>
  <c r="AQ5" i="23"/>
  <c r="AP5" i="23"/>
  <c r="AO5" i="23"/>
  <c r="AN5" i="23"/>
  <c r="AI5" i="23"/>
  <c r="AL5" i="23" s="1"/>
  <c r="AS5" i="23" s="1" a="1"/>
  <c r="AS5" i="23" s="1"/>
  <c r="AB5" i="23"/>
  <c r="Z5" i="23"/>
  <c r="Y5" i="23"/>
  <c r="AD5" i="23" s="1"/>
  <c r="V5" i="23"/>
  <c r="AK5" i="23" s="1"/>
  <c r="S5" i="23"/>
  <c r="P5" i="23"/>
  <c r="O5" i="23"/>
  <c r="J5" i="23"/>
  <c r="AR4" i="23"/>
  <c r="AQ4" i="23"/>
  <c r="AO4" i="23"/>
  <c r="AK4" i="23"/>
  <c r="AI4" i="23"/>
  <c r="AD4" i="23"/>
  <c r="Z4" i="23"/>
  <c r="Y4" i="23"/>
  <c r="V4" i="23"/>
  <c r="S4" i="23"/>
  <c r="AB4" i="23" s="1"/>
  <c r="AL4" i="23" s="1"/>
  <c r="O4" i="23"/>
  <c r="J4" i="23"/>
  <c r="AR3" i="23"/>
  <c r="AR35" i="23" s="1"/>
  <c r="AQ3" i="23"/>
  <c r="AP3" i="23"/>
  <c r="AO3" i="23"/>
  <c r="AI3" i="23"/>
  <c r="AD3" i="23"/>
  <c r="Z3" i="23"/>
  <c r="Y3" i="23"/>
  <c r="V3" i="23"/>
  <c r="AK3" i="23" s="1"/>
  <c r="S3" i="23"/>
  <c r="AB3" i="23" s="1"/>
  <c r="P3" i="23"/>
  <c r="O3" i="23"/>
  <c r="J3" i="23"/>
  <c r="J16" i="22"/>
  <c r="O16" i="22"/>
  <c r="P16" i="22"/>
  <c r="AK16" i="22"/>
  <c r="AN16" i="22"/>
  <c r="AT16" i="22" s="1"/>
  <c r="AO16" i="22"/>
  <c r="AP16" i="22"/>
  <c r="AQ16" i="22"/>
  <c r="AR16" i="22"/>
  <c r="O17" i="22"/>
  <c r="P17" i="22"/>
  <c r="AK17" i="22"/>
  <c r="AN17" i="22"/>
  <c r="AT17" i="22" s="1"/>
  <c r="AO17" i="22"/>
  <c r="AP17" i="22"/>
  <c r="AQ17" i="22"/>
  <c r="AR17" i="22"/>
  <c r="J18" i="22"/>
  <c r="O18" i="22"/>
  <c r="P18" i="22"/>
  <c r="AK18" i="22"/>
  <c r="AO18" i="22"/>
  <c r="AP18" i="22"/>
  <c r="AQ18" i="22"/>
  <c r="AR18" i="22"/>
  <c r="O19" i="22"/>
  <c r="P19" i="22"/>
  <c r="AK19" i="22"/>
  <c r="AN19" i="22"/>
  <c r="AO19" i="22"/>
  <c r="AP19" i="22"/>
  <c r="AQ19" i="22"/>
  <c r="AR19" i="22"/>
  <c r="AT19" i="22"/>
  <c r="J20" i="22"/>
  <c r="O20" i="22"/>
  <c r="AN20" i="22"/>
  <c r="AT20" i="22" s="1"/>
  <c r="AK20" i="22"/>
  <c r="AO20" i="22"/>
  <c r="AQ20" i="22"/>
  <c r="AR20" i="22"/>
  <c r="J21" i="22"/>
  <c r="O21" i="22"/>
  <c r="P21" i="22"/>
  <c r="AN21" i="22"/>
  <c r="AT21" i="22" s="1"/>
  <c r="AK21" i="22"/>
  <c r="AO21" i="22"/>
  <c r="AQ21" i="22"/>
  <c r="AR21" i="22"/>
  <c r="J22" i="22"/>
  <c r="O22" i="22"/>
  <c r="AP22" i="22"/>
  <c r="AK22" i="22"/>
  <c r="AO22" i="22"/>
  <c r="AQ22" i="22"/>
  <c r="AR22" i="22"/>
  <c r="J23" i="22"/>
  <c r="O23" i="22"/>
  <c r="AP23" i="22"/>
  <c r="AK23" i="22"/>
  <c r="AO23" i="22"/>
  <c r="AQ23" i="22"/>
  <c r="AR23" i="22"/>
  <c r="O24" i="22"/>
  <c r="P24" i="22"/>
  <c r="AK24" i="22"/>
  <c r="AN24" i="22"/>
  <c r="AT24" i="22" s="1"/>
  <c r="AO24" i="22"/>
  <c r="AP24" i="22"/>
  <c r="AQ24" i="22"/>
  <c r="AR24" i="22"/>
  <c r="O25" i="22"/>
  <c r="P25" i="22"/>
  <c r="AK25" i="22"/>
  <c r="AN25" i="22"/>
  <c r="AT25" i="22" s="1"/>
  <c r="AO25" i="22"/>
  <c r="AQ25" i="22"/>
  <c r="AR25" i="22"/>
  <c r="J26" i="22"/>
  <c r="O26" i="22"/>
  <c r="P26" i="22"/>
  <c r="AK26" i="22"/>
  <c r="AO26" i="22"/>
  <c r="AP26" i="22"/>
  <c r="AQ26" i="22"/>
  <c r="AR26" i="22"/>
  <c r="O27" i="22"/>
  <c r="P27" i="22"/>
  <c r="AK27" i="22"/>
  <c r="AN27" i="22"/>
  <c r="AT27" i="22" s="1"/>
  <c r="AO27" i="22"/>
  <c r="AP27" i="22"/>
  <c r="AQ27" i="22"/>
  <c r="AR27" i="22"/>
  <c r="O28" i="22"/>
  <c r="AN28" i="22"/>
  <c r="AT28" i="22" s="1"/>
  <c r="AK28" i="22"/>
  <c r="AO28" i="22"/>
  <c r="AQ28" i="22"/>
  <c r="AR28" i="22"/>
  <c r="J29" i="22"/>
  <c r="O29" i="22"/>
  <c r="P29" i="22"/>
  <c r="AN29" i="22"/>
  <c r="AT29" i="22" s="1"/>
  <c r="AK29" i="22"/>
  <c r="AO29" i="22"/>
  <c r="AP29" i="22"/>
  <c r="AQ29" i="22"/>
  <c r="AR29" i="22"/>
  <c r="J30" i="22"/>
  <c r="O30" i="22"/>
  <c r="AP30" i="22"/>
  <c r="AK30" i="22"/>
  <c r="AO30" i="22"/>
  <c r="AQ30" i="22"/>
  <c r="AR30" i="22"/>
  <c r="J31" i="22"/>
  <c r="O31" i="22"/>
  <c r="AP31" i="22"/>
  <c r="AK31" i="22"/>
  <c r="AO31" i="22"/>
  <c r="AQ31" i="22"/>
  <c r="AR31" i="22"/>
  <c r="J32" i="22"/>
  <c r="O32" i="22"/>
  <c r="P32" i="22"/>
  <c r="AK32" i="22"/>
  <c r="AN32" i="22"/>
  <c r="AT32" i="22" s="1"/>
  <c r="AO32" i="22"/>
  <c r="AP32" i="22"/>
  <c r="AQ32" i="22"/>
  <c r="AR32" i="22"/>
  <c r="O33" i="22"/>
  <c r="P33" i="22"/>
  <c r="AK33" i="22"/>
  <c r="AN33" i="22"/>
  <c r="AT33" i="22" s="1"/>
  <c r="AO33" i="22"/>
  <c r="AQ33" i="22"/>
  <c r="AR33" i="22"/>
  <c r="J34" i="22"/>
  <c r="O34" i="22"/>
  <c r="P34" i="22"/>
  <c r="AK34" i="22"/>
  <c r="AO34" i="22"/>
  <c r="AP34" i="22"/>
  <c r="AQ34" i="22"/>
  <c r="AR34" i="22"/>
  <c r="L36" i="19"/>
  <c r="AH36" i="22"/>
  <c r="AG36" i="22"/>
  <c r="AF36" i="22"/>
  <c r="L36" i="22"/>
  <c r="G10" i="3" s="1"/>
  <c r="H36" i="22"/>
  <c r="G36" i="22"/>
  <c r="F36" i="22"/>
  <c r="C36" i="26"/>
  <c r="D11" i="26" s="1"/>
  <c r="D23" i="27" l="1"/>
  <c r="D27" i="27"/>
  <c r="D32" i="27"/>
  <c r="K23" i="27"/>
  <c r="K27" i="27"/>
  <c r="K32" i="27"/>
  <c r="D24" i="27"/>
  <c r="D28" i="27"/>
  <c r="D34" i="27"/>
  <c r="K25" i="27"/>
  <c r="D30" i="27"/>
  <c r="D26" i="27"/>
  <c r="K30" i="27"/>
  <c r="K22" i="27"/>
  <c r="K26" i="27"/>
  <c r="D31" i="27"/>
  <c r="D31" i="26"/>
  <c r="D29" i="26"/>
  <c r="D23" i="26"/>
  <c r="D21" i="26"/>
  <c r="D30" i="26"/>
  <c r="D22" i="26"/>
  <c r="D28" i="26"/>
  <c r="D20" i="26"/>
  <c r="D35" i="26"/>
  <c r="D27" i="26"/>
  <c r="D19" i="26"/>
  <c r="D34" i="26"/>
  <c r="D26" i="26"/>
  <c r="D18" i="26"/>
  <c r="D33" i="26"/>
  <c r="D25" i="26"/>
  <c r="D17" i="26"/>
  <c r="D32" i="26"/>
  <c r="D24" i="26"/>
  <c r="S27" i="25"/>
  <c r="V29" i="25"/>
  <c r="AK29" i="25" s="1"/>
  <c r="V25" i="25"/>
  <c r="AK25" i="25" s="1"/>
  <c r="Y20" i="25"/>
  <c r="AD20" i="25" s="1"/>
  <c r="AN29" i="25"/>
  <c r="AT29" i="25" s="1"/>
  <c r="AP29" i="25"/>
  <c r="AQ23" i="25"/>
  <c r="AQ22" i="25"/>
  <c r="S22" i="25"/>
  <c r="AP21" i="25"/>
  <c r="V33" i="25"/>
  <c r="AK33" i="25" s="1"/>
  <c r="Y29" i="25"/>
  <c r="Y26" i="25"/>
  <c r="Y25" i="25"/>
  <c r="AD25" i="25" s="1"/>
  <c r="Y24" i="25"/>
  <c r="AD24" i="25" s="1"/>
  <c r="V19" i="25"/>
  <c r="AK19" i="25" s="1"/>
  <c r="S18" i="25"/>
  <c r="S17" i="25"/>
  <c r="AN17" i="25" s="1"/>
  <c r="AT17" i="25" s="1"/>
  <c r="S16" i="25"/>
  <c r="AN16" i="25" s="1"/>
  <c r="AT16" i="25" s="1"/>
  <c r="S31" i="25"/>
  <c r="AB31" i="25" s="1"/>
  <c r="AL31" i="25" s="1"/>
  <c r="AS31" i="25" s="1" a="1"/>
  <c r="AS31" i="25" s="1"/>
  <c r="S33" i="25"/>
  <c r="S32" i="25"/>
  <c r="AN32" i="25" s="1"/>
  <c r="AT32" i="25" s="1"/>
  <c r="AR29" i="25"/>
  <c r="P21" i="25"/>
  <c r="S19" i="25"/>
  <c r="AQ29" i="25"/>
  <c r="Y21" i="25"/>
  <c r="AD21" i="25" s="1"/>
  <c r="AR34" i="25"/>
  <c r="AQ27" i="25"/>
  <c r="AR23" i="25"/>
  <c r="V23" i="25"/>
  <c r="AK23" i="25" s="1"/>
  <c r="AQ34" i="25"/>
  <c r="O25" i="25"/>
  <c r="Z31" i="25"/>
  <c r="O34" i="25"/>
  <c r="E36" i="22"/>
  <c r="AU90" i="23"/>
  <c r="AU19" i="23"/>
  <c r="AL8" i="23"/>
  <c r="AS8" i="23" s="1" a="1"/>
  <c r="AS8" i="23" s="1"/>
  <c r="AU18" i="23"/>
  <c r="AO35" i="23"/>
  <c r="AL14" i="23"/>
  <c r="AL11" i="23"/>
  <c r="AS11" i="23" s="1" a="1"/>
  <c r="AS11" i="23" s="1"/>
  <c r="AL17" i="23"/>
  <c r="AS17" i="23" s="1" a="1"/>
  <c r="AS17" i="23" s="1"/>
  <c r="AW17" i="23" s="1"/>
  <c r="AL25" i="23"/>
  <c r="AS25" i="23" s="1" a="1"/>
  <c r="AS25" i="23" s="1"/>
  <c r="AU7" i="23"/>
  <c r="AU16" i="24"/>
  <c r="AU38" i="24"/>
  <c r="AW19" i="23"/>
  <c r="J6" i="23"/>
  <c r="J36" i="23" s="1"/>
  <c r="AW27" i="23"/>
  <c r="J19" i="24"/>
  <c r="J27" i="24"/>
  <c r="J36" i="24"/>
  <c r="E11" i="25"/>
  <c r="E36" i="25" s="1"/>
  <c r="L4" i="27"/>
  <c r="K35" i="27"/>
  <c r="K34" i="27"/>
  <c r="K33" i="27"/>
  <c r="E4" i="27"/>
  <c r="K31" i="27"/>
  <c r="D35" i="27"/>
  <c r="AD34" i="25"/>
  <c r="P34" i="25"/>
  <c r="AN34" i="25"/>
  <c r="AT34" i="25" s="1"/>
  <c r="AP34" i="25"/>
  <c r="AB34" i="25"/>
  <c r="AL34" i="25" s="1"/>
  <c r="AS34" i="25" s="1" a="1"/>
  <c r="AS34" i="25" s="1"/>
  <c r="AW34" i="25" s="1"/>
  <c r="AD33" i="25"/>
  <c r="AD17" i="25"/>
  <c r="AN31" i="25"/>
  <c r="AT31" i="25" s="1"/>
  <c r="P31" i="25"/>
  <c r="AD29" i="25"/>
  <c r="P27" i="25"/>
  <c r="AN27" i="25"/>
  <c r="AT27" i="25" s="1"/>
  <c r="AP27" i="25"/>
  <c r="AB27" i="25"/>
  <c r="AP26" i="25"/>
  <c r="AB26" i="25"/>
  <c r="AL26" i="25" s="1"/>
  <c r="AS26" i="25" s="1" a="1"/>
  <c r="AS26" i="25" s="1"/>
  <c r="P26" i="25"/>
  <c r="AN26" i="25"/>
  <c r="AT26" i="25" s="1"/>
  <c r="AP23" i="25"/>
  <c r="P23" i="25"/>
  <c r="AB23" i="25"/>
  <c r="AN23" i="25"/>
  <c r="AT23" i="25" s="1"/>
  <c r="P19" i="25"/>
  <c r="AB19" i="25"/>
  <c r="AL19" i="25" s="1"/>
  <c r="AS19" i="25" s="1" a="1"/>
  <c r="AS19" i="25" s="1"/>
  <c r="AN19" i="25"/>
  <c r="AT19" i="25" s="1"/>
  <c r="AP19" i="25"/>
  <c r="AP18" i="25"/>
  <c r="AB18" i="25"/>
  <c r="AL18" i="25" s="1"/>
  <c r="AS18" i="25" s="1" a="1"/>
  <c r="AS18" i="25" s="1"/>
  <c r="P18" i="25"/>
  <c r="AN18" i="25"/>
  <c r="AT18" i="25" s="1"/>
  <c r="AD32" i="25"/>
  <c r="AL27" i="25"/>
  <c r="AS27" i="25" s="1" a="1"/>
  <c r="AS27" i="25" s="1"/>
  <c r="AD16" i="25"/>
  <c r="P33" i="25"/>
  <c r="AN33" i="25"/>
  <c r="AT33" i="25" s="1"/>
  <c r="AP33" i="25"/>
  <c r="AB33" i="25"/>
  <c r="AD31" i="25"/>
  <c r="P25" i="25"/>
  <c r="AN25" i="25"/>
  <c r="AT25" i="25" s="1"/>
  <c r="AP25" i="25"/>
  <c r="AB25" i="25"/>
  <c r="AL25" i="25" s="1"/>
  <c r="AS25" i="25" s="1" a="1"/>
  <c r="AS25" i="25" s="1"/>
  <c r="AD23" i="25"/>
  <c r="P17" i="25"/>
  <c r="AP17" i="25"/>
  <c r="AB17" i="25"/>
  <c r="AL17" i="25" s="1"/>
  <c r="AS17" i="25" s="1" a="1"/>
  <c r="AS17" i="25" s="1"/>
  <c r="AD26" i="25"/>
  <c r="AD18" i="25"/>
  <c r="AD30" i="25"/>
  <c r="AD22" i="25"/>
  <c r="P32" i="25"/>
  <c r="AP32" i="25"/>
  <c r="AB32" i="25"/>
  <c r="AL32" i="25" s="1"/>
  <c r="AS32" i="25" s="1" a="1"/>
  <c r="AS32" i="25" s="1"/>
  <c r="P24" i="25"/>
  <c r="AN24" i="25"/>
  <c r="AT24" i="25" s="1"/>
  <c r="AP24" i="25"/>
  <c r="AB24" i="25"/>
  <c r="P29" i="25"/>
  <c r="S28" i="25"/>
  <c r="S20" i="25"/>
  <c r="AP22" i="25"/>
  <c r="AB30" i="25"/>
  <c r="AL30" i="25" s="1"/>
  <c r="AS30" i="25" s="1" a="1"/>
  <c r="AS30" i="25" s="1"/>
  <c r="O29" i="25"/>
  <c r="Z28" i="25"/>
  <c r="AR27" i="25"/>
  <c r="AB22" i="25"/>
  <c r="AL22" i="25" s="1"/>
  <c r="AS22" i="25" s="1" a="1"/>
  <c r="AS22" i="25" s="1"/>
  <c r="O21" i="25"/>
  <c r="Z20" i="25"/>
  <c r="AR19" i="25"/>
  <c r="AN30" i="25"/>
  <c r="AT30" i="25" s="1"/>
  <c r="AB29" i="25"/>
  <c r="AL29" i="25" s="1"/>
  <c r="AS29" i="25" s="1" a="1"/>
  <c r="AS29" i="25" s="1"/>
  <c r="Z27" i="25"/>
  <c r="AR26" i="25"/>
  <c r="AN22" i="25"/>
  <c r="AT22" i="25" s="1"/>
  <c r="AB21" i="25"/>
  <c r="Z19" i="25"/>
  <c r="AR18" i="25"/>
  <c r="P30" i="25"/>
  <c r="AQ26" i="25"/>
  <c r="P22" i="25"/>
  <c r="AQ18" i="25"/>
  <c r="AR28" i="25"/>
  <c r="AR20" i="25"/>
  <c r="AL8" i="24"/>
  <c r="AS8" i="24" s="1" a="1"/>
  <c r="AS8" i="24" s="1"/>
  <c r="AW8" i="24" s="1"/>
  <c r="Y36" i="24"/>
  <c r="AN3" i="24"/>
  <c r="AB5" i="24"/>
  <c r="AL5" i="24" s="1"/>
  <c r="AS5" i="24" s="1" a="1"/>
  <c r="AS5" i="24" s="1"/>
  <c r="P7" i="24"/>
  <c r="AI7" i="24"/>
  <c r="AB13" i="24"/>
  <c r="AL13" i="24" s="1"/>
  <c r="AS13" i="24" s="1" a="1"/>
  <c r="AS13" i="24" s="1"/>
  <c r="P15" i="24"/>
  <c r="AI15" i="24"/>
  <c r="AS15" i="24" a="1"/>
  <c r="AS15" i="24" s="1"/>
  <c r="AB21" i="24"/>
  <c r="AL21" i="24" s="1"/>
  <c r="AS21" i="24" s="1" a="1"/>
  <c r="AS21" i="24" s="1"/>
  <c r="AW21" i="24" s="1"/>
  <c r="AI22" i="24"/>
  <c r="AN27" i="24"/>
  <c r="AT27" i="24" s="1"/>
  <c r="AL33" i="24"/>
  <c r="AS33" i="24" s="1" a="1"/>
  <c r="AS33" i="24" s="1"/>
  <c r="AW33" i="24" s="1"/>
  <c r="AB34" i="24"/>
  <c r="AP34" i="24"/>
  <c r="AN34" i="24"/>
  <c r="AT34" i="24" s="1"/>
  <c r="V91" i="24"/>
  <c r="V93" i="24" s="1"/>
  <c r="AQ90" i="24"/>
  <c r="P39" i="24"/>
  <c r="AP39" i="24"/>
  <c r="AD45" i="24"/>
  <c r="P47" i="24"/>
  <c r="AP47" i="24"/>
  <c r="AL87" i="24"/>
  <c r="AS87" i="24" s="1" a="1"/>
  <c r="AS87" i="24" s="1"/>
  <c r="AW87" i="24" s="1"/>
  <c r="AO35" i="24"/>
  <c r="AD5" i="24"/>
  <c r="AI6" i="24"/>
  <c r="AL6" i="24" s="1"/>
  <c r="AS6" i="24" s="1" a="1"/>
  <c r="AS6" i="24" s="1"/>
  <c r="AN9" i="24"/>
  <c r="AT9" i="24" s="1"/>
  <c r="AP11" i="24"/>
  <c r="AD13" i="24"/>
  <c r="AI14" i="24"/>
  <c r="AL14" i="24" s="1"/>
  <c r="AS14" i="24" s="1" a="1"/>
  <c r="AS14" i="24" s="1"/>
  <c r="AN17" i="24"/>
  <c r="AT17" i="24" s="1"/>
  <c r="AP19" i="24"/>
  <c r="AD21" i="24"/>
  <c r="Y91" i="24"/>
  <c r="AD38" i="24"/>
  <c r="P40" i="24"/>
  <c r="AP40" i="24"/>
  <c r="AB44" i="24"/>
  <c r="AD46" i="24"/>
  <c r="P48" i="24"/>
  <c r="AP48" i="24"/>
  <c r="AL83" i="24"/>
  <c r="AS83" i="24" s="1" a="1"/>
  <c r="AS83" i="24" s="1"/>
  <c r="AW83" i="24" s="1"/>
  <c r="S91" i="24"/>
  <c r="P38" i="24"/>
  <c r="AP38" i="24"/>
  <c r="AD44" i="24"/>
  <c r="P5" i="24"/>
  <c r="AI5" i="24"/>
  <c r="AL7" i="24"/>
  <c r="AS7" i="24" s="1" a="1"/>
  <c r="AS7" i="24" s="1"/>
  <c r="AB11" i="24"/>
  <c r="AL11" i="24" s="1"/>
  <c r="AS11" i="24" s="1" a="1"/>
  <c r="AS11" i="24" s="1"/>
  <c r="P13" i="24"/>
  <c r="AI13" i="24"/>
  <c r="AL15" i="24"/>
  <c r="AB19" i="24"/>
  <c r="AL19" i="24" s="1"/>
  <c r="AS19" i="24" s="1" a="1"/>
  <c r="AS19" i="24" s="1"/>
  <c r="P21" i="24"/>
  <c r="AI21" i="24"/>
  <c r="AP24" i="24"/>
  <c r="AI25" i="24"/>
  <c r="AD30" i="24"/>
  <c r="AN31" i="24"/>
  <c r="AT31" i="24" s="1"/>
  <c r="P31" i="24"/>
  <c r="AI32" i="24"/>
  <c r="AL32" i="24" s="1"/>
  <c r="AS32" i="24" s="1" a="1"/>
  <c r="AS32" i="24" s="1"/>
  <c r="AD39" i="24"/>
  <c r="P41" i="24"/>
  <c r="AP41" i="24"/>
  <c r="AD47" i="24"/>
  <c r="P49" i="24"/>
  <c r="AP49" i="24"/>
  <c r="P50" i="24"/>
  <c r="AP50" i="24"/>
  <c r="P46" i="24"/>
  <c r="AP46" i="24"/>
  <c r="AI4" i="24"/>
  <c r="AL4" i="24" s="1"/>
  <c r="AS4" i="24" s="1" a="1"/>
  <c r="AS4" i="24" s="1"/>
  <c r="AW4" i="24" s="1"/>
  <c r="AP9" i="24"/>
  <c r="AD11" i="24"/>
  <c r="AI12" i="24"/>
  <c r="AL12" i="24" s="1"/>
  <c r="AS12" i="24" s="1" a="1"/>
  <c r="AS12" i="24" s="1"/>
  <c r="AW12" i="24" s="1"/>
  <c r="AP17" i="24"/>
  <c r="AD19" i="24"/>
  <c r="AI20" i="24"/>
  <c r="AL20" i="24" s="1"/>
  <c r="AS20" i="24" s="1" a="1"/>
  <c r="AS20" i="24" s="1"/>
  <c r="AW20" i="24" s="1"/>
  <c r="AL22" i="24"/>
  <c r="AS22" i="24" s="1" a="1"/>
  <c r="AS22" i="24" s="1"/>
  <c r="AI23" i="24"/>
  <c r="AL23" i="24" s="1"/>
  <c r="AS23" i="24" s="1" a="1"/>
  <c r="AS23" i="24" s="1"/>
  <c r="AW23" i="24" s="1"/>
  <c r="AI26" i="24"/>
  <c r="P28" i="24"/>
  <c r="AP28" i="24"/>
  <c r="AD29" i="24"/>
  <c r="AB38" i="24"/>
  <c r="AD40" i="24"/>
  <c r="P42" i="24"/>
  <c r="AP42" i="24"/>
  <c r="AB46" i="24"/>
  <c r="AD48" i="24"/>
  <c r="AL86" i="24"/>
  <c r="AS86" i="24" s="1" a="1"/>
  <c r="AS86" i="24" s="1"/>
  <c r="AW86" i="24" s="1"/>
  <c r="AD3" i="24"/>
  <c r="AN6" i="24"/>
  <c r="AT6" i="24" s="1"/>
  <c r="AB9" i="24"/>
  <c r="P11" i="24"/>
  <c r="AI11" i="24"/>
  <c r="AN14" i="24"/>
  <c r="AT14" i="24" s="1"/>
  <c r="AB17" i="24"/>
  <c r="AL17" i="24" s="1"/>
  <c r="AS17" i="24" s="1" a="1"/>
  <c r="AS17" i="24" s="1"/>
  <c r="P19" i="24"/>
  <c r="AI19" i="24"/>
  <c r="AB24" i="24"/>
  <c r="AN25" i="24"/>
  <c r="AT25" i="24" s="1"/>
  <c r="AK38" i="24"/>
  <c r="AK91" i="24" s="1"/>
  <c r="AU90" i="24"/>
  <c r="AB39" i="24"/>
  <c r="AD41" i="24"/>
  <c r="P43" i="24"/>
  <c r="AP43" i="24"/>
  <c r="AB47" i="24"/>
  <c r="AL47" i="24" s="1"/>
  <c r="AS47" i="24" s="1" a="1"/>
  <c r="AS47" i="24" s="1"/>
  <c r="AW47" i="24" s="1"/>
  <c r="AD49" i="24"/>
  <c r="AD50" i="24"/>
  <c r="AI89" i="24"/>
  <c r="AL89" i="24" s="1"/>
  <c r="AS89" i="24" s="1" a="1"/>
  <c r="AS89" i="24" s="1"/>
  <c r="AW89" i="24" s="1"/>
  <c r="AI88" i="24"/>
  <c r="AL88" i="24" s="1"/>
  <c r="AS88" i="24" s="1" a="1"/>
  <c r="AS88" i="24" s="1"/>
  <c r="AW88" i="24" s="1"/>
  <c r="AI87" i="24"/>
  <c r="AI86" i="24"/>
  <c r="AI85" i="24"/>
  <c r="AI84" i="24"/>
  <c r="AL84" i="24" s="1"/>
  <c r="AS84" i="24" s="1" a="1"/>
  <c r="AS84" i="24" s="1"/>
  <c r="AW84" i="24" s="1"/>
  <c r="AI83" i="24"/>
  <c r="AI82" i="24"/>
  <c r="AL82" i="24" s="1"/>
  <c r="AS82" i="24" s="1" a="1"/>
  <c r="AS82" i="24" s="1"/>
  <c r="AW82" i="24" s="1"/>
  <c r="AI81" i="24"/>
  <c r="AI80" i="24"/>
  <c r="AL80" i="24" s="1"/>
  <c r="AS80" i="24" s="1" a="1"/>
  <c r="AS80" i="24" s="1"/>
  <c r="AW80" i="24" s="1"/>
  <c r="AI79" i="24"/>
  <c r="AL79" i="24" s="1"/>
  <c r="AS79" i="24" s="1" a="1"/>
  <c r="AS79" i="24" s="1"/>
  <c r="AW79" i="24" s="1"/>
  <c r="AI78" i="24"/>
  <c r="AL78" i="24" s="1"/>
  <c r="AS78" i="24" s="1" a="1"/>
  <c r="AS78" i="24" s="1"/>
  <c r="AW78" i="24" s="1"/>
  <c r="AI77" i="24"/>
  <c r="AL77" i="24" s="1"/>
  <c r="AS77" i="24" s="1" a="1"/>
  <c r="AS77" i="24" s="1"/>
  <c r="AW77" i="24" s="1"/>
  <c r="AI76" i="24"/>
  <c r="AL76" i="24" s="1"/>
  <c r="AS76" i="24" s="1" a="1"/>
  <c r="AS76" i="24" s="1"/>
  <c r="AW76" i="24" s="1"/>
  <c r="AI75" i="24"/>
  <c r="AL75" i="24" s="1"/>
  <c r="AS75" i="24" s="1" a="1"/>
  <c r="AS75" i="24" s="1"/>
  <c r="AW75" i="24" s="1"/>
  <c r="AI74" i="24"/>
  <c r="AL74" i="24" s="1"/>
  <c r="AS74" i="24" s="1" a="1"/>
  <c r="AS74" i="24" s="1"/>
  <c r="AW74" i="24" s="1"/>
  <c r="AI73" i="24"/>
  <c r="AL73" i="24" s="1"/>
  <c r="AS73" i="24" s="1" a="1"/>
  <c r="AS73" i="24" s="1"/>
  <c r="AW73" i="24" s="1"/>
  <c r="AI72" i="24"/>
  <c r="AL72" i="24" s="1"/>
  <c r="AS72" i="24" s="1" a="1"/>
  <c r="AS72" i="24" s="1"/>
  <c r="AW72" i="24" s="1"/>
  <c r="AI71" i="24"/>
  <c r="AL71" i="24" s="1"/>
  <c r="AS71" i="24" s="1" a="1"/>
  <c r="AS71" i="24" s="1"/>
  <c r="AW71" i="24" s="1"/>
  <c r="AI70" i="24"/>
  <c r="AL70" i="24" s="1"/>
  <c r="AS70" i="24" s="1" a="1"/>
  <c r="AS70" i="24" s="1"/>
  <c r="AW70" i="24" s="1"/>
  <c r="AI69" i="24"/>
  <c r="AI68" i="24"/>
  <c r="AI67" i="24"/>
  <c r="AI66" i="24"/>
  <c r="AL66" i="24" s="1"/>
  <c r="AS66" i="24" s="1" a="1"/>
  <c r="AS66" i="24" s="1"/>
  <c r="AW66" i="24" s="1"/>
  <c r="AI65" i="24"/>
  <c r="AL65" i="24" s="1"/>
  <c r="AS65" i="24" s="1" a="1"/>
  <c r="AS65" i="24" s="1"/>
  <c r="AW65" i="24" s="1"/>
  <c r="AI64" i="24"/>
  <c r="AL64" i="24" s="1"/>
  <c r="AS64" i="24" s="1" a="1"/>
  <c r="AS64" i="24" s="1"/>
  <c r="AW64" i="24" s="1"/>
  <c r="AI63" i="24"/>
  <c r="AI62" i="24"/>
  <c r="AL62" i="24" s="1"/>
  <c r="AS62" i="24" s="1" a="1"/>
  <c r="AS62" i="24" s="1"/>
  <c r="AW62" i="24" s="1"/>
  <c r="AI61" i="24"/>
  <c r="AL61" i="24" s="1"/>
  <c r="AS61" i="24" s="1" a="1"/>
  <c r="AS61" i="24" s="1"/>
  <c r="AW61" i="24" s="1"/>
  <c r="AI60" i="24"/>
  <c r="AI56" i="24"/>
  <c r="AI53" i="24"/>
  <c r="AI54" i="24"/>
  <c r="AL54" i="24" s="1"/>
  <c r="AS54" i="24" s="1" a="1"/>
  <c r="AS54" i="24" s="1"/>
  <c r="AW54" i="24" s="1"/>
  <c r="AI59" i="24"/>
  <c r="AL59" i="24" s="1"/>
  <c r="AS59" i="24" s="1" a="1"/>
  <c r="AS59" i="24" s="1"/>
  <c r="AW59" i="24" s="1"/>
  <c r="AI57" i="24"/>
  <c r="AI50" i="24"/>
  <c r="AI49" i="24"/>
  <c r="AI48" i="24"/>
  <c r="AL48" i="24" s="1"/>
  <c r="AS48" i="24" s="1" a="1"/>
  <c r="AS48" i="24" s="1"/>
  <c r="AW48" i="24" s="1"/>
  <c r="AI47" i="24"/>
  <c r="AI46" i="24"/>
  <c r="AI45" i="24"/>
  <c r="AL45" i="24" s="1"/>
  <c r="AS45" i="24" s="1" a="1"/>
  <c r="AS45" i="24" s="1"/>
  <c r="AW45" i="24" s="1"/>
  <c r="AI44" i="24"/>
  <c r="AL44" i="24" s="1"/>
  <c r="AS44" i="24" s="1" a="1"/>
  <c r="AS44" i="24" s="1"/>
  <c r="AW44" i="24" s="1"/>
  <c r="AI43" i="24"/>
  <c r="AL43" i="24" s="1"/>
  <c r="AS43" i="24" s="1" a="1"/>
  <c r="AS43" i="24" s="1"/>
  <c r="AW43" i="24" s="1"/>
  <c r="AI42" i="24"/>
  <c r="AL42" i="24" s="1"/>
  <c r="AS42" i="24" s="1" a="1"/>
  <c r="AS42" i="24" s="1"/>
  <c r="AW42" i="24" s="1"/>
  <c r="AI41" i="24"/>
  <c r="AI40" i="24"/>
  <c r="AL40" i="24" s="1"/>
  <c r="AS40" i="24" s="1" a="1"/>
  <c r="AS40" i="24" s="1"/>
  <c r="AW40" i="24" s="1"/>
  <c r="AI39" i="24"/>
  <c r="AI38" i="24"/>
  <c r="AI91" i="24" s="1"/>
  <c r="AI28" i="24"/>
  <c r="AL28" i="24" s="1"/>
  <c r="AS28" i="24" s="1" a="1"/>
  <c r="AS28" i="24" s="1"/>
  <c r="AW28" i="24" s="1"/>
  <c r="AI51" i="24"/>
  <c r="AL51" i="24" s="1"/>
  <c r="AS51" i="24" s="1" a="1"/>
  <c r="AS51" i="24" s="1"/>
  <c r="AW51" i="24" s="1"/>
  <c r="AI29" i="24"/>
  <c r="AL29" i="24" s="1"/>
  <c r="AS29" i="24" s="1" a="1"/>
  <c r="AS29" i="24" s="1"/>
  <c r="AW29" i="24" s="1"/>
  <c r="AI52" i="24"/>
  <c r="AL52" i="24" s="1"/>
  <c r="AS52" i="24" s="1" a="1"/>
  <c r="AS52" i="24" s="1"/>
  <c r="AW52" i="24" s="1"/>
  <c r="AI31" i="24"/>
  <c r="AL31" i="24" s="1"/>
  <c r="AS31" i="24" s="1" a="1"/>
  <c r="AS31" i="24" s="1"/>
  <c r="AW31" i="24" s="1"/>
  <c r="AI58" i="24"/>
  <c r="AL58" i="24" s="1"/>
  <c r="AS58" i="24" s="1" a="1"/>
  <c r="AS58" i="24" s="1"/>
  <c r="AW58" i="24" s="1"/>
  <c r="AI3" i="24"/>
  <c r="AI10" i="24"/>
  <c r="AL10" i="24" s="1"/>
  <c r="AS10" i="24" s="1" a="1"/>
  <c r="AS10" i="24" s="1"/>
  <c r="AW10" i="24" s="1"/>
  <c r="AI18" i="24"/>
  <c r="AL18" i="24" s="1"/>
  <c r="AS18" i="24" s="1" a="1"/>
  <c r="AS18" i="24" s="1"/>
  <c r="AW18" i="24" s="1"/>
  <c r="AI27" i="24"/>
  <c r="AL27" i="24" s="1"/>
  <c r="AS27" i="24" s="1" a="1"/>
  <c r="AS27" i="24" s="1"/>
  <c r="AW27" i="24" s="1"/>
  <c r="AD28" i="24"/>
  <c r="AI34" i="24"/>
  <c r="J91" i="24"/>
  <c r="AD42" i="24"/>
  <c r="P44" i="24"/>
  <c r="AP44" i="24"/>
  <c r="AD53" i="24"/>
  <c r="AL53" i="24"/>
  <c r="AS53" i="24" s="1" a="1"/>
  <c r="AS53" i="24" s="1"/>
  <c r="AW53" i="24" s="1"/>
  <c r="AL56" i="24"/>
  <c r="AS56" i="24" s="1" a="1"/>
  <c r="AS56" i="24" s="1"/>
  <c r="AW56" i="24" s="1"/>
  <c r="AL57" i="24"/>
  <c r="AS57" i="24" s="1" a="1"/>
  <c r="AS57" i="24" s="1"/>
  <c r="AW57" i="24" s="1"/>
  <c r="AL60" i="24"/>
  <c r="AS60" i="24" s="1" a="1"/>
  <c r="AS60" i="24" s="1"/>
  <c r="AW60" i="24" s="1"/>
  <c r="AL81" i="24"/>
  <c r="AS81" i="24" s="1" a="1"/>
  <c r="AS81" i="24" s="1"/>
  <c r="AW81" i="24" s="1"/>
  <c r="AL85" i="24"/>
  <c r="AS85" i="24" s="1" a="1"/>
  <c r="AS85" i="24" s="1"/>
  <c r="AW85" i="24" s="1"/>
  <c r="S36" i="24"/>
  <c r="S93" i="24" s="1"/>
  <c r="AK3" i="24"/>
  <c r="AK36" i="24" s="1"/>
  <c r="AK93" i="24" s="1"/>
  <c r="P9" i="24"/>
  <c r="AI9" i="24"/>
  <c r="P17" i="24"/>
  <c r="AI17" i="24"/>
  <c r="P24" i="24"/>
  <c r="AI24" i="24"/>
  <c r="AL25" i="24"/>
  <c r="AS25" i="24" s="1" a="1"/>
  <c r="AS25" i="24" s="1"/>
  <c r="AB26" i="24"/>
  <c r="AL26" i="24" s="1"/>
  <c r="AS26" i="24" s="1" a="1"/>
  <c r="AS26" i="24" s="1"/>
  <c r="AW26" i="24" s="1"/>
  <c r="AP26" i="24"/>
  <c r="AN26" i="24"/>
  <c r="AT26" i="24" s="1"/>
  <c r="AI30" i="24"/>
  <c r="AL30" i="24" s="1"/>
  <c r="AS30" i="24" s="1" a="1"/>
  <c r="AS30" i="24" s="1"/>
  <c r="AW30" i="24" s="1"/>
  <c r="AN33" i="24"/>
  <c r="AT33" i="24" s="1"/>
  <c r="AN38" i="24"/>
  <c r="AL39" i="24"/>
  <c r="AS39" i="24" s="1" a="1"/>
  <c r="AS39" i="24" s="1"/>
  <c r="AW39" i="24" s="1"/>
  <c r="AB41" i="24"/>
  <c r="AL41" i="24" s="1"/>
  <c r="AS41" i="24" s="1" a="1"/>
  <c r="AS41" i="24" s="1"/>
  <c r="AW41" i="24" s="1"/>
  <c r="AD43" i="24"/>
  <c r="P45" i="24"/>
  <c r="AP45" i="24"/>
  <c r="AN46" i="24"/>
  <c r="AT46" i="24" s="1"/>
  <c r="AB49" i="24"/>
  <c r="AL49" i="24" s="1"/>
  <c r="AS49" i="24" s="1" a="1"/>
  <c r="AS49" i="24" s="1"/>
  <c r="AW49" i="24" s="1"/>
  <c r="AB50" i="24"/>
  <c r="AL50" i="24" s="1"/>
  <c r="AS50" i="24" s="1" a="1"/>
  <c r="AS50" i="24" s="1"/>
  <c r="AW50" i="24" s="1"/>
  <c r="AI55" i="24"/>
  <c r="AL55" i="24" s="1"/>
  <c r="AS55" i="24" s="1" a="1"/>
  <c r="AS55" i="24" s="1"/>
  <c r="AW55" i="24" s="1"/>
  <c r="AL63" i="24"/>
  <c r="AS63" i="24" s="1" a="1"/>
  <c r="AS63" i="24" s="1"/>
  <c r="AW63" i="24" s="1"/>
  <c r="AL67" i="24"/>
  <c r="AS67" i="24" s="1" a="1"/>
  <c r="AS67" i="24" s="1"/>
  <c r="AW67" i="24" s="1"/>
  <c r="AL68" i="24"/>
  <c r="AS68" i="24" s="1" a="1"/>
  <c r="AS68" i="24" s="1"/>
  <c r="AW68" i="24" s="1"/>
  <c r="AL69" i="24"/>
  <c r="AS69" i="24" s="1" a="1"/>
  <c r="AS69" i="24" s="1"/>
  <c r="AW69" i="24" s="1"/>
  <c r="Z91" i="24"/>
  <c r="Z93" i="24" s="1"/>
  <c r="E91" i="24"/>
  <c r="E93" i="24" s="1"/>
  <c r="AD55" i="24"/>
  <c r="AR90" i="24"/>
  <c r="AD91" i="24"/>
  <c r="AN86" i="24"/>
  <c r="AT86" i="24" s="1"/>
  <c r="AN87" i="24"/>
  <c r="AT87" i="24" s="1"/>
  <c r="AN88" i="24"/>
  <c r="AT88" i="24" s="1"/>
  <c r="AN89" i="24"/>
  <c r="AT89" i="24" s="1"/>
  <c r="AW5" i="23"/>
  <c r="AU5" i="23"/>
  <c r="AL3" i="23"/>
  <c r="AK36" i="23"/>
  <c r="AU8" i="23"/>
  <c r="AW8" i="23"/>
  <c r="AW11" i="23"/>
  <c r="AU11" i="23"/>
  <c r="AB12" i="23"/>
  <c r="AL12" i="23" s="1"/>
  <c r="AS12" i="23" s="1" a="1"/>
  <c r="AS12" i="23" s="1"/>
  <c r="AP12" i="23"/>
  <c r="AB50" i="23"/>
  <c r="AP50" i="23"/>
  <c r="AN50" i="23"/>
  <c r="AT50" i="23" s="1"/>
  <c r="AD51" i="23"/>
  <c r="AQ35" i="23"/>
  <c r="P4" i="23"/>
  <c r="AS4" i="23" a="1"/>
  <c r="AS4" i="23" s="1"/>
  <c r="AW4" i="23" s="1"/>
  <c r="AL16" i="23"/>
  <c r="AS16" i="23" s="1" a="1"/>
  <c r="AS16" i="23" s="1"/>
  <c r="AW16" i="23" s="1"/>
  <c r="AB20" i="23"/>
  <c r="AP20" i="23"/>
  <c r="AS22" i="23" a="1"/>
  <c r="AS22" i="23" s="1"/>
  <c r="AW22" i="23" s="1"/>
  <c r="AP26" i="23"/>
  <c r="AN26" i="23"/>
  <c r="AT26" i="23" s="1"/>
  <c r="P26" i="23"/>
  <c r="AC93" i="23"/>
  <c r="AK91" i="23"/>
  <c r="P48" i="23"/>
  <c r="AB49" i="23"/>
  <c r="AL49" i="23" s="1"/>
  <c r="AS49" i="23" s="1" a="1"/>
  <c r="AS49" i="23" s="1"/>
  <c r="AW49" i="23" s="1"/>
  <c r="AP49" i="23"/>
  <c r="AN49" i="23"/>
  <c r="AT49" i="23" s="1"/>
  <c r="AD56" i="23"/>
  <c r="AD12" i="23"/>
  <c r="AI36" i="23"/>
  <c r="AD20" i="23"/>
  <c r="AL20" i="23"/>
  <c r="AS20" i="23" s="1" a="1"/>
  <c r="AS20" i="23" s="1"/>
  <c r="AW20" i="23" s="1"/>
  <c r="AL24" i="23"/>
  <c r="AS24" i="23" s="1" a="1"/>
  <c r="AS24" i="23" s="1"/>
  <c r="AW24" i="23" s="1"/>
  <c r="AB28" i="23"/>
  <c r="AL28" i="23" s="1"/>
  <c r="AS28" i="23" s="1" a="1"/>
  <c r="AS28" i="23" s="1"/>
  <c r="AP28" i="23"/>
  <c r="AS30" i="23" a="1"/>
  <c r="AS30" i="23" s="1"/>
  <c r="AW30" i="23" s="1"/>
  <c r="AB47" i="23"/>
  <c r="AP47" i="23"/>
  <c r="AN47" i="23"/>
  <c r="AT47" i="23" s="1"/>
  <c r="P21" i="23"/>
  <c r="AB21" i="23"/>
  <c r="AL21" i="23" s="1"/>
  <c r="AS21" i="23" s="1" a="1"/>
  <c r="AS21" i="23" s="1"/>
  <c r="AP21" i="23"/>
  <c r="AN21" i="23"/>
  <c r="AT21" i="23" s="1"/>
  <c r="AN6" i="23"/>
  <c r="AT6" i="23" s="1"/>
  <c r="P29" i="23"/>
  <c r="AB29" i="23"/>
  <c r="AL29" i="23" s="1"/>
  <c r="AS29" i="23" s="1" a="1"/>
  <c r="AS29" i="23" s="1"/>
  <c r="AP29" i="23"/>
  <c r="AN29" i="23"/>
  <c r="AT29" i="23" s="1"/>
  <c r="AT38" i="23"/>
  <c r="S36" i="23"/>
  <c r="AN4" i="23"/>
  <c r="AT4" i="23" s="1"/>
  <c r="AP6" i="23"/>
  <c r="AD8" i="23"/>
  <c r="P9" i="23"/>
  <c r="AL23" i="23"/>
  <c r="AS23" i="23" s="1" a="1"/>
  <c r="AS23" i="23" s="1"/>
  <c r="AW23" i="23" s="1"/>
  <c r="AD23" i="23"/>
  <c r="S91" i="23"/>
  <c r="AB38" i="23"/>
  <c r="AP38" i="23"/>
  <c r="AB39" i="23"/>
  <c r="AP39" i="23"/>
  <c r="AB40" i="23"/>
  <c r="AP40" i="23"/>
  <c r="AB41" i="23"/>
  <c r="AL41" i="23" s="1"/>
  <c r="AS41" i="23" s="1" a="1"/>
  <c r="AS41" i="23" s="1"/>
  <c r="AW41" i="23" s="1"/>
  <c r="AP41" i="23"/>
  <c r="AB42" i="23"/>
  <c r="AL42" i="23" s="1"/>
  <c r="AS42" i="23" s="1" a="1"/>
  <c r="AS42" i="23" s="1"/>
  <c r="AW42" i="23" s="1"/>
  <c r="AP42" i="23"/>
  <c r="AB43" i="23"/>
  <c r="AP43" i="23"/>
  <c r="AB44" i="23"/>
  <c r="AP44" i="23"/>
  <c r="AB45" i="23"/>
  <c r="AL45" i="23" s="1"/>
  <c r="AS45" i="23" s="1" a="1"/>
  <c r="AS45" i="23" s="1"/>
  <c r="AW45" i="23" s="1"/>
  <c r="AP45" i="23"/>
  <c r="AB46" i="23"/>
  <c r="AL46" i="23" s="1"/>
  <c r="AS46" i="23" s="1" a="1"/>
  <c r="AS46" i="23" s="1"/>
  <c r="AW46" i="23" s="1"/>
  <c r="AP46" i="23"/>
  <c r="AN46" i="23"/>
  <c r="AT46" i="23" s="1"/>
  <c r="AL15" i="23"/>
  <c r="AS15" i="23" s="1" a="1"/>
  <c r="AS15" i="23" s="1"/>
  <c r="AD15" i="23"/>
  <c r="AB6" i="23"/>
  <c r="AL6" i="23" s="1"/>
  <c r="AS6" i="23" s="1" a="1"/>
  <c r="AS6" i="23" s="1"/>
  <c r="AL26" i="23"/>
  <c r="AS26" i="23" s="1" a="1"/>
  <c r="AS26" i="23" s="1"/>
  <c r="AW26" i="23" s="1"/>
  <c r="AD28" i="23"/>
  <c r="AS31" i="23" a="1"/>
  <c r="AS31" i="23" s="1"/>
  <c r="AP34" i="23"/>
  <c r="AN34" i="23"/>
  <c r="AT34" i="23" s="1"/>
  <c r="AS34" i="23" a="1"/>
  <c r="AS34" i="23" s="1"/>
  <c r="AW34" i="23" s="1"/>
  <c r="P34" i="23"/>
  <c r="AN10" i="23"/>
  <c r="AT10" i="23" s="1"/>
  <c r="AB48" i="23"/>
  <c r="AL48" i="23" s="1"/>
  <c r="AS48" i="23" s="1" a="1"/>
  <c r="AS48" i="23" s="1"/>
  <c r="AW48" i="23" s="1"/>
  <c r="AP48" i="23"/>
  <c r="AN48" i="23"/>
  <c r="AT48" i="23" s="1"/>
  <c r="V36" i="23"/>
  <c r="V93" i="23" s="1"/>
  <c r="Y36" i="23"/>
  <c r="Y93" i="23" s="1"/>
  <c r="AA4" i="23" s="1"/>
  <c r="AN3" i="23"/>
  <c r="AP4" i="23"/>
  <c r="AP35" i="23" s="1"/>
  <c r="AN12" i="23"/>
  <c r="AT12" i="23" s="1"/>
  <c r="Y91" i="23"/>
  <c r="AD91" i="23" s="1"/>
  <c r="AD38" i="23"/>
  <c r="AL38" i="23"/>
  <c r="AL91" i="23" s="1"/>
  <c r="AD39" i="23"/>
  <c r="AL39" i="23"/>
  <c r="AS39" i="23" s="1" a="1"/>
  <c r="AS39" i="23" s="1"/>
  <c r="AW39" i="23" s="1"/>
  <c r="AD40" i="23"/>
  <c r="AL40" i="23"/>
  <c r="AS40" i="23" s="1" a="1"/>
  <c r="AS40" i="23" s="1"/>
  <c r="AW40" i="23" s="1"/>
  <c r="AD41" i="23"/>
  <c r="AD42" i="23"/>
  <c r="AD43" i="23"/>
  <c r="AL43" i="23"/>
  <c r="AS43" i="23" a="1"/>
  <c r="AS43" i="23" s="1"/>
  <c r="AW43" i="23" s="1"/>
  <c r="AD44" i="23"/>
  <c r="AL44" i="23"/>
  <c r="AS44" i="23" s="1" a="1"/>
  <c r="AS44" i="23" s="1"/>
  <c r="AW44" i="23" s="1"/>
  <c r="AD45" i="23"/>
  <c r="AD53" i="23"/>
  <c r="AP10" i="23"/>
  <c r="Z36" i="23"/>
  <c r="P6" i="23"/>
  <c r="AL9" i="23"/>
  <c r="AS9" i="23" s="1" a="1"/>
  <c r="AS9" i="23" s="1"/>
  <c r="AB10" i="23"/>
  <c r="AL10" i="23" s="1"/>
  <c r="AS10" i="23" s="1" a="1"/>
  <c r="AS10" i="23" s="1"/>
  <c r="P12" i="23"/>
  <c r="P13" i="23"/>
  <c r="AB13" i="23"/>
  <c r="AL13" i="23" s="1"/>
  <c r="AS13" i="23" s="1" a="1"/>
  <c r="AS13" i="23" s="1"/>
  <c r="AW13" i="23" s="1"/>
  <c r="AP13" i="23"/>
  <c r="AN13" i="23"/>
  <c r="AT13" i="23" s="1"/>
  <c r="AS14" i="23" a="1"/>
  <c r="AS14" i="23" s="1"/>
  <c r="AP18" i="23"/>
  <c r="AN18" i="23"/>
  <c r="AT18" i="23" s="1"/>
  <c r="AS18" i="23" a="1"/>
  <c r="AS18" i="23" s="1"/>
  <c r="AW18" i="23" s="1"/>
  <c r="P18" i="23"/>
  <c r="AN20" i="23"/>
  <c r="AT20" i="23" s="1"/>
  <c r="AL31" i="23"/>
  <c r="AD31" i="23"/>
  <c r="AL32" i="23"/>
  <c r="AS32" i="23" s="1" a="1"/>
  <c r="AS32" i="23" s="1"/>
  <c r="AW32" i="23" s="1"/>
  <c r="AL33" i="23"/>
  <c r="AS33" i="23" s="1" a="1"/>
  <c r="AS33" i="23" s="1"/>
  <c r="AW33" i="23" s="1"/>
  <c r="P50" i="23"/>
  <c r="AP15" i="23"/>
  <c r="AD17" i="23"/>
  <c r="AP23" i="23"/>
  <c r="AD25" i="23"/>
  <c r="AI89" i="23"/>
  <c r="AI88" i="23"/>
  <c r="AL88" i="23" s="1"/>
  <c r="AS88" i="23" s="1" a="1"/>
  <c r="AS88" i="23" s="1"/>
  <c r="AW88" i="23" s="1"/>
  <c r="AI87" i="23"/>
  <c r="AL87" i="23" s="1"/>
  <c r="AS87" i="23" s="1" a="1"/>
  <c r="AS87" i="23" s="1"/>
  <c r="AW87" i="23" s="1"/>
  <c r="AI86" i="23"/>
  <c r="AI85" i="23"/>
  <c r="AI84" i="23"/>
  <c r="AI83" i="23"/>
  <c r="AI82" i="23"/>
  <c r="AI81" i="23"/>
  <c r="AI80" i="23"/>
  <c r="AL80" i="23" s="1"/>
  <c r="AS80" i="23" s="1" a="1"/>
  <c r="AS80" i="23" s="1"/>
  <c r="AW80" i="23" s="1"/>
  <c r="AI79" i="23"/>
  <c r="AL79" i="23" s="1"/>
  <c r="AS79" i="23" s="1" a="1"/>
  <c r="AS79" i="23" s="1"/>
  <c r="AW79" i="23" s="1"/>
  <c r="AI78" i="23"/>
  <c r="AI77" i="23"/>
  <c r="AI76" i="23"/>
  <c r="AI75" i="23"/>
  <c r="AI74" i="23"/>
  <c r="AI73" i="23"/>
  <c r="AI72" i="23"/>
  <c r="AL72" i="23" s="1"/>
  <c r="AS72" i="23" s="1" a="1"/>
  <c r="AS72" i="23" s="1"/>
  <c r="AW72" i="23" s="1"/>
  <c r="AI71" i="23"/>
  <c r="AL71" i="23" s="1"/>
  <c r="AS71" i="23" s="1" a="1"/>
  <c r="AS71" i="23" s="1"/>
  <c r="AW71" i="23" s="1"/>
  <c r="AI70" i="23"/>
  <c r="AI69" i="23"/>
  <c r="AI68" i="23"/>
  <c r="AI67" i="23"/>
  <c r="AI66" i="23"/>
  <c r="AI65" i="23"/>
  <c r="AI64" i="23"/>
  <c r="AL64" i="23" s="1"/>
  <c r="AS64" i="23" s="1" a="1"/>
  <c r="AS64" i="23" s="1"/>
  <c r="AW64" i="23" s="1"/>
  <c r="AI63" i="23"/>
  <c r="AL63" i="23" s="1"/>
  <c r="AS63" i="23" s="1" a="1"/>
  <c r="AS63" i="23" s="1"/>
  <c r="AW63" i="23" s="1"/>
  <c r="AI62" i="23"/>
  <c r="AL47" i="23"/>
  <c r="AS47" i="23" s="1" a="1"/>
  <c r="AS47" i="23" s="1"/>
  <c r="AW47" i="23" s="1"/>
  <c r="AL50" i="23"/>
  <c r="AS50" i="23" s="1" a="1"/>
  <c r="AS50" i="23" s="1"/>
  <c r="AW50" i="23" s="1"/>
  <c r="AI52" i="23"/>
  <c r="AL52" i="23" s="1"/>
  <c r="AS52" i="23" s="1" a="1"/>
  <c r="AS52" i="23" s="1"/>
  <c r="AW52" i="23" s="1"/>
  <c r="AI55" i="23"/>
  <c r="AL55" i="23" s="1"/>
  <c r="AS55" i="23" s="1" a="1"/>
  <c r="AS55" i="23" s="1"/>
  <c r="AW55" i="23" s="1"/>
  <c r="AI61" i="23"/>
  <c r="AL61" i="23" s="1"/>
  <c r="AS61" i="23" s="1" a="1"/>
  <c r="AS61" i="23" s="1"/>
  <c r="AW61" i="23" s="1"/>
  <c r="AL58" i="23"/>
  <c r="AS58" i="23" s="1" a="1"/>
  <c r="AS58" i="23" s="1"/>
  <c r="AW58" i="23" s="1"/>
  <c r="AA65" i="23"/>
  <c r="AR93" i="23"/>
  <c r="Z91" i="23"/>
  <c r="AO90" i="23"/>
  <c r="AL54" i="23"/>
  <c r="AS54" i="23" s="1" a="1"/>
  <c r="AS54" i="23" s="1"/>
  <c r="AW54" i="23" s="1"/>
  <c r="AI56" i="23"/>
  <c r="AL56" i="23" s="1"/>
  <c r="AS56" i="23" s="1" a="1"/>
  <c r="AS56" i="23" s="1"/>
  <c r="AW56" i="23" s="1"/>
  <c r="AA59" i="23"/>
  <c r="AA85" i="23"/>
  <c r="P15" i="23"/>
  <c r="P23" i="23"/>
  <c r="E91" i="23"/>
  <c r="AA46" i="23"/>
  <c r="AD57" i="23"/>
  <c r="AA63" i="23"/>
  <c r="P14" i="23"/>
  <c r="J38" i="23"/>
  <c r="J91" i="23" s="1"/>
  <c r="AQ90" i="23"/>
  <c r="AI51" i="23"/>
  <c r="AL51" i="23" s="1"/>
  <c r="AS51" i="23" s="1" a="1"/>
  <c r="AS51" i="23" s="1"/>
  <c r="AW51" i="23" s="1"/>
  <c r="AI53" i="23"/>
  <c r="AL53" i="23" s="1"/>
  <c r="AS53" i="23" s="1" a="1"/>
  <c r="AS53" i="23" s="1"/>
  <c r="AW53" i="23" s="1"/>
  <c r="AA55" i="23"/>
  <c r="AI57" i="23"/>
  <c r="AL57" i="23" s="1"/>
  <c r="AS57" i="23" s="1" a="1"/>
  <c r="AS57" i="23" s="1"/>
  <c r="AW57" i="23" s="1"/>
  <c r="AD58" i="23"/>
  <c r="E93" i="23"/>
  <c r="AR90" i="23"/>
  <c r="AD54" i="23"/>
  <c r="AI58" i="23"/>
  <c r="AL59" i="23"/>
  <c r="AS59" i="23" s="1" a="1"/>
  <c r="AS59" i="23" s="1"/>
  <c r="AW59" i="23" s="1"/>
  <c r="AL60" i="23"/>
  <c r="AS60" i="23" s="1" a="1"/>
  <c r="AS60" i="23" s="1"/>
  <c r="AW60" i="23" s="1"/>
  <c r="AL62" i="23"/>
  <c r="AS62" i="23" s="1" a="1"/>
  <c r="AS62" i="23" s="1"/>
  <c r="AW62" i="23" s="1"/>
  <c r="AL65" i="23"/>
  <c r="AS65" i="23" s="1" a="1"/>
  <c r="AS65" i="23" s="1"/>
  <c r="AW65" i="23" s="1"/>
  <c r="AL66" i="23"/>
  <c r="AS66" i="23" s="1" a="1"/>
  <c r="AS66" i="23" s="1"/>
  <c r="AW66" i="23" s="1"/>
  <c r="AL67" i="23"/>
  <c r="AS67" i="23" s="1" a="1"/>
  <c r="AS67" i="23" s="1"/>
  <c r="AW67" i="23" s="1"/>
  <c r="AL68" i="23"/>
  <c r="AS68" i="23" s="1" a="1"/>
  <c r="AS68" i="23" s="1"/>
  <c r="AW68" i="23" s="1"/>
  <c r="AL69" i="23"/>
  <c r="AS69" i="23" s="1" a="1"/>
  <c r="AS69" i="23" s="1"/>
  <c r="AW69" i="23" s="1"/>
  <c r="AL70" i="23"/>
  <c r="AS70" i="23" s="1" a="1"/>
  <c r="AS70" i="23" s="1"/>
  <c r="AW70" i="23" s="1"/>
  <c r="AL73" i="23"/>
  <c r="AS73" i="23" s="1" a="1"/>
  <c r="AS73" i="23" s="1"/>
  <c r="AW73" i="23" s="1"/>
  <c r="AL74" i="23"/>
  <c r="AS74" i="23" s="1" a="1"/>
  <c r="AS74" i="23" s="1"/>
  <c r="AW74" i="23" s="1"/>
  <c r="AL75" i="23"/>
  <c r="AS75" i="23" s="1" a="1"/>
  <c r="AS75" i="23" s="1"/>
  <c r="AW75" i="23" s="1"/>
  <c r="AL76" i="23"/>
  <c r="AS76" i="23" s="1" a="1"/>
  <c r="AS76" i="23" s="1"/>
  <c r="AW76" i="23" s="1"/>
  <c r="AL77" i="23"/>
  <c r="AS77" i="23" s="1" a="1"/>
  <c r="AS77" i="23" s="1"/>
  <c r="AW77" i="23" s="1"/>
  <c r="AL78" i="23"/>
  <c r="AS78" i="23" s="1" a="1"/>
  <c r="AS78" i="23" s="1"/>
  <c r="AW78" i="23" s="1"/>
  <c r="AL81" i="23"/>
  <c r="AS81" i="23" s="1" a="1"/>
  <c r="AS81" i="23" s="1"/>
  <c r="AW81" i="23" s="1"/>
  <c r="AL82" i="23"/>
  <c r="AS82" i="23" s="1" a="1"/>
  <c r="AS82" i="23" s="1"/>
  <c r="AW82" i="23" s="1"/>
  <c r="AL83" i="23"/>
  <c r="AS83" i="23" s="1" a="1"/>
  <c r="AS83" i="23" s="1"/>
  <c r="AW83" i="23" s="1"/>
  <c r="AL84" i="23"/>
  <c r="AS84" i="23" s="1" a="1"/>
  <c r="AS84" i="23" s="1"/>
  <c r="AW84" i="23" s="1"/>
  <c r="AL85" i="23"/>
  <c r="AS85" i="23" s="1" a="1"/>
  <c r="AS85" i="23" s="1"/>
  <c r="AW85" i="23" s="1"/>
  <c r="AL86" i="23"/>
  <c r="AS86" i="23" s="1" a="1"/>
  <c r="AS86" i="23" s="1"/>
  <c r="AW86" i="23" s="1"/>
  <c r="AL89" i="23"/>
  <c r="AS89" i="23" s="1" a="1"/>
  <c r="AS89" i="23" s="1"/>
  <c r="AW89" i="23" s="1"/>
  <c r="AN22" i="22"/>
  <c r="AT22" i="22" s="1"/>
  <c r="AN30" i="22"/>
  <c r="AT30" i="22" s="1"/>
  <c r="AP33" i="22"/>
  <c r="AN31" i="22"/>
  <c r="AT31" i="22" s="1"/>
  <c r="P28" i="22"/>
  <c r="AP25" i="22"/>
  <c r="AN23" i="22"/>
  <c r="AT23" i="22" s="1"/>
  <c r="P20" i="22"/>
  <c r="P22" i="22"/>
  <c r="P30" i="22"/>
  <c r="AN34" i="22"/>
  <c r="AT34" i="22" s="1"/>
  <c r="P31" i="22"/>
  <c r="AP28" i="22"/>
  <c r="AN26" i="22"/>
  <c r="AT26" i="22" s="1"/>
  <c r="P23" i="22"/>
  <c r="AP20" i="22"/>
  <c r="AN18" i="22"/>
  <c r="AT18" i="22" s="1"/>
  <c r="AP21" i="22"/>
  <c r="D9" i="26"/>
  <c r="D6" i="26"/>
  <c r="D13" i="26"/>
  <c r="D8" i="26"/>
  <c r="D16" i="26"/>
  <c r="D15" i="26"/>
  <c r="D14" i="26"/>
  <c r="D7" i="26"/>
  <c r="D5" i="26"/>
  <c r="D10" i="26"/>
  <c r="D12" i="26"/>
  <c r="D4" i="26"/>
  <c r="J36" i="26"/>
  <c r="E15" i="10"/>
  <c r="E14" i="10"/>
  <c r="E13" i="10"/>
  <c r="E12" i="10"/>
  <c r="E11" i="10"/>
  <c r="E10" i="10"/>
  <c r="E9" i="10"/>
  <c r="E8" i="10"/>
  <c r="E7" i="10"/>
  <c r="E6" i="10"/>
  <c r="E5" i="10"/>
  <c r="E4" i="10"/>
  <c r="E3" i="10"/>
  <c r="K19" i="26" l="1"/>
  <c r="K27" i="26"/>
  <c r="K35" i="26"/>
  <c r="K20" i="26"/>
  <c r="K28" i="26"/>
  <c r="K21" i="26"/>
  <c r="K29" i="26"/>
  <c r="K22" i="26"/>
  <c r="K30" i="26"/>
  <c r="K24" i="26"/>
  <c r="K23" i="26"/>
  <c r="K31" i="26"/>
  <c r="K17" i="26"/>
  <c r="K25" i="26"/>
  <c r="K33" i="26"/>
  <c r="K18" i="26"/>
  <c r="K26" i="26"/>
  <c r="K34" i="26"/>
  <c r="K32" i="26"/>
  <c r="AL23" i="25"/>
  <c r="AS23" i="25" s="1" a="1"/>
  <c r="AS23" i="25" s="1"/>
  <c r="AL24" i="25"/>
  <c r="AS24" i="25" s="1" a="1"/>
  <c r="AS24" i="25" s="1"/>
  <c r="AW24" i="25" s="1"/>
  <c r="AP31" i="25"/>
  <c r="P16" i="25"/>
  <c r="AL33" i="25"/>
  <c r="AS33" i="25" s="1" a="1"/>
  <c r="AS33" i="25" s="1"/>
  <c r="AU33" i="25" s="1"/>
  <c r="AL21" i="25"/>
  <c r="AS21" i="25" s="1" a="1"/>
  <c r="AS21" i="25" s="1"/>
  <c r="AW21" i="25" s="1"/>
  <c r="AB16" i="25"/>
  <c r="AL16" i="25" s="1"/>
  <c r="AS16" i="25" s="1" a="1"/>
  <c r="AS16" i="25" s="1"/>
  <c r="AU16" i="25" s="1"/>
  <c r="AP16" i="25"/>
  <c r="AW21" i="23"/>
  <c r="AU21" i="23"/>
  <c r="AW29" i="23"/>
  <c r="AU29" i="23"/>
  <c r="AW31" i="23"/>
  <c r="AU31" i="23"/>
  <c r="AU26" i="23"/>
  <c r="AW28" i="23"/>
  <c r="AU28" i="23"/>
  <c r="AW25" i="23"/>
  <c r="AU25" i="23"/>
  <c r="AU17" i="23"/>
  <c r="AU22" i="23"/>
  <c r="AU34" i="23"/>
  <c r="AU20" i="23"/>
  <c r="AU24" i="23"/>
  <c r="AU16" i="23"/>
  <c r="AU33" i="23"/>
  <c r="AU23" i="23"/>
  <c r="AS38" i="23" a="1"/>
  <c r="AS38" i="23" s="1"/>
  <c r="AS90" i="23" s="1"/>
  <c r="AU32" i="23"/>
  <c r="AU30" i="23"/>
  <c r="AU20" i="24"/>
  <c r="AW25" i="24"/>
  <c r="AU25" i="24"/>
  <c r="AU26" i="24"/>
  <c r="AW22" i="24"/>
  <c r="AU22" i="24"/>
  <c r="AU18" i="24"/>
  <c r="AB36" i="24"/>
  <c r="AU31" i="24"/>
  <c r="AU28" i="24"/>
  <c r="AU23" i="24"/>
  <c r="AW32" i="24"/>
  <c r="AU32" i="24"/>
  <c r="AW19" i="24"/>
  <c r="AU19" i="24"/>
  <c r="AU29" i="24"/>
  <c r="AU8" i="24"/>
  <c r="AU21" i="24"/>
  <c r="AU27" i="24"/>
  <c r="AW17" i="24"/>
  <c r="AU17" i="24"/>
  <c r="AU30" i="24"/>
  <c r="AU33" i="24"/>
  <c r="AU34" i="25"/>
  <c r="J93" i="23"/>
  <c r="J93" i="24"/>
  <c r="F4" i="27"/>
  <c r="E5" i="27"/>
  <c r="L5" i="27"/>
  <c r="M4" i="27"/>
  <c r="G4" i="27" s="1"/>
  <c r="AU24" i="25"/>
  <c r="AW23" i="25"/>
  <c r="AU23" i="25"/>
  <c r="AW18" i="25"/>
  <c r="AU18" i="25"/>
  <c r="AW26" i="25"/>
  <c r="AU26" i="25"/>
  <c r="AU22" i="25"/>
  <c r="AW22" i="25"/>
  <c r="AW25" i="25"/>
  <c r="AU25" i="25"/>
  <c r="AU27" i="25"/>
  <c r="AW27" i="25"/>
  <c r="AU29" i="25"/>
  <c r="AW29" i="25"/>
  <c r="AW17" i="25"/>
  <c r="AU17" i="25"/>
  <c r="AU19" i="25"/>
  <c r="AW19" i="25"/>
  <c r="AW33" i="25"/>
  <c r="AU30" i="25"/>
  <c r="AW30" i="25"/>
  <c r="AW32" i="25"/>
  <c r="AU32" i="25"/>
  <c r="AW31" i="25"/>
  <c r="AU31" i="25"/>
  <c r="AB20" i="25"/>
  <c r="AL20" i="25" s="1"/>
  <c r="AS20" i="25" s="1" a="1"/>
  <c r="AS20" i="25" s="1"/>
  <c r="AN20" i="25"/>
  <c r="AT20" i="25" s="1"/>
  <c r="P20" i="25"/>
  <c r="AP20" i="25"/>
  <c r="AB28" i="25"/>
  <c r="AL28" i="25" s="1"/>
  <c r="AS28" i="25" s="1" a="1"/>
  <c r="AS28" i="25" s="1"/>
  <c r="P28" i="25"/>
  <c r="AN28" i="25"/>
  <c r="AT28" i="25" s="1"/>
  <c r="AP28" i="25"/>
  <c r="AU11" i="24"/>
  <c r="AW11" i="24"/>
  <c r="AW6" i="24"/>
  <c r="AU6" i="24"/>
  <c r="AW5" i="24"/>
  <c r="AU5" i="24"/>
  <c r="AW14" i="24"/>
  <c r="AU14" i="24"/>
  <c r="AW13" i="24"/>
  <c r="AU13" i="24"/>
  <c r="AI36" i="24"/>
  <c r="AL3" i="24"/>
  <c r="AP90" i="24"/>
  <c r="AL9" i="24"/>
  <c r="AS9" i="24" s="1" a="1"/>
  <c r="AS9" i="24" s="1"/>
  <c r="AW7" i="24"/>
  <c r="AU7" i="24"/>
  <c r="AU4" i="24"/>
  <c r="AL24" i="24"/>
  <c r="AS24" i="24" s="1" a="1"/>
  <c r="AS24" i="24" s="1"/>
  <c r="AB91" i="24"/>
  <c r="AB93" i="24" s="1"/>
  <c r="AL38" i="24"/>
  <c r="AL46" i="24"/>
  <c r="AS46" i="24" s="1" a="1"/>
  <c r="AS46" i="24" s="1"/>
  <c r="AW46" i="24" s="1"/>
  <c r="AN90" i="24"/>
  <c r="AT38" i="24"/>
  <c r="AT90" i="24" s="1"/>
  <c r="AW15" i="24"/>
  <c r="AU15" i="24"/>
  <c r="AN35" i="24"/>
  <c r="AT3" i="24"/>
  <c r="AT35" i="24" s="1"/>
  <c r="AU10" i="24"/>
  <c r="AL34" i="24"/>
  <c r="AS34" i="24" s="1" a="1"/>
  <c r="AS34" i="24" s="1"/>
  <c r="Y93" i="24"/>
  <c r="AD36" i="24"/>
  <c r="AU12" i="24"/>
  <c r="AW10" i="23"/>
  <c r="AU10" i="23"/>
  <c r="AW9" i="23"/>
  <c r="AU9" i="23"/>
  <c r="AU6" i="23"/>
  <c r="AW6" i="23"/>
  <c r="AU15" i="23"/>
  <c r="AW15" i="23"/>
  <c r="AW12" i="23"/>
  <c r="AU12" i="23"/>
  <c r="AW38" i="23"/>
  <c r="AW91" i="23" s="1"/>
  <c r="AA78" i="23"/>
  <c r="AA70" i="23"/>
  <c r="AA83" i="23"/>
  <c r="AA58" i="23"/>
  <c r="AA31" i="23"/>
  <c r="AA44" i="23"/>
  <c r="AA42" i="23"/>
  <c r="AA40" i="23"/>
  <c r="AA38" i="23"/>
  <c r="AA91" i="23" s="1"/>
  <c r="AA76" i="23"/>
  <c r="AA19" i="23"/>
  <c r="S93" i="23"/>
  <c r="AA27" i="23"/>
  <c r="AA23" i="23"/>
  <c r="AA51" i="23"/>
  <c r="AA69" i="23"/>
  <c r="AA62" i="23"/>
  <c r="AA82" i="23"/>
  <c r="AA54" i="23"/>
  <c r="AA75" i="23"/>
  <c r="AW14" i="23"/>
  <c r="AU14" i="23"/>
  <c r="AA11" i="23"/>
  <c r="AA67" i="23"/>
  <c r="AA28" i="23"/>
  <c r="AA77" i="23"/>
  <c r="AT90" i="23"/>
  <c r="AA20" i="23"/>
  <c r="AD36" i="23"/>
  <c r="AA84" i="23"/>
  <c r="AA8" i="23"/>
  <c r="AA61" i="23"/>
  <c r="AA50" i="23"/>
  <c r="AA89" i="23"/>
  <c r="AA81" i="23"/>
  <c r="AA66" i="23"/>
  <c r="AU13" i="23"/>
  <c r="AA68" i="23"/>
  <c r="AN90" i="23"/>
  <c r="AA56" i="23"/>
  <c r="AD93" i="23"/>
  <c r="AA34" i="23"/>
  <c r="AA26" i="23"/>
  <c r="AA18" i="23"/>
  <c r="AA29" i="23"/>
  <c r="AA21" i="23"/>
  <c r="AA13" i="23"/>
  <c r="AA10" i="23"/>
  <c r="AA5" i="23"/>
  <c r="AA25" i="23"/>
  <c r="AA24" i="23"/>
  <c r="AA22" i="23"/>
  <c r="AA17" i="23"/>
  <c r="AA16" i="23"/>
  <c r="AA14" i="23"/>
  <c r="AA7" i="23"/>
  <c r="AA33" i="23"/>
  <c r="AA32" i="23"/>
  <c r="AA9" i="23"/>
  <c r="AA3" i="23"/>
  <c r="AA36" i="23" s="1"/>
  <c r="AA93" i="23" s="1"/>
  <c r="AA6" i="23"/>
  <c r="AB36" i="23"/>
  <c r="AA79" i="23"/>
  <c r="AA49" i="23"/>
  <c r="AA88" i="23"/>
  <c r="AA73" i="23"/>
  <c r="AA30" i="23"/>
  <c r="AA12" i="23"/>
  <c r="AA52" i="23"/>
  <c r="AA80" i="23"/>
  <c r="AA48" i="23"/>
  <c r="AA87" i="23"/>
  <c r="AA72" i="23"/>
  <c r="AA45" i="23"/>
  <c r="AA43" i="23"/>
  <c r="AA41" i="23"/>
  <c r="AA39" i="23"/>
  <c r="AP90" i="23"/>
  <c r="AA60" i="23"/>
  <c r="AA53" i="23"/>
  <c r="AL36" i="23"/>
  <c r="AL93" i="23" s="1"/>
  <c r="AS3" i="23"/>
  <c r="AA71" i="23"/>
  <c r="AA47" i="23"/>
  <c r="AA86" i="23"/>
  <c r="AA64" i="23"/>
  <c r="AA74" i="23"/>
  <c r="AA57" i="23"/>
  <c r="Z93" i="23"/>
  <c r="AN35" i="23"/>
  <c r="AT3" i="23"/>
  <c r="AT35" i="23" s="1"/>
  <c r="AA15" i="23"/>
  <c r="AB91" i="23"/>
  <c r="AK93" i="23"/>
  <c r="AU4" i="23"/>
  <c r="K9" i="26"/>
  <c r="K13" i="26"/>
  <c r="K8" i="26"/>
  <c r="K10" i="26"/>
  <c r="K5" i="26"/>
  <c r="K16" i="26"/>
  <c r="K12" i="26"/>
  <c r="K15" i="26"/>
  <c r="K4" i="26"/>
  <c r="K11" i="26"/>
  <c r="D36" i="26"/>
  <c r="E4" i="26"/>
  <c r="K14" i="26"/>
  <c r="K7" i="26"/>
  <c r="K6" i="26"/>
  <c r="AG7" i="10"/>
  <c r="AU21" i="25" l="1"/>
  <c r="AW16" i="25"/>
  <c r="AW24" i="24"/>
  <c r="AU24" i="24"/>
  <c r="AW34" i="24"/>
  <c r="AU34" i="24"/>
  <c r="L6" i="27"/>
  <c r="M5" i="27"/>
  <c r="G5" i="27" s="1"/>
  <c r="F5" i="27"/>
  <c r="E6" i="27"/>
  <c r="AU28" i="25"/>
  <c r="AW28" i="25"/>
  <c r="AU20" i="25"/>
  <c r="AW20" i="25"/>
  <c r="AA88" i="24"/>
  <c r="AA87" i="24"/>
  <c r="AA86" i="24"/>
  <c r="AA85" i="24"/>
  <c r="AA84" i="24"/>
  <c r="AA83" i="24"/>
  <c r="AA82" i="24"/>
  <c r="AA81" i="24"/>
  <c r="AA80" i="24"/>
  <c r="AA79" i="24"/>
  <c r="AA78" i="24"/>
  <c r="AA77" i="24"/>
  <c r="AA76" i="24"/>
  <c r="AA75" i="24"/>
  <c r="AA74" i="24"/>
  <c r="AA73" i="24"/>
  <c r="AA52" i="24"/>
  <c r="AA31" i="24"/>
  <c r="AA14" i="24"/>
  <c r="AA6" i="24"/>
  <c r="AA54" i="24"/>
  <c r="AA24" i="24"/>
  <c r="AA17" i="24"/>
  <c r="AA9" i="24"/>
  <c r="AA21" i="24"/>
  <c r="AA5" i="24"/>
  <c r="AA18" i="24"/>
  <c r="AA10" i="24"/>
  <c r="AA3" i="24"/>
  <c r="AA36" i="24" s="1"/>
  <c r="AA23" i="24"/>
  <c r="AA20" i="24"/>
  <c r="AA32" i="24"/>
  <c r="AA13" i="24"/>
  <c r="AA38" i="24"/>
  <c r="AA91" i="24" s="1"/>
  <c r="AA30" i="24"/>
  <c r="AA66" i="24"/>
  <c r="AA53" i="24"/>
  <c r="AA64" i="24"/>
  <c r="AA55" i="24"/>
  <c r="AA72" i="24"/>
  <c r="AA62" i="24"/>
  <c r="AA15" i="24"/>
  <c r="AA44" i="24"/>
  <c r="AA16" i="24"/>
  <c r="AA45" i="24"/>
  <c r="AA19" i="24"/>
  <c r="AA34" i="24"/>
  <c r="AA47" i="24"/>
  <c r="AA22" i="24"/>
  <c r="AD93" i="24"/>
  <c r="AA42" i="24"/>
  <c r="AA25" i="24"/>
  <c r="AA60" i="24"/>
  <c r="AA63" i="24"/>
  <c r="AA65" i="24"/>
  <c r="AA68" i="24"/>
  <c r="AA8" i="24"/>
  <c r="AA49" i="24"/>
  <c r="AA71" i="24"/>
  <c r="AA43" i="24"/>
  <c r="AA57" i="24"/>
  <c r="AA69" i="24"/>
  <c r="AA58" i="24"/>
  <c r="AA12" i="24"/>
  <c r="AA4" i="24"/>
  <c r="AA26" i="24"/>
  <c r="AA11" i="24"/>
  <c r="AA29" i="24"/>
  <c r="AA39" i="24"/>
  <c r="AA48" i="24"/>
  <c r="AA41" i="24"/>
  <c r="AA51" i="24"/>
  <c r="AA61" i="24"/>
  <c r="AA28" i="24"/>
  <c r="AA46" i="24"/>
  <c r="AA40" i="24"/>
  <c r="AA7" i="24"/>
  <c r="AA33" i="24"/>
  <c r="AA27" i="24"/>
  <c r="AA50" i="24"/>
  <c r="AA59" i="24"/>
  <c r="AA56" i="24"/>
  <c r="AA89" i="24"/>
  <c r="AA67" i="24"/>
  <c r="AA70" i="24"/>
  <c r="AW9" i="24"/>
  <c r="AU9" i="24"/>
  <c r="AL91" i="24"/>
  <c r="AS38" i="24" a="1"/>
  <c r="AS38" i="24" s="1"/>
  <c r="AS3" i="24"/>
  <c r="AL36" i="24"/>
  <c r="AS35" i="23"/>
  <c r="AU3" i="23"/>
  <c r="AU35" i="23" s="1"/>
  <c r="AW3" i="23"/>
  <c r="AW36" i="23" s="1"/>
  <c r="AW93" i="23" s="1"/>
  <c r="AB93" i="23"/>
  <c r="K36" i="26"/>
  <c r="L4" i="26"/>
  <c r="E5" i="26"/>
  <c r="F4" i="26"/>
  <c r="E5" i="19"/>
  <c r="E11" i="19"/>
  <c r="E13" i="19"/>
  <c r="E6" i="19"/>
  <c r="E7" i="19"/>
  <c r="E8" i="19"/>
  <c r="E14" i="19"/>
  <c r="E15" i="19"/>
  <c r="AL93" i="24" l="1"/>
  <c r="F6" i="27"/>
  <c r="E7" i="27"/>
  <c r="L7" i="27"/>
  <c r="M6" i="27"/>
  <c r="G6" i="27" s="1"/>
  <c r="AS90" i="24"/>
  <c r="AW38" i="24"/>
  <c r="AW91" i="24" s="1"/>
  <c r="AU3" i="24"/>
  <c r="AU35" i="24" s="1"/>
  <c r="AS35" i="24"/>
  <c r="AW3" i="24"/>
  <c r="AW36" i="24" s="1"/>
  <c r="AA93" i="24"/>
  <c r="M4" i="26"/>
  <c r="G4" i="26" s="1"/>
  <c r="L5" i="26"/>
  <c r="F5" i="26"/>
  <c r="E6" i="26"/>
  <c r="E12" i="19"/>
  <c r="E4" i="19"/>
  <c r="E10" i="19"/>
  <c r="E9" i="19"/>
  <c r="V14" i="3"/>
  <c r="V18" i="3"/>
  <c r="T18" i="3"/>
  <c r="AA18" i="3"/>
  <c r="L4" i="25"/>
  <c r="O4" i="25" s="1"/>
  <c r="L5" i="25"/>
  <c r="O5" i="25" s="1"/>
  <c r="L6" i="25"/>
  <c r="L7" i="25"/>
  <c r="L8" i="25"/>
  <c r="L9" i="25"/>
  <c r="Z9" i="25" s="1"/>
  <c r="L10" i="25"/>
  <c r="Z10" i="25" s="1"/>
  <c r="L11" i="25"/>
  <c r="L12" i="25"/>
  <c r="Z12" i="25" s="1"/>
  <c r="L13" i="25"/>
  <c r="O13" i="25" s="1"/>
  <c r="L14" i="25"/>
  <c r="L15" i="25"/>
  <c r="L3" i="25"/>
  <c r="K4" i="25"/>
  <c r="K5" i="25"/>
  <c r="K6" i="25"/>
  <c r="K7" i="25"/>
  <c r="K8" i="25"/>
  <c r="K9" i="25"/>
  <c r="K10" i="25"/>
  <c r="K11" i="25"/>
  <c r="K12" i="25"/>
  <c r="K13" i="25"/>
  <c r="K14" i="25"/>
  <c r="K15" i="25"/>
  <c r="K3" i="25"/>
  <c r="H15" i="25"/>
  <c r="G15" i="25"/>
  <c r="F15" i="25"/>
  <c r="H14" i="25"/>
  <c r="G14" i="25"/>
  <c r="F14" i="25"/>
  <c r="H13" i="25"/>
  <c r="G13" i="25"/>
  <c r="F13" i="25"/>
  <c r="H12" i="25"/>
  <c r="G12" i="25"/>
  <c r="F12" i="25"/>
  <c r="H11" i="25"/>
  <c r="G11" i="25"/>
  <c r="F11" i="25"/>
  <c r="H10" i="25"/>
  <c r="G10" i="25"/>
  <c r="F10" i="25"/>
  <c r="H9" i="25"/>
  <c r="G9" i="25"/>
  <c r="F9" i="25"/>
  <c r="H8" i="25"/>
  <c r="G8" i="25"/>
  <c r="F8" i="25"/>
  <c r="H7" i="25"/>
  <c r="G7" i="25"/>
  <c r="F7" i="25"/>
  <c r="H6" i="25"/>
  <c r="G6" i="25"/>
  <c r="F6" i="25"/>
  <c r="H5" i="25"/>
  <c r="G5" i="25"/>
  <c r="F5" i="25"/>
  <c r="H4" i="25"/>
  <c r="G4" i="25"/>
  <c r="F4" i="25"/>
  <c r="H3" i="25"/>
  <c r="G3" i="25"/>
  <c r="F3" i="25"/>
  <c r="P93" i="25"/>
  <c r="O93" i="25"/>
  <c r="N93" i="25"/>
  <c r="M93" i="25"/>
  <c r="K93" i="25"/>
  <c r="AJ91" i="25"/>
  <c r="AI91" i="25"/>
  <c r="AH91" i="25"/>
  <c r="AG91" i="25"/>
  <c r="AF91" i="25"/>
  <c r="AR91" i="25" s="1"/>
  <c r="AE91" i="25"/>
  <c r="AC91" i="25"/>
  <c r="X91" i="25"/>
  <c r="W91" i="25"/>
  <c r="U91" i="25"/>
  <c r="T91" i="25"/>
  <c r="R91" i="25"/>
  <c r="Q91" i="25"/>
  <c r="L91" i="25"/>
  <c r="H91" i="25"/>
  <c r="G91" i="25"/>
  <c r="F91" i="25"/>
  <c r="AR89" i="25"/>
  <c r="AQ89" i="25"/>
  <c r="AO89" i="25"/>
  <c r="AU89" i="25" s="1"/>
  <c r="AD89" i="25"/>
  <c r="Z89" i="25"/>
  <c r="Y89" i="25"/>
  <c r="V89" i="25"/>
  <c r="AK89" i="25" s="1"/>
  <c r="S89" i="25"/>
  <c r="O89" i="25"/>
  <c r="J89" i="25"/>
  <c r="E89" i="25"/>
  <c r="AR88" i="25"/>
  <c r="AQ88" i="25"/>
  <c r="AP88" i="25"/>
  <c r="AO88" i="25"/>
  <c r="AU88" i="25" s="1"/>
  <c r="AK88" i="25"/>
  <c r="AD88" i="25"/>
  <c r="AB88" i="25"/>
  <c r="Z88" i="25"/>
  <c r="Y88" i="25"/>
  <c r="V88" i="25"/>
  <c r="S88" i="25"/>
  <c r="AN88" i="25" s="1"/>
  <c r="AT88" i="25" s="1"/>
  <c r="P88" i="25"/>
  <c r="O88" i="25"/>
  <c r="J88" i="25"/>
  <c r="E88" i="25"/>
  <c r="AR87" i="25"/>
  <c r="AQ87" i="25"/>
  <c r="AP87" i="25"/>
  <c r="AO87" i="25"/>
  <c r="AU87" i="25" s="1"/>
  <c r="AN87" i="25"/>
  <c r="AT87" i="25" s="1"/>
  <c r="AD87" i="25"/>
  <c r="AB87" i="25"/>
  <c r="Z87" i="25"/>
  <c r="Y87" i="25"/>
  <c r="V87" i="25"/>
  <c r="AK87" i="25" s="1"/>
  <c r="S87" i="25"/>
  <c r="P87" i="25"/>
  <c r="O87" i="25"/>
  <c r="E87" i="25"/>
  <c r="J87" i="25" s="1"/>
  <c r="AR86" i="25"/>
  <c r="AQ86" i="25"/>
  <c r="AP86" i="25"/>
  <c r="AO86" i="25"/>
  <c r="AU86" i="25" s="1"/>
  <c r="AN86" i="25"/>
  <c r="AT86" i="25" s="1"/>
  <c r="AB86" i="25"/>
  <c r="Z86" i="25"/>
  <c r="Y86" i="25"/>
  <c r="V86" i="25"/>
  <c r="AK86" i="25" s="1"/>
  <c r="S86" i="25"/>
  <c r="P86" i="25" s="1"/>
  <c r="O86" i="25"/>
  <c r="J86" i="25"/>
  <c r="E86" i="25"/>
  <c r="AR85" i="25"/>
  <c r="AQ85" i="25"/>
  <c r="AO85" i="25"/>
  <c r="AU85" i="25" s="1"/>
  <c r="AN85" i="25"/>
  <c r="AT85" i="25" s="1"/>
  <c r="Z85" i="25"/>
  <c r="Y85" i="25"/>
  <c r="V85" i="25"/>
  <c r="AK85" i="25" s="1"/>
  <c r="S85" i="25"/>
  <c r="P85" i="25" s="1"/>
  <c r="O85" i="25"/>
  <c r="E85" i="25"/>
  <c r="J85" i="25" s="1"/>
  <c r="AR84" i="25"/>
  <c r="AQ84" i="25"/>
  <c r="AP84" i="25"/>
  <c r="AO84" i="25"/>
  <c r="AU84" i="25" s="1"/>
  <c r="AN84" i="25"/>
  <c r="AT84" i="25" s="1"/>
  <c r="Z84" i="25"/>
  <c r="Y84" i="25"/>
  <c r="AD84" i="25" s="1"/>
  <c r="V84" i="25"/>
  <c r="AK84" i="25" s="1"/>
  <c r="S84" i="25"/>
  <c r="P84" i="25" s="1"/>
  <c r="O84" i="25"/>
  <c r="E84" i="25"/>
  <c r="J84" i="25" s="1"/>
  <c r="AR83" i="25"/>
  <c r="AQ83" i="25"/>
  <c r="AO83" i="25"/>
  <c r="AU83" i="25" s="1"/>
  <c r="AK83" i="25"/>
  <c r="Z83" i="25"/>
  <c r="Y83" i="25"/>
  <c r="V83" i="25"/>
  <c r="S83" i="25"/>
  <c r="O83" i="25"/>
  <c r="E83" i="25"/>
  <c r="J83" i="25" s="1"/>
  <c r="AU82" i="25"/>
  <c r="AR82" i="25"/>
  <c r="AQ82" i="25"/>
  <c r="AO82" i="25"/>
  <c r="AN82" i="25"/>
  <c r="AT82" i="25" s="1"/>
  <c r="AK82" i="25"/>
  <c r="AD82" i="25"/>
  <c r="AB82" i="25"/>
  <c r="AL82" i="25" s="1"/>
  <c r="AS82" i="25" s="1" a="1"/>
  <c r="AS82" i="25" s="1"/>
  <c r="AW82" i="25" s="1"/>
  <c r="Z82" i="25"/>
  <c r="Y82" i="25"/>
  <c r="V82" i="25"/>
  <c r="S82" i="25"/>
  <c r="AP82" i="25" s="1"/>
  <c r="P82" i="25"/>
  <c r="O82" i="25"/>
  <c r="J82" i="25"/>
  <c r="E82" i="25"/>
  <c r="AU81" i="25"/>
  <c r="AR81" i="25"/>
  <c r="AQ81" i="25"/>
  <c r="AO81" i="25"/>
  <c r="AK81" i="25"/>
  <c r="AD81" i="25"/>
  <c r="Z81" i="25"/>
  <c r="Y81" i="25"/>
  <c r="V81" i="25"/>
  <c r="S81" i="25"/>
  <c r="O81" i="25"/>
  <c r="J81" i="25"/>
  <c r="E81" i="25"/>
  <c r="AS80" i="25"/>
  <c r="AW80" i="25" s="1"/>
  <c r="AR80" i="25"/>
  <c r="AQ80" i="25"/>
  <c r="AP80" i="25"/>
  <c r="AO80" i="25"/>
  <c r="AU80" i="25" s="1"/>
  <c r="AK80" i="25"/>
  <c r="AD80" i="25"/>
  <c r="AB80" i="25"/>
  <c r="AL80" i="25" s="1"/>
  <c r="AS80" i="25" s="1" a="1"/>
  <c r="Z80" i="25"/>
  <c r="Y80" i="25"/>
  <c r="V80" i="25"/>
  <c r="S80" i="25"/>
  <c r="AN80" i="25" s="1"/>
  <c r="AT80" i="25" s="1"/>
  <c r="P80" i="25"/>
  <c r="O80" i="25"/>
  <c r="J80" i="25"/>
  <c r="E80" i="25"/>
  <c r="AR79" i="25"/>
  <c r="AQ79" i="25"/>
  <c r="AP79" i="25"/>
  <c r="AO79" i="25"/>
  <c r="AU79" i="25" s="1"/>
  <c r="AK79" i="25"/>
  <c r="AD79" i="25"/>
  <c r="AB79" i="25"/>
  <c r="Z79" i="25"/>
  <c r="Y79" i="25"/>
  <c r="V79" i="25"/>
  <c r="S79" i="25"/>
  <c r="AN79" i="25" s="1"/>
  <c r="AT79" i="25" s="1"/>
  <c r="P79" i="25"/>
  <c r="O79" i="25"/>
  <c r="E79" i="25"/>
  <c r="J79" i="25" s="1"/>
  <c r="AR78" i="25"/>
  <c r="AQ78" i="25"/>
  <c r="AP78" i="25"/>
  <c r="AO78" i="25"/>
  <c r="AU78" i="25" s="1"/>
  <c r="AN78" i="25"/>
  <c r="AT78" i="25" s="1"/>
  <c r="AB78" i="25"/>
  <c r="Z78" i="25"/>
  <c r="Y78" i="25"/>
  <c r="V78" i="25"/>
  <c r="AK78" i="25" s="1"/>
  <c r="S78" i="25"/>
  <c r="P78" i="25" s="1"/>
  <c r="O78" i="25"/>
  <c r="J78" i="25"/>
  <c r="E78" i="25"/>
  <c r="AR77" i="25"/>
  <c r="AQ77" i="25"/>
  <c r="AO77" i="25"/>
  <c r="AU77" i="25" s="1"/>
  <c r="AN77" i="25"/>
  <c r="AT77" i="25" s="1"/>
  <c r="Z77" i="25"/>
  <c r="Y77" i="25"/>
  <c r="V77" i="25"/>
  <c r="AK77" i="25" s="1"/>
  <c r="S77" i="25"/>
  <c r="P77" i="25" s="1"/>
  <c r="O77" i="25"/>
  <c r="E77" i="25"/>
  <c r="J77" i="25" s="1"/>
  <c r="AR76" i="25"/>
  <c r="AQ76" i="25"/>
  <c r="AP76" i="25"/>
  <c r="AO76" i="25"/>
  <c r="AU76" i="25" s="1"/>
  <c r="AN76" i="25"/>
  <c r="AT76" i="25" s="1"/>
  <c r="Z76" i="25"/>
  <c r="Y76" i="25"/>
  <c r="AD76" i="25" s="1"/>
  <c r="V76" i="25"/>
  <c r="AK76" i="25" s="1"/>
  <c r="S76" i="25"/>
  <c r="P76" i="25" s="1"/>
  <c r="O76" i="25"/>
  <c r="E76" i="25"/>
  <c r="J76" i="25" s="1"/>
  <c r="AR75" i="25"/>
  <c r="AQ75" i="25"/>
  <c r="AO75" i="25"/>
  <c r="AU75" i="25" s="1"/>
  <c r="AK75" i="25"/>
  <c r="Z75" i="25"/>
  <c r="Y75" i="25"/>
  <c r="V75" i="25"/>
  <c r="S75" i="25"/>
  <c r="O75" i="25"/>
  <c r="E75" i="25"/>
  <c r="J75" i="25" s="1"/>
  <c r="AR74" i="25"/>
  <c r="AQ74" i="25"/>
  <c r="AO74" i="25"/>
  <c r="AU74" i="25" s="1"/>
  <c r="AN74" i="25"/>
  <c r="AT74" i="25" s="1"/>
  <c r="AK74" i="25"/>
  <c r="AD74" i="25"/>
  <c r="AB74" i="25"/>
  <c r="Z74" i="25"/>
  <c r="Y74" i="25"/>
  <c r="V74" i="25"/>
  <c r="S74" i="25"/>
  <c r="AP74" i="25" s="1"/>
  <c r="P74" i="25"/>
  <c r="O74" i="25"/>
  <c r="J74" i="25"/>
  <c r="E74" i="25"/>
  <c r="AR73" i="25"/>
  <c r="AQ73" i="25"/>
  <c r="AO73" i="25"/>
  <c r="AU73" i="25" s="1"/>
  <c r="AK73" i="25"/>
  <c r="AD73" i="25"/>
  <c r="Z73" i="25"/>
  <c r="Y73" i="25"/>
  <c r="V73" i="25"/>
  <c r="S73" i="25"/>
  <c r="O73" i="25"/>
  <c r="J73" i="25"/>
  <c r="E73" i="25"/>
  <c r="AR72" i="25"/>
  <c r="AQ72" i="25"/>
  <c r="AP72" i="25"/>
  <c r="AO72" i="25"/>
  <c r="AU72" i="25" s="1"/>
  <c r="AK72" i="25"/>
  <c r="AD72" i="25"/>
  <c r="AB72" i="25"/>
  <c r="Z72" i="25"/>
  <c r="Y72" i="25"/>
  <c r="V72" i="25"/>
  <c r="S72" i="25"/>
  <c r="AN72" i="25" s="1"/>
  <c r="AT72" i="25" s="1"/>
  <c r="P72" i="25"/>
  <c r="O72" i="25"/>
  <c r="J72" i="25"/>
  <c r="E72" i="25"/>
  <c r="AR71" i="25"/>
  <c r="AQ71" i="25"/>
  <c r="AP71" i="25"/>
  <c r="AO71" i="25"/>
  <c r="AU71" i="25" s="1"/>
  <c r="AD71" i="25"/>
  <c r="AB71" i="25"/>
  <c r="Z71" i="25"/>
  <c r="Y71" i="25"/>
  <c r="AL71" i="25" s="1"/>
  <c r="AS71" i="25" s="1" a="1"/>
  <c r="AS71" i="25" s="1"/>
  <c r="AW71" i="25" s="1"/>
  <c r="V71" i="25"/>
  <c r="AK71" i="25" s="1"/>
  <c r="S71" i="25"/>
  <c r="AN71" i="25" s="1"/>
  <c r="AT71" i="25" s="1"/>
  <c r="O71" i="25"/>
  <c r="E71" i="25"/>
  <c r="J71" i="25" s="1"/>
  <c r="AR70" i="25"/>
  <c r="AQ70" i="25"/>
  <c r="AP70" i="25"/>
  <c r="AO70" i="25"/>
  <c r="AU70" i="25" s="1"/>
  <c r="AN70" i="25"/>
  <c r="AT70" i="25" s="1"/>
  <c r="AB70" i="25"/>
  <c r="Z70" i="25"/>
  <c r="Y70" i="25"/>
  <c r="V70" i="25"/>
  <c r="AK70" i="25" s="1"/>
  <c r="S70" i="25"/>
  <c r="P70" i="25" s="1"/>
  <c r="O70" i="25"/>
  <c r="J70" i="25"/>
  <c r="E70" i="25"/>
  <c r="AU69" i="25"/>
  <c r="AR69" i="25"/>
  <c r="AQ69" i="25"/>
  <c r="AO69" i="25"/>
  <c r="AN69" i="25"/>
  <c r="AT69" i="25" s="1"/>
  <c r="Z69" i="25"/>
  <c r="Y69" i="25"/>
  <c r="V69" i="25"/>
  <c r="AK69" i="25" s="1"/>
  <c r="S69" i="25"/>
  <c r="O69" i="25"/>
  <c r="E69" i="25"/>
  <c r="J69" i="25" s="1"/>
  <c r="AR68" i="25"/>
  <c r="AQ68" i="25"/>
  <c r="AO68" i="25"/>
  <c r="AU68" i="25" s="1"/>
  <c r="AN68" i="25"/>
  <c r="AT68" i="25" s="1"/>
  <c r="Z68" i="25"/>
  <c r="Y68" i="25"/>
  <c r="AD68" i="25" s="1"/>
  <c r="V68" i="25"/>
  <c r="AK68" i="25" s="1"/>
  <c r="S68" i="25"/>
  <c r="P68" i="25"/>
  <c r="O68" i="25"/>
  <c r="E68" i="25"/>
  <c r="J68" i="25" s="1"/>
  <c r="AR67" i="25"/>
  <c r="AQ67" i="25"/>
  <c r="AO67" i="25"/>
  <c r="AU67" i="25" s="1"/>
  <c r="AK67" i="25"/>
  <c r="AD67" i="25"/>
  <c r="Z67" i="25"/>
  <c r="Y67" i="25"/>
  <c r="V67" i="25"/>
  <c r="S67" i="25"/>
  <c r="P67" i="25"/>
  <c r="O67" i="25"/>
  <c r="E67" i="25"/>
  <c r="J67" i="25" s="1"/>
  <c r="AR66" i="25"/>
  <c r="AQ66" i="25"/>
  <c r="AP66" i="25"/>
  <c r="AO66" i="25"/>
  <c r="AU66" i="25" s="1"/>
  <c r="AN66" i="25"/>
  <c r="AT66" i="25" s="1"/>
  <c r="AK66" i="25"/>
  <c r="AD66" i="25"/>
  <c r="AB66" i="25"/>
  <c r="Z66" i="25"/>
  <c r="Y66" i="25"/>
  <c r="V66" i="25"/>
  <c r="S66" i="25"/>
  <c r="P66" i="25"/>
  <c r="O66" i="25"/>
  <c r="J66" i="25"/>
  <c r="E66" i="25"/>
  <c r="AR65" i="25"/>
  <c r="AQ65" i="25"/>
  <c r="AO65" i="25"/>
  <c r="AU65" i="25" s="1"/>
  <c r="AL65" i="25"/>
  <c r="AS65" i="25" s="1" a="1"/>
  <c r="AS65" i="25" s="1"/>
  <c r="AW65" i="25" s="1"/>
  <c r="AD65" i="25"/>
  <c r="AB65" i="25"/>
  <c r="Z65" i="25"/>
  <c r="Y65" i="25"/>
  <c r="V65" i="25"/>
  <c r="AK65" i="25" s="1"/>
  <c r="S65" i="25"/>
  <c r="O65" i="25"/>
  <c r="J65" i="25"/>
  <c r="E65" i="25"/>
  <c r="AU64" i="25"/>
  <c r="AR64" i="25"/>
  <c r="AQ64" i="25"/>
  <c r="AP64" i="25"/>
  <c r="AO64" i="25"/>
  <c r="AK64" i="25"/>
  <c r="AB64" i="25"/>
  <c r="Z64" i="25"/>
  <c r="Y64" i="25"/>
  <c r="AD64" i="25" s="1"/>
  <c r="V64" i="25"/>
  <c r="S64" i="25"/>
  <c r="AN64" i="25" s="1"/>
  <c r="AT64" i="25" s="1"/>
  <c r="P64" i="25"/>
  <c r="O64" i="25"/>
  <c r="J64" i="25"/>
  <c r="E64" i="25"/>
  <c r="AR63" i="25"/>
  <c r="AQ63" i="25"/>
  <c r="AP63" i="25"/>
  <c r="AO63" i="25"/>
  <c r="AU63" i="25" s="1"/>
  <c r="AK63" i="25"/>
  <c r="Z63" i="25"/>
  <c r="Y63" i="25"/>
  <c r="V63" i="25"/>
  <c r="S63" i="25"/>
  <c r="AN63" i="25" s="1"/>
  <c r="AT63" i="25" s="1"/>
  <c r="P63" i="25"/>
  <c r="O63" i="25"/>
  <c r="E63" i="25"/>
  <c r="J63" i="25" s="1"/>
  <c r="AR62" i="25"/>
  <c r="AQ62" i="25"/>
  <c r="AP62" i="25"/>
  <c r="AO62" i="25"/>
  <c r="AU62" i="25" s="1"/>
  <c r="AN62" i="25"/>
  <c r="AT62" i="25" s="1"/>
  <c r="AB62" i="25"/>
  <c r="Z62" i="25"/>
  <c r="Y62" i="25"/>
  <c r="V62" i="25"/>
  <c r="AK62" i="25" s="1"/>
  <c r="S62" i="25"/>
  <c r="P62" i="25"/>
  <c r="O62" i="25"/>
  <c r="J62" i="25"/>
  <c r="E62" i="25"/>
  <c r="AR61" i="25"/>
  <c r="AQ61" i="25"/>
  <c r="AO61" i="25"/>
  <c r="AU61" i="25" s="1"/>
  <c r="Z61" i="25"/>
  <c r="Y61" i="25"/>
  <c r="AD61" i="25" s="1"/>
  <c r="V61" i="25"/>
  <c r="AK61" i="25" s="1"/>
  <c r="S61" i="25"/>
  <c r="O61" i="25"/>
  <c r="E61" i="25"/>
  <c r="J61" i="25" s="1"/>
  <c r="AR60" i="25"/>
  <c r="AQ60" i="25"/>
  <c r="AO60" i="25"/>
  <c r="AU60" i="25" s="1"/>
  <c r="AD60" i="25"/>
  <c r="Z60" i="25"/>
  <c r="Y60" i="25"/>
  <c r="V60" i="25"/>
  <c r="AK60" i="25" s="1"/>
  <c r="S60" i="25"/>
  <c r="O60" i="25"/>
  <c r="E60" i="25"/>
  <c r="J60" i="25" s="1"/>
  <c r="AR59" i="25"/>
  <c r="AQ59" i="25"/>
  <c r="AO59" i="25"/>
  <c r="AU59" i="25" s="1"/>
  <c r="AK59" i="25"/>
  <c r="Z59" i="25"/>
  <c r="Y59" i="25"/>
  <c r="V59" i="25"/>
  <c r="S59" i="25"/>
  <c r="P59" i="25" s="1"/>
  <c r="O59" i="25"/>
  <c r="E59" i="25"/>
  <c r="J59" i="25" s="1"/>
  <c r="AU58" i="25"/>
  <c r="AR58" i="25"/>
  <c r="AQ58" i="25"/>
  <c r="AP58" i="25"/>
  <c r="AO58" i="25"/>
  <c r="AN58" i="25"/>
  <c r="AT58" i="25" s="1"/>
  <c r="AK58" i="25"/>
  <c r="AD58" i="25"/>
  <c r="AB58" i="25"/>
  <c r="Z58" i="25"/>
  <c r="Y58" i="25"/>
  <c r="V58" i="25"/>
  <c r="S58" i="25"/>
  <c r="P58" i="25"/>
  <c r="O58" i="25"/>
  <c r="J58" i="25"/>
  <c r="E58" i="25"/>
  <c r="AR57" i="25"/>
  <c r="AQ57" i="25"/>
  <c r="AO57" i="25"/>
  <c r="AU57" i="25" s="1"/>
  <c r="AD57" i="25"/>
  <c r="AB57" i="25"/>
  <c r="AL57" i="25" s="1"/>
  <c r="Z57" i="25"/>
  <c r="Y57" i="25"/>
  <c r="V57" i="25"/>
  <c r="AK57" i="25" s="1"/>
  <c r="S57" i="25"/>
  <c r="O57" i="25"/>
  <c r="E57" i="25"/>
  <c r="J57" i="25" s="1"/>
  <c r="AR56" i="25"/>
  <c r="AQ56" i="25"/>
  <c r="AP56" i="25"/>
  <c r="AO56" i="25"/>
  <c r="AU56" i="25" s="1"/>
  <c r="AK56" i="25"/>
  <c r="AB56" i="25"/>
  <c r="AL56" i="25" s="1"/>
  <c r="Z56" i="25"/>
  <c r="Y56" i="25"/>
  <c r="AD56" i="25" s="1"/>
  <c r="V56" i="25"/>
  <c r="S56" i="25"/>
  <c r="AN56" i="25" s="1"/>
  <c r="AT56" i="25" s="1"/>
  <c r="P56" i="25"/>
  <c r="O56" i="25"/>
  <c r="E56" i="25"/>
  <c r="J56" i="25" s="1"/>
  <c r="AR55" i="25"/>
  <c r="AQ55" i="25"/>
  <c r="AP55" i="25"/>
  <c r="AO55" i="25"/>
  <c r="AU55" i="25" s="1"/>
  <c r="AK55" i="25"/>
  <c r="AD55" i="25"/>
  <c r="Z55" i="25"/>
  <c r="Y55" i="25"/>
  <c r="V55" i="25"/>
  <c r="S55" i="25"/>
  <c r="AN55" i="25" s="1"/>
  <c r="AT55" i="25" s="1"/>
  <c r="O55" i="25"/>
  <c r="E55" i="25"/>
  <c r="J55" i="25" s="1"/>
  <c r="AU54" i="25"/>
  <c r="AR54" i="25"/>
  <c r="AQ54" i="25"/>
  <c r="AP54" i="25"/>
  <c r="AO54" i="25"/>
  <c r="AN54" i="25"/>
  <c r="AT54" i="25" s="1"/>
  <c r="AB54" i="25"/>
  <c r="Z54" i="25"/>
  <c r="Y54" i="25"/>
  <c r="V54" i="25"/>
  <c r="AK54" i="25" s="1"/>
  <c r="S54" i="25"/>
  <c r="P54" i="25"/>
  <c r="O54" i="25"/>
  <c r="J54" i="25"/>
  <c r="E54" i="25"/>
  <c r="AR53" i="25"/>
  <c r="AQ53" i="25"/>
  <c r="AO53" i="25"/>
  <c r="AU53" i="25" s="1"/>
  <c r="Z53" i="25"/>
  <c r="Y53" i="25"/>
  <c r="AD53" i="25" s="1"/>
  <c r="V53" i="25"/>
  <c r="AK53" i="25" s="1"/>
  <c r="S53" i="25"/>
  <c r="AN53" i="25" s="1"/>
  <c r="AT53" i="25" s="1"/>
  <c r="O53" i="25"/>
  <c r="E53" i="25"/>
  <c r="J53" i="25" s="1"/>
  <c r="AU52" i="25"/>
  <c r="AR52" i="25"/>
  <c r="AQ52" i="25"/>
  <c r="AO52" i="25"/>
  <c r="AK52" i="25"/>
  <c r="Z52" i="25"/>
  <c r="Y52" i="25"/>
  <c r="AD52" i="25" s="1"/>
  <c r="V52" i="25"/>
  <c r="S52" i="25"/>
  <c r="P52" i="25" s="1"/>
  <c r="O52" i="25"/>
  <c r="E52" i="25"/>
  <c r="J52" i="25" s="1"/>
  <c r="AR51" i="25"/>
  <c r="AQ51" i="25"/>
  <c r="AO51" i="25"/>
  <c r="AU51" i="25" s="1"/>
  <c r="AK51" i="25"/>
  <c r="AD51" i="25"/>
  <c r="Z51" i="25"/>
  <c r="Y51" i="25"/>
  <c r="V51" i="25"/>
  <c r="S51" i="25"/>
  <c r="P51" i="25"/>
  <c r="O51" i="25"/>
  <c r="E51" i="25"/>
  <c r="J51" i="25" s="1"/>
  <c r="AU50" i="25"/>
  <c r="AR50" i="25"/>
  <c r="AQ50" i="25"/>
  <c r="AP50" i="25"/>
  <c r="AO50" i="25"/>
  <c r="AN50" i="25"/>
  <c r="AT50" i="25" s="1"/>
  <c r="AK50" i="25"/>
  <c r="AD50" i="25"/>
  <c r="AB50" i="25"/>
  <c r="Z50" i="25"/>
  <c r="Y50" i="25"/>
  <c r="V50" i="25"/>
  <c r="S50" i="25"/>
  <c r="P50" i="25"/>
  <c r="O50" i="25"/>
  <c r="J50" i="25"/>
  <c r="E50" i="25"/>
  <c r="AU49" i="25"/>
  <c r="AR49" i="25"/>
  <c r="AQ49" i="25"/>
  <c r="AO49" i="25"/>
  <c r="AD49" i="25"/>
  <c r="AB49" i="25"/>
  <c r="Z49" i="25"/>
  <c r="Y49" i="25"/>
  <c r="V49" i="25"/>
  <c r="AK49" i="25" s="1"/>
  <c r="S49" i="25"/>
  <c r="O49" i="25"/>
  <c r="E49" i="25"/>
  <c r="J49" i="25" s="1"/>
  <c r="AR48" i="25"/>
  <c r="AQ48" i="25"/>
  <c r="AP48" i="25"/>
  <c r="AO48" i="25"/>
  <c r="AU48" i="25" s="1"/>
  <c r="AK48" i="25"/>
  <c r="AB48" i="25"/>
  <c r="AL48" i="25" s="1"/>
  <c r="Z48" i="25"/>
  <c r="Y48" i="25"/>
  <c r="AD48" i="25" s="1"/>
  <c r="V48" i="25"/>
  <c r="S48" i="25"/>
  <c r="AN48" i="25" s="1"/>
  <c r="AT48" i="25" s="1"/>
  <c r="P48" i="25"/>
  <c r="O48" i="25"/>
  <c r="J48" i="25"/>
  <c r="E48" i="25"/>
  <c r="AR47" i="25"/>
  <c r="AQ47" i="25"/>
  <c r="AP47" i="25"/>
  <c r="AO47" i="25"/>
  <c r="AU47" i="25" s="1"/>
  <c r="AK47" i="25"/>
  <c r="Z47" i="25"/>
  <c r="Y47" i="25"/>
  <c r="V47" i="25"/>
  <c r="S47" i="25"/>
  <c r="AN47" i="25" s="1"/>
  <c r="AT47" i="25" s="1"/>
  <c r="P47" i="25"/>
  <c r="O47" i="25"/>
  <c r="E47" i="25"/>
  <c r="J47" i="25" s="1"/>
  <c r="AR46" i="25"/>
  <c r="AQ46" i="25"/>
  <c r="AP46" i="25"/>
  <c r="AO46" i="25"/>
  <c r="AU46" i="25" s="1"/>
  <c r="AN46" i="25"/>
  <c r="AT46" i="25" s="1"/>
  <c r="AB46" i="25"/>
  <c r="Z46" i="25"/>
  <c r="Y46" i="25"/>
  <c r="V46" i="25"/>
  <c r="AK46" i="25" s="1"/>
  <c r="S46" i="25"/>
  <c r="P46" i="25"/>
  <c r="O46" i="25"/>
  <c r="J46" i="25"/>
  <c r="E46" i="25"/>
  <c r="AR45" i="25"/>
  <c r="AQ45" i="25"/>
  <c r="AO45" i="25"/>
  <c r="AU45" i="25" s="1"/>
  <c r="AD45" i="25"/>
  <c r="AB45" i="25"/>
  <c r="Z45" i="25"/>
  <c r="Y45" i="25"/>
  <c r="V45" i="25"/>
  <c r="AK45" i="25" s="1"/>
  <c r="S45" i="25"/>
  <c r="O45" i="25"/>
  <c r="E45" i="25"/>
  <c r="J45" i="25" s="1"/>
  <c r="AR44" i="25"/>
  <c r="AQ44" i="25"/>
  <c r="AP44" i="25"/>
  <c r="AO44" i="25"/>
  <c r="AU44" i="25" s="1"/>
  <c r="AK44" i="25"/>
  <c r="Z44" i="25"/>
  <c r="Y44" i="25"/>
  <c r="V44" i="25"/>
  <c r="S44" i="25"/>
  <c r="AN44" i="25" s="1"/>
  <c r="AT44" i="25" s="1"/>
  <c r="P44" i="25"/>
  <c r="O44" i="25"/>
  <c r="E44" i="25"/>
  <c r="J44" i="25" s="1"/>
  <c r="AR43" i="25"/>
  <c r="AQ43" i="25"/>
  <c r="AP43" i="25"/>
  <c r="AO43" i="25"/>
  <c r="AU43" i="25" s="1"/>
  <c r="AN43" i="25"/>
  <c r="AT43" i="25" s="1"/>
  <c r="AB43" i="25"/>
  <c r="Z43" i="25"/>
  <c r="Y43" i="25"/>
  <c r="V43" i="25"/>
  <c r="AK43" i="25" s="1"/>
  <c r="S43" i="25"/>
  <c r="P43" i="25"/>
  <c r="O43" i="25"/>
  <c r="E43" i="25"/>
  <c r="J43" i="25" s="1"/>
  <c r="AR42" i="25"/>
  <c r="AQ42" i="25"/>
  <c r="AO42" i="25"/>
  <c r="AU42" i="25" s="1"/>
  <c r="AN42" i="25"/>
  <c r="AT42" i="25" s="1"/>
  <c r="AB42" i="25"/>
  <c r="Z42" i="25"/>
  <c r="Y42" i="25"/>
  <c r="V42" i="25"/>
  <c r="AK42" i="25" s="1"/>
  <c r="S42" i="25"/>
  <c r="P42" i="25" s="1"/>
  <c r="O42" i="25"/>
  <c r="J42" i="25"/>
  <c r="E42" i="25"/>
  <c r="AU41" i="25"/>
  <c r="AR41" i="25"/>
  <c r="AQ41" i="25"/>
  <c r="AO41" i="25"/>
  <c r="Z41" i="25"/>
  <c r="Y41" i="25"/>
  <c r="AD41" i="25" s="1"/>
  <c r="V41" i="25"/>
  <c r="AK41" i="25" s="1"/>
  <c r="S41" i="25"/>
  <c r="O41" i="25"/>
  <c r="E41" i="25"/>
  <c r="J41" i="25" s="1"/>
  <c r="AR40" i="25"/>
  <c r="AQ40" i="25"/>
  <c r="AO40" i="25"/>
  <c r="AU40" i="25" s="1"/>
  <c r="AK40" i="25"/>
  <c r="AD40" i="25"/>
  <c r="Z40" i="25"/>
  <c r="Y40" i="25"/>
  <c r="V40" i="25"/>
  <c r="S40" i="25"/>
  <c r="P40" i="25"/>
  <c r="O40" i="25"/>
  <c r="E40" i="25"/>
  <c r="J40" i="25" s="1"/>
  <c r="AR39" i="25"/>
  <c r="AQ39" i="25"/>
  <c r="AP39" i="25"/>
  <c r="AO39" i="25"/>
  <c r="AU39" i="25" s="1"/>
  <c r="AN39" i="25"/>
  <c r="AT39" i="25" s="1"/>
  <c r="AK39" i="25"/>
  <c r="AD39" i="25"/>
  <c r="AB39" i="25"/>
  <c r="Z39" i="25"/>
  <c r="Y39" i="25"/>
  <c r="V39" i="25"/>
  <c r="S39" i="25"/>
  <c r="P39" i="25"/>
  <c r="O39" i="25"/>
  <c r="J39" i="25"/>
  <c r="E39" i="25"/>
  <c r="AR38" i="25"/>
  <c r="AQ38" i="25"/>
  <c r="AO38" i="25"/>
  <c r="AU38" i="25" s="1"/>
  <c r="AN38" i="25"/>
  <c r="AT38" i="25" s="1"/>
  <c r="AD38" i="25"/>
  <c r="AB38" i="25"/>
  <c r="Z38" i="25"/>
  <c r="Y38" i="25"/>
  <c r="V38" i="25"/>
  <c r="S38" i="25"/>
  <c r="P38" i="25" s="1"/>
  <c r="O38" i="25"/>
  <c r="J38" i="25"/>
  <c r="E38" i="25"/>
  <c r="AO15" i="25"/>
  <c r="O15" i="25"/>
  <c r="J15" i="25"/>
  <c r="AO14" i="25"/>
  <c r="J14" i="25"/>
  <c r="AO13" i="25"/>
  <c r="J13" i="25"/>
  <c r="AO12" i="25"/>
  <c r="J12" i="25"/>
  <c r="AO11" i="25"/>
  <c r="J11" i="25"/>
  <c r="AO10" i="25"/>
  <c r="J10" i="25"/>
  <c r="AO9" i="25"/>
  <c r="J9" i="25"/>
  <c r="AO8" i="25"/>
  <c r="J8" i="25"/>
  <c r="AO7" i="25"/>
  <c r="O7" i="25"/>
  <c r="J7" i="25"/>
  <c r="AO6" i="25"/>
  <c r="J6" i="25"/>
  <c r="AO5" i="25"/>
  <c r="J5" i="25"/>
  <c r="AO4" i="25"/>
  <c r="AH93" i="25"/>
  <c r="J4" i="25"/>
  <c r="AO3" i="25"/>
  <c r="AI93" i="25"/>
  <c r="J3" i="25"/>
  <c r="AF94" i="22"/>
  <c r="P93" i="22"/>
  <c r="O93" i="22"/>
  <c r="N93" i="22"/>
  <c r="M93" i="22"/>
  <c r="K93" i="22"/>
  <c r="I93" i="22"/>
  <c r="AR91" i="22"/>
  <c r="AJ91" i="22"/>
  <c r="AH91" i="22"/>
  <c r="AG91" i="22"/>
  <c r="AF91" i="22"/>
  <c r="AE91" i="22"/>
  <c r="AC91" i="22"/>
  <c r="X91" i="22"/>
  <c r="W91" i="22"/>
  <c r="U91" i="22"/>
  <c r="T91" i="22"/>
  <c r="R91" i="22"/>
  <c r="Q91" i="22"/>
  <c r="L91" i="22"/>
  <c r="H91" i="22"/>
  <c r="G91" i="22"/>
  <c r="F91" i="22"/>
  <c r="AR89" i="22"/>
  <c r="AQ89" i="22"/>
  <c r="AO89" i="22"/>
  <c r="AU89" i="22" s="1"/>
  <c r="Z89" i="22"/>
  <c r="Y89" i="22"/>
  <c r="AD89" i="22" s="1"/>
  <c r="V89" i="22"/>
  <c r="AK89" i="22" s="1"/>
  <c r="S89" i="22"/>
  <c r="P89" i="22" s="1"/>
  <c r="O89" i="22"/>
  <c r="E89" i="22"/>
  <c r="J89" i="22" s="1"/>
  <c r="AR88" i="22"/>
  <c r="AQ88" i="22"/>
  <c r="AO88" i="22"/>
  <c r="AU88" i="22" s="1"/>
  <c r="AD88" i="22"/>
  <c r="Z88" i="22"/>
  <c r="Y88" i="22"/>
  <c r="V88" i="22"/>
  <c r="AK88" i="22" s="1"/>
  <c r="S88" i="22"/>
  <c r="P88" i="22" s="1"/>
  <c r="O88" i="22"/>
  <c r="E88" i="22"/>
  <c r="J88" i="22" s="1"/>
  <c r="AR87" i="22"/>
  <c r="AQ87" i="22"/>
  <c r="AO87" i="22"/>
  <c r="AU87" i="22" s="1"/>
  <c r="Z87" i="22"/>
  <c r="Y87" i="22"/>
  <c r="AD87" i="22" s="1"/>
  <c r="V87" i="22"/>
  <c r="AK87" i="22" s="1"/>
  <c r="S87" i="22"/>
  <c r="P87" i="22" s="1"/>
  <c r="O87" i="22"/>
  <c r="J87" i="22"/>
  <c r="E87" i="22"/>
  <c r="AR86" i="22"/>
  <c r="AQ86" i="22"/>
  <c r="AO86" i="22"/>
  <c r="AU86" i="22" s="1"/>
  <c r="Z86" i="22"/>
  <c r="Y86" i="22"/>
  <c r="AD86" i="22" s="1"/>
  <c r="V86" i="22"/>
  <c r="AK86" i="22" s="1"/>
  <c r="S86" i="22"/>
  <c r="P86" i="22" s="1"/>
  <c r="O86" i="22"/>
  <c r="E86" i="22"/>
  <c r="J86" i="22" s="1"/>
  <c r="AR85" i="22"/>
  <c r="AQ85" i="22"/>
  <c r="AO85" i="22"/>
  <c r="AU85" i="22" s="1"/>
  <c r="AK85" i="22"/>
  <c r="AD85" i="22"/>
  <c r="Z85" i="22"/>
  <c r="Y85" i="22"/>
  <c r="V85" i="22"/>
  <c r="S85" i="22"/>
  <c r="P85" i="22" s="1"/>
  <c r="O85" i="22"/>
  <c r="J85" i="22"/>
  <c r="E85" i="22"/>
  <c r="AR84" i="22"/>
  <c r="AQ84" i="22"/>
  <c r="AO84" i="22"/>
  <c r="AU84" i="22" s="1"/>
  <c r="AK84" i="22"/>
  <c r="Z84" i="22"/>
  <c r="Y84" i="22"/>
  <c r="AD84" i="22" s="1"/>
  <c r="V84" i="22"/>
  <c r="S84" i="22"/>
  <c r="P84" i="22" s="1"/>
  <c r="O84" i="22"/>
  <c r="J84" i="22"/>
  <c r="E84" i="22"/>
  <c r="AR83" i="22"/>
  <c r="AQ83" i="22"/>
  <c r="AO83" i="22"/>
  <c r="AU83" i="22" s="1"/>
  <c r="Z83" i="22"/>
  <c r="Y83" i="22"/>
  <c r="AD83" i="22" s="1"/>
  <c r="V83" i="22"/>
  <c r="AK83" i="22" s="1"/>
  <c r="S83" i="22"/>
  <c r="P83" i="22"/>
  <c r="O83" i="22"/>
  <c r="J83" i="22"/>
  <c r="E83" i="22"/>
  <c r="AR82" i="22"/>
  <c r="AQ82" i="22"/>
  <c r="AO82" i="22"/>
  <c r="AU82" i="22" s="1"/>
  <c r="AD82" i="22"/>
  <c r="Z82" i="22"/>
  <c r="Y82" i="22"/>
  <c r="V82" i="22"/>
  <c r="AK82" i="22" s="1"/>
  <c r="S82" i="22"/>
  <c r="P82" i="22"/>
  <c r="O82" i="22"/>
  <c r="E82" i="22"/>
  <c r="J82" i="22" s="1"/>
  <c r="AR81" i="22"/>
  <c r="AQ81" i="22"/>
  <c r="AO81" i="22"/>
  <c r="AU81" i="22" s="1"/>
  <c r="AD81" i="22"/>
  <c r="Z81" i="22"/>
  <c r="Y81" i="22"/>
  <c r="V81" i="22"/>
  <c r="AK81" i="22" s="1"/>
  <c r="S81" i="22"/>
  <c r="P81" i="22" s="1"/>
  <c r="O81" i="22"/>
  <c r="E81" i="22"/>
  <c r="J81" i="22" s="1"/>
  <c r="AR80" i="22"/>
  <c r="AQ80" i="22"/>
  <c r="AO80" i="22"/>
  <c r="AU80" i="22" s="1"/>
  <c r="Z80" i="22"/>
  <c r="Y80" i="22"/>
  <c r="AD80" i="22" s="1"/>
  <c r="V80" i="22"/>
  <c r="AK80" i="22" s="1"/>
  <c r="S80" i="22"/>
  <c r="P80" i="22" s="1"/>
  <c r="O80" i="22"/>
  <c r="E80" i="22"/>
  <c r="J80" i="22" s="1"/>
  <c r="AR79" i="22"/>
  <c r="AQ79" i="22"/>
  <c r="AO79" i="22"/>
  <c r="AU79" i="22" s="1"/>
  <c r="AK79" i="22"/>
  <c r="Z79" i="22"/>
  <c r="Y79" i="22"/>
  <c r="AD79" i="22" s="1"/>
  <c r="V79" i="22"/>
  <c r="S79" i="22"/>
  <c r="P79" i="22" s="1"/>
  <c r="O79" i="22"/>
  <c r="E79" i="22"/>
  <c r="J79" i="22" s="1"/>
  <c r="AR78" i="22"/>
  <c r="AQ78" i="22"/>
  <c r="AO78" i="22"/>
  <c r="AU78" i="22" s="1"/>
  <c r="Z78" i="22"/>
  <c r="Y78" i="22"/>
  <c r="AD78" i="22" s="1"/>
  <c r="V78" i="22"/>
  <c r="AK78" i="22" s="1"/>
  <c r="S78" i="22"/>
  <c r="P78" i="22"/>
  <c r="O78" i="22"/>
  <c r="E78" i="22"/>
  <c r="J78" i="22" s="1"/>
  <c r="AR77" i="22"/>
  <c r="AQ77" i="22"/>
  <c r="AO77" i="22"/>
  <c r="AU77" i="22" s="1"/>
  <c r="AK77" i="22"/>
  <c r="AD77" i="22"/>
  <c r="Z77" i="22"/>
  <c r="Y77" i="22"/>
  <c r="V77" i="22"/>
  <c r="S77" i="22"/>
  <c r="P77" i="22"/>
  <c r="O77" i="22"/>
  <c r="E77" i="22"/>
  <c r="J77" i="22" s="1"/>
  <c r="AR76" i="22"/>
  <c r="AQ76" i="22"/>
  <c r="AO76" i="22"/>
  <c r="AU76" i="22" s="1"/>
  <c r="Z76" i="22"/>
  <c r="Y76" i="22"/>
  <c r="AD76" i="22" s="1"/>
  <c r="V76" i="22"/>
  <c r="AK76" i="22" s="1"/>
  <c r="S76" i="22"/>
  <c r="P76" i="22" s="1"/>
  <c r="O76" i="22"/>
  <c r="E76" i="22"/>
  <c r="J76" i="22" s="1"/>
  <c r="AR75" i="22"/>
  <c r="AQ75" i="22"/>
  <c r="AO75" i="22"/>
  <c r="AU75" i="22" s="1"/>
  <c r="AK75" i="22"/>
  <c r="Z75" i="22"/>
  <c r="Y75" i="22"/>
  <c r="AD75" i="22" s="1"/>
  <c r="V75" i="22"/>
  <c r="S75" i="22"/>
  <c r="P75" i="22" s="1"/>
  <c r="O75" i="22"/>
  <c r="E75" i="22"/>
  <c r="J75" i="22" s="1"/>
  <c r="AR74" i="22"/>
  <c r="AQ74" i="22"/>
  <c r="AO74" i="22"/>
  <c r="AU74" i="22" s="1"/>
  <c r="Z74" i="22"/>
  <c r="Y74" i="22"/>
  <c r="AD74" i="22" s="1"/>
  <c r="V74" i="22"/>
  <c r="AK74" i="22" s="1"/>
  <c r="S74" i="22"/>
  <c r="P74" i="22" s="1"/>
  <c r="O74" i="22"/>
  <c r="E74" i="22"/>
  <c r="J74" i="22" s="1"/>
  <c r="AR73" i="22"/>
  <c r="AQ73" i="22"/>
  <c r="AO73" i="22"/>
  <c r="AU73" i="22" s="1"/>
  <c r="Z73" i="22"/>
  <c r="Y73" i="22"/>
  <c r="AD73" i="22" s="1"/>
  <c r="V73" i="22"/>
  <c r="AK73" i="22" s="1"/>
  <c r="S73" i="22"/>
  <c r="P73" i="22" s="1"/>
  <c r="O73" i="22"/>
  <c r="J73" i="22"/>
  <c r="E73" i="22"/>
  <c r="AR72" i="22"/>
  <c r="AQ72" i="22"/>
  <c r="AO72" i="22"/>
  <c r="AU72" i="22" s="1"/>
  <c r="Z72" i="22"/>
  <c r="Y72" i="22"/>
  <c r="AD72" i="22" s="1"/>
  <c r="V72" i="22"/>
  <c r="AK72" i="22" s="1"/>
  <c r="S72" i="22"/>
  <c r="P72" i="22" s="1"/>
  <c r="O72" i="22"/>
  <c r="E72" i="22"/>
  <c r="J72" i="22" s="1"/>
  <c r="AR71" i="22"/>
  <c r="AQ71" i="22"/>
  <c r="AO71" i="22"/>
  <c r="AU71" i="22" s="1"/>
  <c r="Z71" i="22"/>
  <c r="Y71" i="22"/>
  <c r="AD71" i="22" s="1"/>
  <c r="V71" i="22"/>
  <c r="AK71" i="22" s="1"/>
  <c r="S71" i="22"/>
  <c r="P71" i="22"/>
  <c r="O71" i="22"/>
  <c r="E71" i="22"/>
  <c r="J71" i="22" s="1"/>
  <c r="AR70" i="22"/>
  <c r="AQ70" i="22"/>
  <c r="AO70" i="22"/>
  <c r="AU70" i="22" s="1"/>
  <c r="AK70" i="22"/>
  <c r="AD70" i="22"/>
  <c r="Z70" i="22"/>
  <c r="Y70" i="22"/>
  <c r="V70" i="22"/>
  <c r="S70" i="22"/>
  <c r="P70" i="22" s="1"/>
  <c r="O70" i="22"/>
  <c r="J70" i="22"/>
  <c r="E70" i="22"/>
  <c r="AR69" i="22"/>
  <c r="AQ69" i="22"/>
  <c r="AO69" i="22"/>
  <c r="AU69" i="22" s="1"/>
  <c r="Z69" i="22"/>
  <c r="Y69" i="22"/>
  <c r="AD69" i="22" s="1"/>
  <c r="V69" i="22"/>
  <c r="AK69" i="22" s="1"/>
  <c r="S69" i="22"/>
  <c r="P69" i="22" s="1"/>
  <c r="O69" i="22"/>
  <c r="E69" i="22"/>
  <c r="J69" i="22" s="1"/>
  <c r="AR68" i="22"/>
  <c r="AQ68" i="22"/>
  <c r="AO68" i="22"/>
  <c r="AU68" i="22" s="1"/>
  <c r="AK68" i="22"/>
  <c r="Z68" i="22"/>
  <c r="Y68" i="22"/>
  <c r="AD68" i="22" s="1"/>
  <c r="V68" i="22"/>
  <c r="S68" i="22"/>
  <c r="P68" i="22"/>
  <c r="O68" i="22"/>
  <c r="J68" i="22"/>
  <c r="E68" i="22"/>
  <c r="AR67" i="22"/>
  <c r="AQ67" i="22"/>
  <c r="AO67" i="22"/>
  <c r="AU67" i="22" s="1"/>
  <c r="Z67" i="22"/>
  <c r="Y67" i="22"/>
  <c r="AD67" i="22" s="1"/>
  <c r="V67" i="22"/>
  <c r="AK67" i="22" s="1"/>
  <c r="S67" i="22"/>
  <c r="P67" i="22" s="1"/>
  <c r="O67" i="22"/>
  <c r="E67" i="22"/>
  <c r="J67" i="22" s="1"/>
  <c r="AR66" i="22"/>
  <c r="AQ66" i="22"/>
  <c r="AO66" i="22"/>
  <c r="AU66" i="22" s="1"/>
  <c r="Z66" i="22"/>
  <c r="Y66" i="22"/>
  <c r="AD66" i="22" s="1"/>
  <c r="V66" i="22"/>
  <c r="AK66" i="22" s="1"/>
  <c r="S66" i="22"/>
  <c r="P66" i="22" s="1"/>
  <c r="O66" i="22"/>
  <c r="E66" i="22"/>
  <c r="J66" i="22" s="1"/>
  <c r="AR65" i="22"/>
  <c r="AQ65" i="22"/>
  <c r="AO65" i="22"/>
  <c r="AU65" i="22" s="1"/>
  <c r="AK65" i="22"/>
  <c r="AD65" i="22"/>
  <c r="Z65" i="22"/>
  <c r="Y65" i="22"/>
  <c r="V65" i="22"/>
  <c r="S65" i="22"/>
  <c r="P65" i="22" s="1"/>
  <c r="O65" i="22"/>
  <c r="E65" i="22"/>
  <c r="J65" i="22" s="1"/>
  <c r="AU64" i="22"/>
  <c r="AR64" i="22"/>
  <c r="AQ64" i="22"/>
  <c r="AO64" i="22"/>
  <c r="Z64" i="22"/>
  <c r="Y64" i="22"/>
  <c r="AD64" i="22" s="1"/>
  <c r="V64" i="22"/>
  <c r="AK64" i="22" s="1"/>
  <c r="S64" i="22"/>
  <c r="P64" i="22" s="1"/>
  <c r="O64" i="22"/>
  <c r="E64" i="22"/>
  <c r="J64" i="22" s="1"/>
  <c r="AU63" i="22"/>
  <c r="AR63" i="22"/>
  <c r="AQ63" i="22"/>
  <c r="AO63" i="22"/>
  <c r="Z63" i="22"/>
  <c r="Y63" i="22"/>
  <c r="AD63" i="22" s="1"/>
  <c r="V63" i="22"/>
  <c r="AK63" i="22" s="1"/>
  <c r="S63" i="22"/>
  <c r="P63" i="22" s="1"/>
  <c r="O63" i="22"/>
  <c r="E63" i="22"/>
  <c r="J63" i="22" s="1"/>
  <c r="AR62" i="22"/>
  <c r="AQ62" i="22"/>
  <c r="AO62" i="22"/>
  <c r="AU62" i="22" s="1"/>
  <c r="Z62" i="22"/>
  <c r="Y62" i="22"/>
  <c r="AD62" i="22" s="1"/>
  <c r="V62" i="22"/>
  <c r="AK62" i="22" s="1"/>
  <c r="S62" i="22"/>
  <c r="P62" i="22"/>
  <c r="O62" i="22"/>
  <c r="E62" i="22"/>
  <c r="J62" i="22" s="1"/>
  <c r="AR61" i="22"/>
  <c r="AQ61" i="22"/>
  <c r="AO61" i="22"/>
  <c r="AU61" i="22" s="1"/>
  <c r="AK61" i="22"/>
  <c r="Z61" i="22"/>
  <c r="Y61" i="22"/>
  <c r="AD61" i="22" s="1"/>
  <c r="V61" i="22"/>
  <c r="S61" i="22"/>
  <c r="P61" i="22" s="1"/>
  <c r="O61" i="22"/>
  <c r="J61" i="22"/>
  <c r="E61" i="22"/>
  <c r="AR60" i="22"/>
  <c r="AQ60" i="22"/>
  <c r="AO60" i="22"/>
  <c r="AU60" i="22" s="1"/>
  <c r="AK60" i="22"/>
  <c r="AD60" i="22"/>
  <c r="Z60" i="22"/>
  <c r="Y60" i="22"/>
  <c r="V60" i="22"/>
  <c r="S60" i="22"/>
  <c r="P60" i="22"/>
  <c r="O60" i="22"/>
  <c r="E60" i="22"/>
  <c r="J60" i="22" s="1"/>
  <c r="AR59" i="22"/>
  <c r="AQ59" i="22"/>
  <c r="AO59" i="22"/>
  <c r="AU59" i="22" s="1"/>
  <c r="AK59" i="22"/>
  <c r="Z59" i="22"/>
  <c r="Y59" i="22"/>
  <c r="AD59" i="22" s="1"/>
  <c r="V59" i="22"/>
  <c r="S59" i="22"/>
  <c r="P59" i="22"/>
  <c r="O59" i="22"/>
  <c r="E59" i="22"/>
  <c r="J59" i="22" s="1"/>
  <c r="AU58" i="22"/>
  <c r="AR58" i="22"/>
  <c r="AQ58" i="22"/>
  <c r="AO58" i="22"/>
  <c r="Z58" i="22"/>
  <c r="Y58" i="22"/>
  <c r="AD58" i="22" s="1"/>
  <c r="V58" i="22"/>
  <c r="AK58" i="22" s="1"/>
  <c r="S58" i="22"/>
  <c r="O58" i="22"/>
  <c r="E58" i="22"/>
  <c r="J58" i="22" s="1"/>
  <c r="AR57" i="22"/>
  <c r="AQ57" i="22"/>
  <c r="AO57" i="22"/>
  <c r="AU57" i="22" s="1"/>
  <c r="AK57" i="22"/>
  <c r="Z57" i="22"/>
  <c r="Y57" i="22"/>
  <c r="AD57" i="22" s="1"/>
  <c r="V57" i="22"/>
  <c r="S57" i="22"/>
  <c r="P57" i="22"/>
  <c r="O57" i="22"/>
  <c r="J57" i="22"/>
  <c r="E57" i="22"/>
  <c r="AR56" i="22"/>
  <c r="AQ56" i="22"/>
  <c r="AO56" i="22"/>
  <c r="AU56" i="22" s="1"/>
  <c r="AK56" i="22"/>
  <c r="AD56" i="22"/>
  <c r="Z56" i="22"/>
  <c r="Y56" i="22"/>
  <c r="V56" i="22"/>
  <c r="S56" i="22"/>
  <c r="P56" i="22" s="1"/>
  <c r="O56" i="22"/>
  <c r="J56" i="22"/>
  <c r="E56" i="22"/>
  <c r="AU55" i="22"/>
  <c r="AR55" i="22"/>
  <c r="AQ55" i="22"/>
  <c r="AO55" i="22"/>
  <c r="Z55" i="22"/>
  <c r="Y55" i="22"/>
  <c r="AD55" i="22" s="1"/>
  <c r="V55" i="22"/>
  <c r="AK55" i="22" s="1"/>
  <c r="S55" i="22"/>
  <c r="P55" i="22" s="1"/>
  <c r="O55" i="22"/>
  <c r="E55" i="22"/>
  <c r="J55" i="22" s="1"/>
  <c r="AU54" i="22"/>
  <c r="AR54" i="22"/>
  <c r="AQ54" i="22"/>
  <c r="AO54" i="22"/>
  <c r="Z54" i="22"/>
  <c r="Y54" i="22"/>
  <c r="V54" i="22"/>
  <c r="AK54" i="22" s="1"/>
  <c r="S54" i="22"/>
  <c r="P54" i="22" s="1"/>
  <c r="O54" i="22"/>
  <c r="E54" i="22"/>
  <c r="J54" i="22" s="1"/>
  <c r="AU53" i="22"/>
  <c r="AR53" i="22"/>
  <c r="AQ53" i="22"/>
  <c r="AO53" i="22"/>
  <c r="AB53" i="22"/>
  <c r="Z53" i="22"/>
  <c r="Y53" i="22"/>
  <c r="AD53" i="22" s="1"/>
  <c r="V53" i="22"/>
  <c r="AK53" i="22" s="1"/>
  <c r="S53" i="22"/>
  <c r="AN53" i="22" s="1"/>
  <c r="AT53" i="22" s="1"/>
  <c r="O53" i="22"/>
  <c r="E53" i="22"/>
  <c r="J53" i="22" s="1"/>
  <c r="AR52" i="22"/>
  <c r="AQ52" i="22"/>
  <c r="AO52" i="22"/>
  <c r="AU52" i="22" s="1"/>
  <c r="AN52" i="22"/>
  <c r="AT52" i="22" s="1"/>
  <c r="Z52" i="22"/>
  <c r="Y52" i="22"/>
  <c r="V52" i="22"/>
  <c r="AK52" i="22" s="1"/>
  <c r="S52" i="22"/>
  <c r="AB52" i="22" s="1"/>
  <c r="O52" i="22"/>
  <c r="E52" i="22"/>
  <c r="J52" i="22" s="1"/>
  <c r="AR51" i="22"/>
  <c r="AQ51" i="22"/>
  <c r="AO51" i="22"/>
  <c r="AU51" i="22" s="1"/>
  <c r="AK51" i="22"/>
  <c r="Z51" i="22"/>
  <c r="Y51" i="22"/>
  <c r="V51" i="22"/>
  <c r="S51" i="22"/>
  <c r="P51" i="22" s="1"/>
  <c r="O51" i="22"/>
  <c r="E51" i="22"/>
  <c r="J51" i="22" s="1"/>
  <c r="AU50" i="22"/>
  <c r="AR50" i="22"/>
  <c r="AQ50" i="22"/>
  <c r="AO50" i="22"/>
  <c r="Z50" i="22"/>
  <c r="Y50" i="22"/>
  <c r="AD50" i="22" s="1"/>
  <c r="V50" i="22"/>
  <c r="AK50" i="22" s="1"/>
  <c r="S50" i="22"/>
  <c r="AB50" i="22" s="1"/>
  <c r="O50" i="22"/>
  <c r="E50" i="22"/>
  <c r="J50" i="22" s="1"/>
  <c r="AR49" i="22"/>
  <c r="AQ49" i="22"/>
  <c r="AO49" i="22"/>
  <c r="AU49" i="22" s="1"/>
  <c r="AK49" i="22"/>
  <c r="Z49" i="22"/>
  <c r="Y49" i="22"/>
  <c r="AD49" i="22" s="1"/>
  <c r="V49" i="22"/>
  <c r="S49" i="22"/>
  <c r="AB49" i="22" s="1"/>
  <c r="O49" i="22"/>
  <c r="E49" i="22"/>
  <c r="J49" i="22" s="1"/>
  <c r="AR48" i="22"/>
  <c r="AQ48" i="22"/>
  <c r="AO48" i="22"/>
  <c r="AU48" i="22" s="1"/>
  <c r="AK48" i="22"/>
  <c r="AD48" i="22"/>
  <c r="Z48" i="22"/>
  <c r="Y48" i="22"/>
  <c r="V48" i="22"/>
  <c r="S48" i="22"/>
  <c r="AB48" i="22" s="1"/>
  <c r="P48" i="22"/>
  <c r="O48" i="22"/>
  <c r="E48" i="22"/>
  <c r="J48" i="22" s="1"/>
  <c r="AR47" i="22"/>
  <c r="AQ47" i="22"/>
  <c r="AO47" i="22"/>
  <c r="AU47" i="22" s="1"/>
  <c r="Z47" i="22"/>
  <c r="Y47" i="22"/>
  <c r="AD47" i="22" s="1"/>
  <c r="V47" i="22"/>
  <c r="AK47" i="22" s="1"/>
  <c r="S47" i="22"/>
  <c r="AB47" i="22" s="1"/>
  <c r="O47" i="22"/>
  <c r="E47" i="22"/>
  <c r="J47" i="22" s="1"/>
  <c r="AR46" i="22"/>
  <c r="AQ46" i="22"/>
  <c r="AO46" i="22"/>
  <c r="AU46" i="22" s="1"/>
  <c r="AK46" i="22"/>
  <c r="AD46" i="22"/>
  <c r="Z46" i="22"/>
  <c r="Y46" i="22"/>
  <c r="V46" i="22"/>
  <c r="S46" i="22"/>
  <c r="AB46" i="22" s="1"/>
  <c r="P46" i="22"/>
  <c r="O46" i="22"/>
  <c r="E46" i="22"/>
  <c r="J46" i="22" s="1"/>
  <c r="AR45" i="22"/>
  <c r="AQ45" i="22"/>
  <c r="AO45" i="22"/>
  <c r="AU45" i="22" s="1"/>
  <c r="Z45" i="22"/>
  <c r="Y45" i="22"/>
  <c r="AD45" i="22" s="1"/>
  <c r="V45" i="22"/>
  <c r="AK45" i="22" s="1"/>
  <c r="S45" i="22"/>
  <c r="AB45" i="22" s="1"/>
  <c r="P45" i="22"/>
  <c r="O45" i="22"/>
  <c r="E45" i="22"/>
  <c r="J45" i="22" s="1"/>
  <c r="AR44" i="22"/>
  <c r="AQ44" i="22"/>
  <c r="AO44" i="22"/>
  <c r="AU44" i="22" s="1"/>
  <c r="Z44" i="22"/>
  <c r="Y44" i="22"/>
  <c r="AD44" i="22" s="1"/>
  <c r="V44" i="22"/>
  <c r="AK44" i="22" s="1"/>
  <c r="S44" i="22"/>
  <c r="AB44" i="22" s="1"/>
  <c r="P44" i="22"/>
  <c r="O44" i="22"/>
  <c r="E44" i="22"/>
  <c r="J44" i="22" s="1"/>
  <c r="AR43" i="22"/>
  <c r="AQ43" i="22"/>
  <c r="AO43" i="22"/>
  <c r="AU43" i="22" s="1"/>
  <c r="AK43" i="22"/>
  <c r="AD43" i="22"/>
  <c r="Z43" i="22"/>
  <c r="Y43" i="22"/>
  <c r="V43" i="22"/>
  <c r="S43" i="22"/>
  <c r="AB43" i="22" s="1"/>
  <c r="P43" i="22"/>
  <c r="O43" i="22"/>
  <c r="E43" i="22"/>
  <c r="J43" i="22" s="1"/>
  <c r="AR42" i="22"/>
  <c r="AQ42" i="22"/>
  <c r="AO42" i="22"/>
  <c r="AU42" i="22" s="1"/>
  <c r="Z42" i="22"/>
  <c r="Y42" i="22"/>
  <c r="AD42" i="22" s="1"/>
  <c r="V42" i="22"/>
  <c r="AK42" i="22" s="1"/>
  <c r="S42" i="22"/>
  <c r="AB42" i="22" s="1"/>
  <c r="O42" i="22"/>
  <c r="E42" i="22"/>
  <c r="J42" i="22" s="1"/>
  <c r="AR41" i="22"/>
  <c r="AQ41" i="22"/>
  <c r="AO41" i="22"/>
  <c r="AU41" i="22" s="1"/>
  <c r="AK41" i="22"/>
  <c r="Z41" i="22"/>
  <c r="Y41" i="22"/>
  <c r="AD41" i="22" s="1"/>
  <c r="V41" i="22"/>
  <c r="S41" i="22"/>
  <c r="AB41" i="22" s="1"/>
  <c r="P41" i="22"/>
  <c r="O41" i="22"/>
  <c r="E41" i="22"/>
  <c r="J41" i="22" s="1"/>
  <c r="AR40" i="22"/>
  <c r="AQ40" i="22"/>
  <c r="AO40" i="22"/>
  <c r="AU40" i="22" s="1"/>
  <c r="AK40" i="22"/>
  <c r="AD40" i="22"/>
  <c r="Z40" i="22"/>
  <c r="Y40" i="22"/>
  <c r="V40" i="22"/>
  <c r="S40" i="22"/>
  <c r="AB40" i="22" s="1"/>
  <c r="P40" i="22"/>
  <c r="O40" i="22"/>
  <c r="E40" i="22"/>
  <c r="J40" i="22" s="1"/>
  <c r="AR39" i="22"/>
  <c r="AQ39" i="22"/>
  <c r="AO39" i="22"/>
  <c r="AU39" i="22" s="1"/>
  <c r="Z39" i="22"/>
  <c r="Y39" i="22"/>
  <c r="AD39" i="22" s="1"/>
  <c r="V39" i="22"/>
  <c r="AK39" i="22" s="1"/>
  <c r="S39" i="22"/>
  <c r="AB39" i="22" s="1"/>
  <c r="O39" i="22"/>
  <c r="E39" i="22"/>
  <c r="J39" i="22" s="1"/>
  <c r="AR38" i="22"/>
  <c r="AQ38" i="22"/>
  <c r="AO38" i="22"/>
  <c r="AU38" i="22" s="1"/>
  <c r="AK38" i="22"/>
  <c r="AD38" i="22"/>
  <c r="Z38" i="22"/>
  <c r="Y38" i="22"/>
  <c r="V38" i="22"/>
  <c r="S38" i="22"/>
  <c r="P38" i="22"/>
  <c r="O38" i="22"/>
  <c r="J38" i="22"/>
  <c r="E38" i="22"/>
  <c r="AH93" i="22"/>
  <c r="AG93" i="22"/>
  <c r="X10" i="3" s="1"/>
  <c r="AF93" i="22"/>
  <c r="W10" i="3" s="1"/>
  <c r="L93" i="22"/>
  <c r="H93" i="22"/>
  <c r="AI38" i="22" s="1"/>
  <c r="G93" i="22"/>
  <c r="AO15" i="22"/>
  <c r="O15" i="22"/>
  <c r="J15" i="22"/>
  <c r="AO14" i="22"/>
  <c r="O14" i="22"/>
  <c r="J14" i="22"/>
  <c r="AO13" i="22"/>
  <c r="O13" i="22"/>
  <c r="J13" i="22"/>
  <c r="AO12" i="22"/>
  <c r="O12" i="22"/>
  <c r="J12" i="22"/>
  <c r="AO11" i="22"/>
  <c r="O11" i="22"/>
  <c r="J11" i="22"/>
  <c r="AO10" i="22"/>
  <c r="O10" i="22"/>
  <c r="J10" i="22"/>
  <c r="AO9" i="22"/>
  <c r="O9" i="22"/>
  <c r="J9" i="22"/>
  <c r="AO8" i="22"/>
  <c r="O8" i="22"/>
  <c r="J8" i="22"/>
  <c r="AO7" i="22"/>
  <c r="O7" i="22"/>
  <c r="J7" i="22"/>
  <c r="AO6" i="22"/>
  <c r="O6" i="22"/>
  <c r="J6" i="22"/>
  <c r="AO5" i="22"/>
  <c r="O5" i="22"/>
  <c r="J5" i="22"/>
  <c r="AO4" i="22"/>
  <c r="O4" i="22"/>
  <c r="J4" i="22"/>
  <c r="AO3" i="22"/>
  <c r="Z3" i="22"/>
  <c r="O3" i="22"/>
  <c r="J3" i="22"/>
  <c r="Y9" i="3"/>
  <c r="S9" i="3"/>
  <c r="AE11" i="3"/>
  <c r="AF11" i="3"/>
  <c r="AG11" i="3"/>
  <c r="AH11" i="3"/>
  <c r="AE12" i="3"/>
  <c r="AF12" i="3"/>
  <c r="AG12" i="3"/>
  <c r="AH12" i="3"/>
  <c r="AE13" i="3"/>
  <c r="AF13" i="3"/>
  <c r="AG13" i="3"/>
  <c r="AH13" i="3"/>
  <c r="AA14" i="3"/>
  <c r="T14" i="3"/>
  <c r="Z36" i="22" l="1"/>
  <c r="L36" i="25"/>
  <c r="AI3" i="22"/>
  <c r="J36" i="25"/>
  <c r="AL45" i="25"/>
  <c r="AL86" i="25"/>
  <c r="AL79" i="25"/>
  <c r="AS79" i="25" s="1" a="1"/>
  <c r="AS79" i="25" s="1"/>
  <c r="AW79" i="25" s="1"/>
  <c r="J36" i="22"/>
  <c r="M7" i="27"/>
  <c r="G7" i="27" s="1"/>
  <c r="L8" i="27"/>
  <c r="F7" i="27"/>
  <c r="E8" i="27"/>
  <c r="G93" i="25"/>
  <c r="AW93" i="24"/>
  <c r="AI78" i="22"/>
  <c r="AL78" i="22" s="1"/>
  <c r="AS78" i="22" s="1" a="1"/>
  <c r="AS78" i="22" s="1"/>
  <c r="AW78" i="22" s="1"/>
  <c r="AL18" i="22"/>
  <c r="AS18" i="22" s="1" a="1"/>
  <c r="AS18" i="22" s="1"/>
  <c r="AL26" i="22"/>
  <c r="AS26" i="22" s="1" a="1"/>
  <c r="AS26" i="22" s="1"/>
  <c r="AL34" i="22"/>
  <c r="AS34" i="22" s="1" a="1"/>
  <c r="AS34" i="22" s="1"/>
  <c r="AL17" i="22"/>
  <c r="AS17" i="22" s="1" a="1"/>
  <c r="AS17" i="22" s="1"/>
  <c r="AL25" i="22"/>
  <c r="AS25" i="22" s="1" a="1"/>
  <c r="AS25" i="22" s="1"/>
  <c r="AL33" i="22"/>
  <c r="AS33" i="22" s="1" a="1"/>
  <c r="AS33" i="22" s="1"/>
  <c r="AL30" i="22"/>
  <c r="AS30" i="22" s="1" a="1"/>
  <c r="AS30" i="22" s="1"/>
  <c r="AL29" i="22"/>
  <c r="AS29" i="22" s="1" a="1"/>
  <c r="AS29" i="22" s="1"/>
  <c r="AL16" i="22"/>
  <c r="AS16" i="22" s="1" a="1"/>
  <c r="AS16" i="22" s="1"/>
  <c r="AL24" i="22"/>
  <c r="AS24" i="22" s="1" a="1"/>
  <c r="AS24" i="22" s="1"/>
  <c r="AL32" i="22"/>
  <c r="AS32" i="22" s="1" a="1"/>
  <c r="AS32" i="22" s="1"/>
  <c r="AL23" i="22"/>
  <c r="AS23" i="22" s="1" a="1"/>
  <c r="AS23" i="22" s="1"/>
  <c r="AL31" i="22"/>
  <c r="AS31" i="22" s="1" a="1"/>
  <c r="AS31" i="22" s="1"/>
  <c r="AL22" i="22"/>
  <c r="AS22" i="22" s="1" a="1"/>
  <c r="AS22" i="22" s="1"/>
  <c r="AL21" i="22"/>
  <c r="AS21" i="22" s="1" a="1"/>
  <c r="AS21" i="22" s="1"/>
  <c r="AL20" i="22"/>
  <c r="AS20" i="22" s="1" a="1"/>
  <c r="AS20" i="22" s="1"/>
  <c r="AL28" i="22"/>
  <c r="AS28" i="22" s="1" a="1"/>
  <c r="AS28" i="22" s="1"/>
  <c r="AL19" i="22"/>
  <c r="AS19" i="22" s="1" a="1"/>
  <c r="AS19" i="22" s="1"/>
  <c r="AL27" i="22"/>
  <c r="AS27" i="22" s="1" a="1"/>
  <c r="AS27" i="22" s="1"/>
  <c r="O10" i="25"/>
  <c r="AI46" i="22"/>
  <c r="AK91" i="22"/>
  <c r="AI43" i="22"/>
  <c r="AL43" i="22" s="1"/>
  <c r="AS43" i="22" s="1" a="1"/>
  <c r="AS43" i="22" s="1"/>
  <c r="AW43" i="22" s="1"/>
  <c r="P49" i="22"/>
  <c r="AI51" i="22"/>
  <c r="AL51" i="22" s="1"/>
  <c r="AS51" i="22" s="1" a="1"/>
  <c r="AS51" i="22" s="1"/>
  <c r="AW51" i="22" s="1"/>
  <c r="P52" i="22"/>
  <c r="AI77" i="22"/>
  <c r="AI40" i="22"/>
  <c r="AL40" i="22" s="1"/>
  <c r="AS40" i="22" s="1" a="1"/>
  <c r="AS40" i="22" s="1"/>
  <c r="AW40" i="22" s="1"/>
  <c r="AI48" i="22"/>
  <c r="AL48" i="22" s="1"/>
  <c r="AS48" i="22" s="1" a="1"/>
  <c r="AS48" i="22" s="1"/>
  <c r="AW48" i="22" s="1"/>
  <c r="AP52" i="22"/>
  <c r="AI45" i="22"/>
  <c r="AL45" i="22" s="1"/>
  <c r="AS45" i="22" s="1" a="1"/>
  <c r="AS45" i="22" s="1"/>
  <c r="AW45" i="22" s="1"/>
  <c r="AL46" i="22"/>
  <c r="AS46" i="22" s="1" a="1"/>
  <c r="AS46" i="22" s="1"/>
  <c r="AW46" i="22" s="1"/>
  <c r="AI54" i="22"/>
  <c r="AL54" i="22" s="1"/>
  <c r="AS54" i="22" s="1" a="1"/>
  <c r="AS54" i="22" s="1"/>
  <c r="AW54" i="22" s="1"/>
  <c r="AI55" i="22"/>
  <c r="AL55" i="22" s="1"/>
  <c r="AS55" i="22" s="1" a="1"/>
  <c r="AS55" i="22" s="1"/>
  <c r="AW55" i="22" s="1"/>
  <c r="V91" i="22"/>
  <c r="AI42" i="22"/>
  <c r="AL42" i="22" s="1"/>
  <c r="AS42" i="22" s="1" a="1"/>
  <c r="AS42" i="22" s="1"/>
  <c r="AW42" i="22" s="1"/>
  <c r="AI50" i="22"/>
  <c r="AL50" i="22" s="1"/>
  <c r="AS50" i="22" s="1" a="1"/>
  <c r="AS50" i="22" s="1"/>
  <c r="AW50" i="22" s="1"/>
  <c r="AI76" i="22"/>
  <c r="AL76" i="22" s="1"/>
  <c r="AS76" i="22" s="1" a="1"/>
  <c r="AS76" i="22" s="1"/>
  <c r="AW76" i="22" s="1"/>
  <c r="AI39" i="22"/>
  <c r="AL39" i="22" s="1"/>
  <c r="AS39" i="22" s="1" a="1"/>
  <c r="AS39" i="22" s="1"/>
  <c r="AW39" i="22" s="1"/>
  <c r="AI47" i="22"/>
  <c r="AL47" i="22" s="1"/>
  <c r="AS47" i="22" s="1" a="1"/>
  <c r="AS47" i="22" s="1"/>
  <c r="AW47" i="22" s="1"/>
  <c r="AN54" i="22"/>
  <c r="AT54" i="22" s="1"/>
  <c r="AI63" i="22"/>
  <c r="P42" i="22"/>
  <c r="AI44" i="22"/>
  <c r="AL44" i="22" s="1"/>
  <c r="AS44" i="22" s="1" a="1"/>
  <c r="AS44" i="22" s="1"/>
  <c r="AW44" i="22" s="1"/>
  <c r="P50" i="22"/>
  <c r="AI62" i="22"/>
  <c r="AL62" i="22" s="1"/>
  <c r="AS62" i="22" s="1" a="1"/>
  <c r="AS62" i="22" s="1"/>
  <c r="AW62" i="22" s="1"/>
  <c r="F93" i="22"/>
  <c r="P39" i="22"/>
  <c r="AI41" i="22"/>
  <c r="AL41" i="22" s="1"/>
  <c r="AS41" i="22" s="1" a="1"/>
  <c r="AS41" i="22" s="1"/>
  <c r="AW41" i="22" s="1"/>
  <c r="P47" i="22"/>
  <c r="AI49" i="22"/>
  <c r="AL49" i="22" s="1"/>
  <c r="AS49" i="22" s="1" a="1"/>
  <c r="AS49" i="22" s="1"/>
  <c r="AW49" i="22" s="1"/>
  <c r="AP53" i="22"/>
  <c r="AI61" i="22"/>
  <c r="AL61" i="22" s="1"/>
  <c r="AS61" i="22" s="1" a="1"/>
  <c r="AS61" i="22" s="1"/>
  <c r="AW61" i="22" s="1"/>
  <c r="AI75" i="22"/>
  <c r="O9" i="25"/>
  <c r="Z4" i="25"/>
  <c r="F6" i="26"/>
  <c r="E7" i="26"/>
  <c r="L6" i="26"/>
  <c r="M5" i="26"/>
  <c r="G5" i="26" s="1"/>
  <c r="O12" i="25"/>
  <c r="Z13" i="25"/>
  <c r="Z14" i="25"/>
  <c r="O14" i="25"/>
  <c r="AL43" i="25"/>
  <c r="AS43" i="25" s="1" a="1"/>
  <c r="AS43" i="25" s="1"/>
  <c r="AW43" i="25" s="1"/>
  <c r="AD43" i="25"/>
  <c r="H93" i="25"/>
  <c r="Z8" i="25"/>
  <c r="AL49" i="25"/>
  <c r="AS49" i="25" s="1" a="1"/>
  <c r="AS49" i="25" s="1"/>
  <c r="AW49" i="25" s="1"/>
  <c r="AD69" i="25"/>
  <c r="AF93" i="25"/>
  <c r="AG93" i="25"/>
  <c r="Z6" i="25"/>
  <c r="O6" i="25"/>
  <c r="Z11" i="25"/>
  <c r="O11" i="25"/>
  <c r="AL42" i="25"/>
  <c r="AS42" i="25" s="1" a="1"/>
  <c r="AS42" i="25" s="1"/>
  <c r="AW42" i="25" s="1"/>
  <c r="AB60" i="25"/>
  <c r="AL60" i="25" s="1"/>
  <c r="AS60" i="25" s="1" a="1"/>
  <c r="AS60" i="25" s="1"/>
  <c r="AW60" i="25" s="1"/>
  <c r="AN60" i="25"/>
  <c r="AT60" i="25" s="1"/>
  <c r="P60" i="25"/>
  <c r="AP60" i="25"/>
  <c r="Z3" i="25"/>
  <c r="L93" i="25"/>
  <c r="O3" i="25"/>
  <c r="Z5" i="25"/>
  <c r="J91" i="25"/>
  <c r="P41" i="25"/>
  <c r="AS41" i="25" a="1"/>
  <c r="AS41" i="25" s="1"/>
  <c r="AW41" i="25" s="1"/>
  <c r="AN41" i="25"/>
  <c r="AT41" i="25" s="1"/>
  <c r="AB41" i="25"/>
  <c r="AL41" i="25" s="1"/>
  <c r="AP41" i="25"/>
  <c r="AD47" i="25"/>
  <c r="AJ93" i="25"/>
  <c r="AQ90" i="25"/>
  <c r="F93" i="25"/>
  <c r="V91" i="25"/>
  <c r="AR90" i="25"/>
  <c r="AB40" i="25"/>
  <c r="AL40" i="25" s="1"/>
  <c r="AS40" i="25" s="1" a="1"/>
  <c r="AS40" i="25" s="1"/>
  <c r="AW40" i="25" s="1"/>
  <c r="AP40" i="25"/>
  <c r="AN40" i="25"/>
  <c r="AT40" i="25" s="1"/>
  <c r="AL46" i="25"/>
  <c r="AS46" i="25" s="1" a="1"/>
  <c r="AS46" i="25" s="1"/>
  <c r="AW46" i="25" s="1"/>
  <c r="AD46" i="25"/>
  <c r="P61" i="25"/>
  <c r="AB61" i="25"/>
  <c r="AP61" i="25"/>
  <c r="P75" i="25"/>
  <c r="AB75" i="25"/>
  <c r="AL75" i="25" s="1"/>
  <c r="AS75" i="25" s="1" a="1"/>
  <c r="AS75" i="25" s="1"/>
  <c r="AW75" i="25" s="1"/>
  <c r="AP75" i="25"/>
  <c r="AN75" i="25"/>
  <c r="AT75" i="25" s="1"/>
  <c r="AL87" i="25"/>
  <c r="AS87" i="25" s="1" a="1"/>
  <c r="AS87" i="25" s="1"/>
  <c r="AW87" i="25" s="1"/>
  <c r="Z7" i="25"/>
  <c r="O8" i="25"/>
  <c r="Z15" i="25"/>
  <c r="AO35" i="25"/>
  <c r="AK38" i="25"/>
  <c r="AK91" i="25" s="1"/>
  <c r="AL39" i="25"/>
  <c r="AS39" i="25" s="1" a="1"/>
  <c r="AS39" i="25" s="1"/>
  <c r="AW39" i="25" s="1"/>
  <c r="AP42" i="25"/>
  <c r="AB44" i="25"/>
  <c r="AL44" i="25" s="1"/>
  <c r="AS44" i="25" s="1" a="1"/>
  <c r="AS44" i="25" s="1"/>
  <c r="AW44" i="25" s="1"/>
  <c r="AN52" i="25"/>
  <c r="AT52" i="25" s="1"/>
  <c r="AP65" i="25"/>
  <c r="AN65" i="25"/>
  <c r="AT65" i="25" s="1"/>
  <c r="P65" i="25"/>
  <c r="AB73" i="25"/>
  <c r="AL73" i="25" s="1"/>
  <c r="AS73" i="25" s="1" a="1"/>
  <c r="AS73" i="25" s="1"/>
  <c r="AW73" i="25" s="1"/>
  <c r="AP73" i="25"/>
  <c r="AN73" i="25"/>
  <c r="AT73" i="25" s="1"/>
  <c r="P73" i="25"/>
  <c r="AL88" i="25"/>
  <c r="AS88" i="25" s="1" a="1"/>
  <c r="AS88" i="25" s="1"/>
  <c r="AW88" i="25" s="1"/>
  <c r="S91" i="25"/>
  <c r="AD44" i="25"/>
  <c r="P45" i="25"/>
  <c r="AS45" i="25" a="1"/>
  <c r="AS45" i="25" s="1"/>
  <c r="AW45" i="25" s="1"/>
  <c r="AP45" i="25"/>
  <c r="AN45" i="25"/>
  <c r="AT45" i="25" s="1"/>
  <c r="AT90" i="25" s="1"/>
  <c r="AB51" i="25"/>
  <c r="AL51" i="25" s="1"/>
  <c r="AS51" i="25" s="1" a="1"/>
  <c r="AS51" i="25" s="1"/>
  <c r="AW51" i="25" s="1"/>
  <c r="AP51" i="25"/>
  <c r="AN51" i="25"/>
  <c r="AT51" i="25" s="1"/>
  <c r="AD59" i="25"/>
  <c r="AD75" i="25"/>
  <c r="AU90" i="25"/>
  <c r="AB52" i="25"/>
  <c r="AL52" i="25" s="1"/>
  <c r="AS52" i="25" s="1" a="1"/>
  <c r="AS52" i="25" s="1"/>
  <c r="AW52" i="25" s="1"/>
  <c r="AP52" i="25"/>
  <c r="P53" i="25"/>
  <c r="AB53" i="25"/>
  <c r="AL53" i="25" s="1"/>
  <c r="AS53" i="25" s="1" a="1"/>
  <c r="AS53" i="25" s="1"/>
  <c r="AW53" i="25" s="1"/>
  <c r="AP53" i="25"/>
  <c r="AP57" i="25"/>
  <c r="AN57" i="25"/>
  <c r="AT57" i="25" s="1"/>
  <c r="P57" i="25"/>
  <c r="AL62" i="25"/>
  <c r="AS62" i="25" s="1" a="1"/>
  <c r="AS62" i="25" s="1"/>
  <c r="AW62" i="25" s="1"/>
  <c r="AD62" i="25"/>
  <c r="AL72" i="25"/>
  <c r="AS72" i="25" s="1" a="1"/>
  <c r="AS72" i="25" s="1"/>
  <c r="AW72" i="25" s="1"/>
  <c r="AD77" i="25"/>
  <c r="AB81" i="25"/>
  <c r="AL81" i="25" s="1"/>
  <c r="AP81" i="25"/>
  <c r="AN81" i="25"/>
  <c r="AT81" i="25" s="1"/>
  <c r="P81" i="25"/>
  <c r="P83" i="25"/>
  <c r="AB83" i="25"/>
  <c r="AL83" i="25" s="1"/>
  <c r="AS83" i="25" s="1" a="1"/>
  <c r="AS83" i="25" s="1"/>
  <c r="AW83" i="25" s="1"/>
  <c r="AP83" i="25"/>
  <c r="AN83" i="25"/>
  <c r="AT83" i="25" s="1"/>
  <c r="AE93" i="25"/>
  <c r="Y91" i="25"/>
  <c r="AD91" i="25" s="1"/>
  <c r="AO90" i="25"/>
  <c r="AD42" i="25"/>
  <c r="AB67" i="25"/>
  <c r="AL67" i="25" s="1"/>
  <c r="AS67" i="25" s="1" a="1"/>
  <c r="AS67" i="25" s="1"/>
  <c r="AW67" i="25" s="1"/>
  <c r="AP67" i="25"/>
  <c r="AN67" i="25"/>
  <c r="AT67" i="25" s="1"/>
  <c r="AL78" i="25"/>
  <c r="Z91" i="25"/>
  <c r="AP38" i="25"/>
  <c r="AL61" i="25"/>
  <c r="AS61" i="25" s="1" a="1"/>
  <c r="AS61" i="25" s="1"/>
  <c r="AW61" i="25" s="1"/>
  <c r="AD63" i="25"/>
  <c r="AB68" i="25"/>
  <c r="AL68" i="25" s="1"/>
  <c r="AS68" i="25" s="1" a="1"/>
  <c r="AS68" i="25" s="1"/>
  <c r="AW68" i="25" s="1"/>
  <c r="AP68" i="25"/>
  <c r="P69" i="25"/>
  <c r="AB69" i="25"/>
  <c r="AL69" i="25" s="1"/>
  <c r="AS69" i="25" s="1" a="1"/>
  <c r="AS69" i="25" s="1"/>
  <c r="AW69" i="25" s="1"/>
  <c r="AP69" i="25"/>
  <c r="AL74" i="25"/>
  <c r="AS74" i="25" s="1" a="1"/>
  <c r="AS74" i="25" s="1"/>
  <c r="AW74" i="25" s="1"/>
  <c r="AS81" i="25" a="1"/>
  <c r="AS81" i="25" s="1"/>
  <c r="AW81" i="25" s="1"/>
  <c r="AD83" i="25"/>
  <c r="E91" i="25"/>
  <c r="AP49" i="25"/>
  <c r="AN49" i="25"/>
  <c r="AT49" i="25" s="1"/>
  <c r="P49" i="25"/>
  <c r="AL54" i="25"/>
  <c r="AS54" i="25" s="1" a="1"/>
  <c r="AS54" i="25" s="1"/>
  <c r="AW54" i="25" s="1"/>
  <c r="AD54" i="25"/>
  <c r="AS57" i="25" a="1"/>
  <c r="AS57" i="25" s="1"/>
  <c r="AW57" i="25" s="1"/>
  <c r="AB59" i="25"/>
  <c r="AL59" i="25" s="1"/>
  <c r="AS59" i="25" s="1" a="1"/>
  <c r="AS59" i="25" s="1"/>
  <c r="AW59" i="25" s="1"/>
  <c r="AP59" i="25"/>
  <c r="AN59" i="25"/>
  <c r="AT59" i="25" s="1"/>
  <c r="AN61" i="25"/>
  <c r="AT61" i="25" s="1"/>
  <c r="AL64" i="25"/>
  <c r="AS64" i="25" s="1" a="1"/>
  <c r="AS64" i="25" s="1"/>
  <c r="AW64" i="25" s="1"/>
  <c r="AL70" i="25"/>
  <c r="AS70" i="25" s="1" a="1"/>
  <c r="AS70" i="25" s="1"/>
  <c r="AW70" i="25" s="1"/>
  <c r="AD70" i="25"/>
  <c r="AD85" i="25"/>
  <c r="AB89" i="25"/>
  <c r="AL89" i="25" s="1"/>
  <c r="AS89" i="25" s="1" a="1"/>
  <c r="AS89" i="25" s="1"/>
  <c r="AW89" i="25" s="1"/>
  <c r="AP89" i="25"/>
  <c r="AN89" i="25"/>
  <c r="AT89" i="25" s="1"/>
  <c r="P89" i="25"/>
  <c r="AB47" i="25"/>
  <c r="AL47" i="25" s="1"/>
  <c r="AS47" i="25" s="1" a="1"/>
  <c r="AS47" i="25" s="1"/>
  <c r="AW47" i="25" s="1"/>
  <c r="AS48" i="25" a="1"/>
  <c r="AS48" i="25" s="1"/>
  <c r="AW48" i="25" s="1"/>
  <c r="AL50" i="25"/>
  <c r="AS50" i="25" s="1" a="1"/>
  <c r="AS50" i="25" s="1"/>
  <c r="AW50" i="25" s="1"/>
  <c r="AB55" i="25"/>
  <c r="AL55" i="25" s="1"/>
  <c r="AS55" i="25" s="1" a="1"/>
  <c r="AS55" i="25" s="1"/>
  <c r="AW55" i="25" s="1"/>
  <c r="AS56" i="25" a="1"/>
  <c r="AS56" i="25" s="1"/>
  <c r="AW56" i="25" s="1"/>
  <c r="AL58" i="25"/>
  <c r="AS58" i="25" s="1" a="1"/>
  <c r="AS58" i="25" s="1"/>
  <c r="AW58" i="25" s="1"/>
  <c r="AB63" i="25"/>
  <c r="AL63" i="25" s="1"/>
  <c r="AS63" i="25" s="1" a="1"/>
  <c r="AS63" i="25" s="1"/>
  <c r="AW63" i="25" s="1"/>
  <c r="AL66" i="25"/>
  <c r="AS66" i="25" s="1" a="1"/>
  <c r="AS66" i="25" s="1"/>
  <c r="AW66" i="25" s="1"/>
  <c r="AP77" i="25"/>
  <c r="AP85" i="25"/>
  <c r="P55" i="25"/>
  <c r="P71" i="25"/>
  <c r="AB77" i="25"/>
  <c r="AL77" i="25" s="1"/>
  <c r="AS77" i="25" s="1" a="1"/>
  <c r="AS77" i="25" s="1"/>
  <c r="AW77" i="25" s="1"/>
  <c r="AD78" i="25"/>
  <c r="AS78" i="25" a="1"/>
  <c r="AS78" i="25" s="1"/>
  <c r="AW78" i="25" s="1"/>
  <c r="AB85" i="25"/>
  <c r="AL85" i="25" s="1"/>
  <c r="AS85" i="25" s="1" a="1"/>
  <c r="AS85" i="25" s="1"/>
  <c r="AW85" i="25" s="1"/>
  <c r="AD86" i="25"/>
  <c r="AS86" i="25" a="1"/>
  <c r="AS86" i="25" s="1"/>
  <c r="AW86" i="25" s="1"/>
  <c r="AB76" i="25"/>
  <c r="AL76" i="25" s="1"/>
  <c r="AS76" i="25" s="1" a="1"/>
  <c r="AS76" i="25" s="1"/>
  <c r="AW76" i="25" s="1"/>
  <c r="AB84" i="25"/>
  <c r="AL84" i="25" s="1"/>
  <c r="AS84" i="25" s="1" a="1"/>
  <c r="AS84" i="25" s="1"/>
  <c r="AW84" i="25" s="1"/>
  <c r="AO35" i="22"/>
  <c r="AU90" i="22"/>
  <c r="AB51" i="22"/>
  <c r="AP51" i="22"/>
  <c r="AN51" i="22"/>
  <c r="AT51" i="22" s="1"/>
  <c r="AD52" i="22"/>
  <c r="AB59" i="22"/>
  <c r="AP59" i="22"/>
  <c r="AN59" i="22"/>
  <c r="AT59" i="22" s="1"/>
  <c r="AR90" i="22"/>
  <c r="AB58" i="22"/>
  <c r="AP58" i="22"/>
  <c r="AN58" i="22"/>
  <c r="AT58" i="22" s="1"/>
  <c r="P58" i="22"/>
  <c r="AB79" i="22"/>
  <c r="AP79" i="22"/>
  <c r="AN79" i="22"/>
  <c r="AT79" i="22" s="1"/>
  <c r="AB80" i="22"/>
  <c r="AP80" i="22"/>
  <c r="AN80" i="22"/>
  <c r="AT80" i="22" s="1"/>
  <c r="AB81" i="22"/>
  <c r="AP81" i="22"/>
  <c r="AN81" i="22"/>
  <c r="AT81" i="22" s="1"/>
  <c r="AB82" i="22"/>
  <c r="AP82" i="22"/>
  <c r="AN82" i="22"/>
  <c r="AT82" i="22" s="1"/>
  <c r="AB83" i="22"/>
  <c r="AP83" i="22"/>
  <c r="AN83" i="22"/>
  <c r="AT83" i="22" s="1"/>
  <c r="AB84" i="22"/>
  <c r="AP84" i="22"/>
  <c r="AN84" i="22"/>
  <c r="AT84" i="22" s="1"/>
  <c r="AB85" i="22"/>
  <c r="AP85" i="22"/>
  <c r="AN85" i="22"/>
  <c r="AT85" i="22" s="1"/>
  <c r="AB86" i="22"/>
  <c r="AP86" i="22"/>
  <c r="AN86" i="22"/>
  <c r="AT86" i="22" s="1"/>
  <c r="AB87" i="22"/>
  <c r="AP87" i="22"/>
  <c r="AN87" i="22"/>
  <c r="AT87" i="22" s="1"/>
  <c r="AB88" i="22"/>
  <c r="AP88" i="22"/>
  <c r="AN88" i="22"/>
  <c r="AT88" i="22" s="1"/>
  <c r="AB89" i="22"/>
  <c r="AP89" i="22"/>
  <c r="AN89" i="22"/>
  <c r="AT89" i="22" s="1"/>
  <c r="S91" i="22"/>
  <c r="AB60" i="22"/>
  <c r="AP60" i="22"/>
  <c r="AN60" i="22"/>
  <c r="AT60" i="22" s="1"/>
  <c r="AB78" i="22"/>
  <c r="AP78" i="22"/>
  <c r="AN78" i="22"/>
  <c r="AT78" i="22" s="1"/>
  <c r="AB54" i="22"/>
  <c r="AP54" i="22"/>
  <c r="AI56" i="22"/>
  <c r="AB61" i="22"/>
  <c r="AP61" i="22"/>
  <c r="AN61" i="22"/>
  <c r="AT61" i="22" s="1"/>
  <c r="AI64" i="22"/>
  <c r="AI67" i="22"/>
  <c r="AI68" i="22"/>
  <c r="AI69" i="22"/>
  <c r="AI70" i="22"/>
  <c r="AL70" i="22" s="1"/>
  <c r="AS70" i="22" s="1" a="1"/>
  <c r="AS70" i="22" s="1"/>
  <c r="AW70" i="22" s="1"/>
  <c r="AI71" i="22"/>
  <c r="AL71" i="22" s="1"/>
  <c r="AS71" i="22" s="1" a="1"/>
  <c r="AS71" i="22" s="1"/>
  <c r="AW71" i="22" s="1"/>
  <c r="AI72" i="22"/>
  <c r="AL72" i="22" s="1"/>
  <c r="AS72" i="22" s="1" a="1"/>
  <c r="AS72" i="22" s="1"/>
  <c r="AW72" i="22" s="1"/>
  <c r="AI73" i="22"/>
  <c r="AL73" i="22" s="1"/>
  <c r="AS73" i="22" s="1" a="1"/>
  <c r="AS73" i="22" s="1"/>
  <c r="AW73" i="22" s="1"/>
  <c r="AI74" i="22"/>
  <c r="AB77" i="22"/>
  <c r="AP77" i="22"/>
  <c r="AN77" i="22"/>
  <c r="AT77" i="22" s="1"/>
  <c r="Y91" i="22"/>
  <c r="AN38" i="22"/>
  <c r="AN39" i="22"/>
  <c r="AT39" i="22" s="1"/>
  <c r="AN40" i="22"/>
  <c r="AT40" i="22" s="1"/>
  <c r="AN41" i="22"/>
  <c r="AT41" i="22" s="1"/>
  <c r="AN42" i="22"/>
  <c r="AT42" i="22" s="1"/>
  <c r="AN43" i="22"/>
  <c r="AT43" i="22" s="1"/>
  <c r="AN44" i="22"/>
  <c r="AT44" i="22" s="1"/>
  <c r="AN45" i="22"/>
  <c r="AT45" i="22" s="1"/>
  <c r="AN46" i="22"/>
  <c r="AT46" i="22" s="1"/>
  <c r="AN47" i="22"/>
  <c r="AT47" i="22" s="1"/>
  <c r="AN48" i="22"/>
  <c r="AT48" i="22" s="1"/>
  <c r="AN49" i="22"/>
  <c r="AT49" i="22" s="1"/>
  <c r="AN50" i="22"/>
  <c r="AT50" i="22" s="1"/>
  <c r="P53" i="22"/>
  <c r="AI53" i="22"/>
  <c r="AL53" i="22" s="1"/>
  <c r="AS53" i="22" s="1" a="1"/>
  <c r="AS53" i="22" s="1"/>
  <c r="AW53" i="22" s="1"/>
  <c r="AI57" i="22"/>
  <c r="AL57" i="22" s="1"/>
  <c r="AS57" i="22" s="1" a="1"/>
  <c r="AS57" i="22" s="1"/>
  <c r="AW57" i="22" s="1"/>
  <c r="AB62" i="22"/>
  <c r="AP62" i="22"/>
  <c r="AN62" i="22"/>
  <c r="AT62" i="22" s="1"/>
  <c r="AI65" i="22"/>
  <c r="AI66" i="22"/>
  <c r="AB76" i="22"/>
  <c r="AP76" i="22"/>
  <c r="AN76" i="22"/>
  <c r="AT76" i="22" s="1"/>
  <c r="Z91" i="22"/>
  <c r="AO90" i="22"/>
  <c r="AB55" i="22"/>
  <c r="AP55" i="22"/>
  <c r="AN55" i="22"/>
  <c r="AT55" i="22" s="1"/>
  <c r="AI58" i="22"/>
  <c r="AL58" i="22" s="1"/>
  <c r="AS58" i="22" s="1" a="1"/>
  <c r="AS58" i="22" s="1"/>
  <c r="AW58" i="22" s="1"/>
  <c r="AB63" i="22"/>
  <c r="AP63" i="22"/>
  <c r="AN63" i="22"/>
  <c r="AT63" i="22" s="1"/>
  <c r="AB75" i="22"/>
  <c r="AP75" i="22"/>
  <c r="AN75" i="22"/>
  <c r="AT75" i="22" s="1"/>
  <c r="E91" i="22"/>
  <c r="E93" i="22" s="1"/>
  <c r="AP38" i="22"/>
  <c r="AP39" i="22"/>
  <c r="AP40" i="22"/>
  <c r="AP41" i="22"/>
  <c r="AP42" i="22"/>
  <c r="AP43" i="22"/>
  <c r="AP44" i="22"/>
  <c r="AP45" i="22"/>
  <c r="AP46" i="22"/>
  <c r="AP47" i="22"/>
  <c r="AP48" i="22"/>
  <c r="AP49" i="22"/>
  <c r="AP50" i="22"/>
  <c r="AI52" i="22"/>
  <c r="AL52" i="22" s="1"/>
  <c r="AS52" i="22" s="1" a="1"/>
  <c r="AS52" i="22" s="1"/>
  <c r="AW52" i="22" s="1"/>
  <c r="AB56" i="22"/>
  <c r="AP56" i="22"/>
  <c r="AN56" i="22"/>
  <c r="AT56" i="22" s="1"/>
  <c r="AI59" i="22"/>
  <c r="AB64" i="22"/>
  <c r="AP64" i="22"/>
  <c r="AN64" i="22"/>
  <c r="AT64" i="22" s="1"/>
  <c r="AB67" i="22"/>
  <c r="AP67" i="22"/>
  <c r="AN67" i="22"/>
  <c r="AT67" i="22" s="1"/>
  <c r="AB68" i="22"/>
  <c r="AP68" i="22"/>
  <c r="AN68" i="22"/>
  <c r="AT68" i="22" s="1"/>
  <c r="AB69" i="22"/>
  <c r="AP69" i="22"/>
  <c r="AN69" i="22"/>
  <c r="AT69" i="22" s="1"/>
  <c r="AB70" i="22"/>
  <c r="AP70" i="22"/>
  <c r="AN70" i="22"/>
  <c r="AT70" i="22" s="1"/>
  <c r="AB71" i="22"/>
  <c r="AP71" i="22"/>
  <c r="AN71" i="22"/>
  <c r="AT71" i="22" s="1"/>
  <c r="AB72" i="22"/>
  <c r="AP72" i="22"/>
  <c r="AN72" i="22"/>
  <c r="AT72" i="22" s="1"/>
  <c r="AB73" i="22"/>
  <c r="AP73" i="22"/>
  <c r="AN73" i="22"/>
  <c r="AT73" i="22" s="1"/>
  <c r="AB74" i="22"/>
  <c r="AP74" i="22"/>
  <c r="AN74" i="22"/>
  <c r="AT74" i="22" s="1"/>
  <c r="AI79" i="22"/>
  <c r="AL79" i="22" s="1"/>
  <c r="AS79" i="22" s="1" a="1"/>
  <c r="AS79" i="22" s="1"/>
  <c r="AW79" i="22" s="1"/>
  <c r="AI80" i="22"/>
  <c r="AL80" i="22" s="1"/>
  <c r="AS80" i="22" s="1" a="1"/>
  <c r="AS80" i="22" s="1"/>
  <c r="AW80" i="22" s="1"/>
  <c r="AI81" i="22"/>
  <c r="AI82" i="22"/>
  <c r="AL82" i="22" s="1"/>
  <c r="AS82" i="22" s="1" a="1"/>
  <c r="AS82" i="22" s="1"/>
  <c r="AW82" i="22" s="1"/>
  <c r="AI83" i="22"/>
  <c r="AL83" i="22" s="1"/>
  <c r="AS83" i="22" s="1" a="1"/>
  <c r="AS83" i="22" s="1"/>
  <c r="AW83" i="22" s="1"/>
  <c r="AI84" i="22"/>
  <c r="AL84" i="22" s="1"/>
  <c r="AS84" i="22" s="1" a="1"/>
  <c r="AS84" i="22" s="1"/>
  <c r="AW84" i="22" s="1"/>
  <c r="AI85" i="22"/>
  <c r="AI86" i="22"/>
  <c r="AL86" i="22" s="1"/>
  <c r="AS86" i="22" s="1" a="1"/>
  <c r="AS86" i="22" s="1"/>
  <c r="AW86" i="22" s="1"/>
  <c r="AI87" i="22"/>
  <c r="AI88" i="22"/>
  <c r="AI89" i="22"/>
  <c r="AD91" i="22"/>
  <c r="J91" i="22"/>
  <c r="AB38" i="22"/>
  <c r="AQ90" i="22"/>
  <c r="AD51" i="22"/>
  <c r="AD54" i="22"/>
  <c r="AB57" i="22"/>
  <c r="AP57" i="22"/>
  <c r="AN57" i="22"/>
  <c r="AT57" i="22" s="1"/>
  <c r="AI60" i="22"/>
  <c r="AL60" i="22" s="1"/>
  <c r="AS60" i="22" s="1" a="1"/>
  <c r="AS60" i="22" s="1"/>
  <c r="AW60" i="22" s="1"/>
  <c r="AB65" i="22"/>
  <c r="AL65" i="22" s="1"/>
  <c r="AS65" i="22" s="1" a="1"/>
  <c r="AS65" i="22" s="1"/>
  <c r="AW65" i="22" s="1"/>
  <c r="AP65" i="22"/>
  <c r="AN65" i="22"/>
  <c r="AT65" i="22" s="1"/>
  <c r="AB66" i="22"/>
  <c r="AP66" i="22"/>
  <c r="AN66" i="22"/>
  <c r="AT66" i="22" s="1"/>
  <c r="J8" i="16"/>
  <c r="J10" i="16"/>
  <c r="J7" i="16"/>
  <c r="J16" i="16"/>
  <c r="J4" i="16"/>
  <c r="J6" i="16"/>
  <c r="J15" i="16"/>
  <c r="J12" i="16"/>
  <c r="J13" i="16"/>
  <c r="J11" i="16"/>
  <c r="J9" i="16"/>
  <c r="J14" i="16"/>
  <c r="J5" i="16"/>
  <c r="C13" i="16"/>
  <c r="C16" i="16"/>
  <c r="C6" i="16"/>
  <c r="C4" i="16"/>
  <c r="C12" i="16"/>
  <c r="C11" i="16"/>
  <c r="C9" i="16"/>
  <c r="C8" i="16"/>
  <c r="C10" i="16"/>
  <c r="C7" i="16"/>
  <c r="C14" i="16"/>
  <c r="C5" i="16"/>
  <c r="J7" i="15"/>
  <c r="J8" i="15"/>
  <c r="J9" i="15"/>
  <c r="J13" i="15"/>
  <c r="J5" i="15"/>
  <c r="J6" i="15"/>
  <c r="J14" i="15"/>
  <c r="J10" i="15"/>
  <c r="J11" i="15"/>
  <c r="J15" i="15"/>
  <c r="J12" i="15"/>
  <c r="J16" i="15"/>
  <c r="J4" i="15"/>
  <c r="C13" i="15"/>
  <c r="C16" i="15"/>
  <c r="C6" i="15"/>
  <c r="C4" i="15"/>
  <c r="C12" i="15"/>
  <c r="C11" i="15"/>
  <c r="C9" i="15"/>
  <c r="C8" i="15"/>
  <c r="C10" i="15"/>
  <c r="C7" i="15"/>
  <c r="C14" i="15"/>
  <c r="C5" i="15"/>
  <c r="Z36" i="25" l="1"/>
  <c r="AL63" i="22"/>
  <c r="AS63" i="22" s="1" a="1"/>
  <c r="AS63" i="22" s="1"/>
  <c r="AW63" i="22" s="1"/>
  <c r="AL67" i="22"/>
  <c r="AS67" i="22" s="1" a="1"/>
  <c r="AS67" i="22" s="1"/>
  <c r="AW67" i="22" s="1"/>
  <c r="AL77" i="22"/>
  <c r="AS77" i="22" s="1" a="1"/>
  <c r="AS77" i="22" s="1"/>
  <c r="AW77" i="22" s="1"/>
  <c r="AI91" i="22"/>
  <c r="E9" i="27"/>
  <c r="F8" i="27"/>
  <c r="M8" i="27"/>
  <c r="G8" i="27" s="1"/>
  <c r="L9" i="27"/>
  <c r="AW33" i="22"/>
  <c r="AU33" i="22"/>
  <c r="AW31" i="22"/>
  <c r="AU31" i="22"/>
  <c r="AW25" i="22"/>
  <c r="AU25" i="22"/>
  <c r="AW22" i="22"/>
  <c r="AU22" i="22"/>
  <c r="AW23" i="22"/>
  <c r="AU23" i="22"/>
  <c r="AW17" i="22"/>
  <c r="AU17" i="22"/>
  <c r="AL66" i="22"/>
  <c r="AS66" i="22" s="1" a="1"/>
  <c r="AS66" i="22" s="1"/>
  <c r="AW66" i="22" s="1"/>
  <c r="AU27" i="22"/>
  <c r="AW27" i="22"/>
  <c r="AU32" i="22"/>
  <c r="AW32" i="22"/>
  <c r="AW34" i="22"/>
  <c r="AU34" i="22"/>
  <c r="AU19" i="22"/>
  <c r="AW19" i="22"/>
  <c r="AU24" i="22"/>
  <c r="AW24" i="22"/>
  <c r="AW26" i="22"/>
  <c r="AU26" i="22"/>
  <c r="AW28" i="22"/>
  <c r="AU28" i="22"/>
  <c r="AU16" i="22"/>
  <c r="AW16" i="22"/>
  <c r="AW18" i="22"/>
  <c r="AU18" i="22"/>
  <c r="AW20" i="22"/>
  <c r="AU20" i="22"/>
  <c r="AW29" i="22"/>
  <c r="AU29" i="22"/>
  <c r="AL74" i="22"/>
  <c r="AS74" i="22" s="1" a="1"/>
  <c r="AS74" i="22" s="1"/>
  <c r="AW74" i="22" s="1"/>
  <c r="AL64" i="22"/>
  <c r="AS64" i="22" s="1" a="1"/>
  <c r="AS64" i="22" s="1"/>
  <c r="AW64" i="22" s="1"/>
  <c r="AW21" i="22"/>
  <c r="AU21" i="22"/>
  <c r="AW30" i="22"/>
  <c r="AU30" i="22"/>
  <c r="AI36" i="22"/>
  <c r="AL59" i="22"/>
  <c r="AS59" i="22" s="1" a="1"/>
  <c r="AS59" i="22" s="1"/>
  <c r="AW59" i="22" s="1"/>
  <c r="AL89" i="22"/>
  <c r="AS89" i="22" s="1" a="1"/>
  <c r="AS89" i="22" s="1"/>
  <c r="AW89" i="22" s="1"/>
  <c r="AL81" i="22"/>
  <c r="AS81" i="22" s="1" a="1"/>
  <c r="AS81" i="22" s="1"/>
  <c r="AW81" i="22" s="1"/>
  <c r="AL75" i="22"/>
  <c r="AS75" i="22" s="1" a="1"/>
  <c r="AS75" i="22" s="1"/>
  <c r="AW75" i="22" s="1"/>
  <c r="AL68" i="22"/>
  <c r="AS68" i="22" s="1" a="1"/>
  <c r="AS68" i="22" s="1"/>
  <c r="AW68" i="22" s="1"/>
  <c r="AL69" i="22"/>
  <c r="AS69" i="22" s="1" a="1"/>
  <c r="AS69" i="22" s="1"/>
  <c r="AW69" i="22" s="1"/>
  <c r="AL85" i="22"/>
  <c r="AS85" i="22" s="1" a="1"/>
  <c r="AS85" i="22" s="1"/>
  <c r="AW85" i="22" s="1"/>
  <c r="AL56" i="22"/>
  <c r="AS56" i="22" s="1" a="1"/>
  <c r="AS56" i="22" s="1"/>
  <c r="AW56" i="22" s="1"/>
  <c r="L7" i="26"/>
  <c r="M6" i="26"/>
  <c r="G6" i="26" s="1"/>
  <c r="E8" i="26"/>
  <c r="F7" i="26"/>
  <c r="AN90" i="25"/>
  <c r="AP90" i="25"/>
  <c r="E93" i="25"/>
  <c r="J93" i="25"/>
  <c r="Z93" i="25"/>
  <c r="AB91" i="25"/>
  <c r="AL38" i="25"/>
  <c r="AP90" i="22"/>
  <c r="AL88" i="22"/>
  <c r="AS88" i="22" s="1" a="1"/>
  <c r="AS88" i="22" s="1"/>
  <c r="AW88" i="22" s="1"/>
  <c r="AB91" i="22"/>
  <c r="AL38" i="22"/>
  <c r="AN90" i="22"/>
  <c r="AT38" i="22"/>
  <c r="AT90" i="22" s="1"/>
  <c r="AL87" i="22"/>
  <c r="AS87" i="22" s="1" a="1"/>
  <c r="AS87" i="22" s="1"/>
  <c r="AW87" i="22" s="1"/>
  <c r="Z93" i="22"/>
  <c r="J93" i="22"/>
  <c r="AF3" i="10"/>
  <c r="AG5" i="10"/>
  <c r="M9" i="27" l="1"/>
  <c r="G9" i="27" s="1"/>
  <c r="L10" i="27"/>
  <c r="E10" i="27"/>
  <c r="F9" i="27"/>
  <c r="E9" i="26"/>
  <c r="F8" i="26"/>
  <c r="L8" i="26"/>
  <c r="M7" i="26"/>
  <c r="G7" i="26" s="1"/>
  <c r="AL91" i="25"/>
  <c r="AS38" i="25" a="1"/>
  <c r="AS38" i="25" s="1"/>
  <c r="AL91" i="22"/>
  <c r="AS38" i="22" a="1"/>
  <c r="AS38" i="22" s="1"/>
  <c r="J73" i="21"/>
  <c r="K66" i="21" s="1"/>
  <c r="C73" i="21"/>
  <c r="D70" i="21" s="1"/>
  <c r="G72" i="21"/>
  <c r="G71" i="21"/>
  <c r="D71" i="21"/>
  <c r="G70" i="21"/>
  <c r="G69" i="21"/>
  <c r="D69" i="21"/>
  <c r="G68" i="21"/>
  <c r="D68" i="21"/>
  <c r="K67" i="21"/>
  <c r="G67" i="21"/>
  <c r="D67" i="21"/>
  <c r="G66" i="21"/>
  <c r="D66" i="21"/>
  <c r="K65" i="21"/>
  <c r="G65" i="21"/>
  <c r="D65" i="21"/>
  <c r="K64" i="21"/>
  <c r="G64" i="21"/>
  <c r="D64" i="21"/>
  <c r="G63" i="21"/>
  <c r="D63" i="21"/>
  <c r="G62" i="21"/>
  <c r="D62" i="21"/>
  <c r="G61" i="21"/>
  <c r="D61" i="21"/>
  <c r="G60" i="21"/>
  <c r="D60" i="21"/>
  <c r="K59" i="21"/>
  <c r="G59" i="21"/>
  <c r="D59" i="21"/>
  <c r="G58" i="21"/>
  <c r="D58" i="21"/>
  <c r="K57" i="21"/>
  <c r="G57" i="21"/>
  <c r="D57" i="21"/>
  <c r="K56" i="21"/>
  <c r="G56" i="21"/>
  <c r="D56" i="21"/>
  <c r="G55" i="21"/>
  <c r="D55" i="21"/>
  <c r="G54" i="21"/>
  <c r="D54" i="21"/>
  <c r="G53" i="21"/>
  <c r="D53" i="21"/>
  <c r="G52" i="21"/>
  <c r="D52" i="21"/>
  <c r="K51" i="21"/>
  <c r="G51" i="21"/>
  <c r="D51" i="21"/>
  <c r="G50" i="21"/>
  <c r="D50" i="21"/>
  <c r="K49" i="21"/>
  <c r="G49" i="21"/>
  <c r="D49" i="21"/>
  <c r="K48" i="21"/>
  <c r="G48" i="21"/>
  <c r="D48" i="21"/>
  <c r="G47" i="21"/>
  <c r="D47" i="21"/>
  <c r="G46" i="21"/>
  <c r="D46" i="21"/>
  <c r="G45" i="21"/>
  <c r="D45" i="21"/>
  <c r="G44" i="21"/>
  <c r="D44" i="21"/>
  <c r="K43" i="21"/>
  <c r="G43" i="21"/>
  <c r="D43" i="21"/>
  <c r="G42" i="21"/>
  <c r="D42" i="21"/>
  <c r="K41" i="21"/>
  <c r="G41" i="21"/>
  <c r="D41" i="21"/>
  <c r="K40" i="21"/>
  <c r="G40" i="21"/>
  <c r="D40" i="21"/>
  <c r="G39" i="21"/>
  <c r="D39" i="21"/>
  <c r="G38" i="21"/>
  <c r="D38" i="21"/>
  <c r="G37" i="21"/>
  <c r="D37" i="21"/>
  <c r="G36" i="21"/>
  <c r="D36" i="21"/>
  <c r="K35" i="21"/>
  <c r="G35" i="21"/>
  <c r="D35" i="21"/>
  <c r="G34" i="21"/>
  <c r="D34" i="21"/>
  <c r="K33" i="21"/>
  <c r="G33" i="21"/>
  <c r="D33" i="21"/>
  <c r="K32" i="21"/>
  <c r="G32" i="21"/>
  <c r="D32" i="21"/>
  <c r="G31" i="21"/>
  <c r="D31" i="21"/>
  <c r="G30" i="21"/>
  <c r="D30" i="21"/>
  <c r="G29" i="21"/>
  <c r="D29" i="21"/>
  <c r="G28" i="21"/>
  <c r="D28" i="21"/>
  <c r="K27" i="21"/>
  <c r="G27" i="21"/>
  <c r="D27" i="21"/>
  <c r="G26" i="21"/>
  <c r="D26" i="21"/>
  <c r="K25" i="21"/>
  <c r="G25" i="21"/>
  <c r="D25" i="21"/>
  <c r="K24" i="21"/>
  <c r="G24" i="21"/>
  <c r="D24" i="21"/>
  <c r="G23" i="21"/>
  <c r="D23" i="21"/>
  <c r="G22" i="21"/>
  <c r="D22" i="21"/>
  <c r="G21" i="21"/>
  <c r="D21" i="21"/>
  <c r="D73" i="21" s="1"/>
  <c r="AF94" i="19"/>
  <c r="P93" i="19"/>
  <c r="O93" i="19"/>
  <c r="N93" i="19"/>
  <c r="M93" i="19"/>
  <c r="K93" i="19"/>
  <c r="I93" i="19"/>
  <c r="AJ91" i="19"/>
  <c r="AH91" i="19"/>
  <c r="AG91" i="19"/>
  <c r="AF91" i="19"/>
  <c r="AE91" i="19"/>
  <c r="AC91" i="19"/>
  <c r="X91" i="19"/>
  <c r="W91" i="19"/>
  <c r="U91" i="19"/>
  <c r="T91" i="19"/>
  <c r="R91" i="19"/>
  <c r="Q91" i="19"/>
  <c r="L91" i="19"/>
  <c r="H91" i="19"/>
  <c r="G91" i="19"/>
  <c r="F91" i="19"/>
  <c r="AR89" i="19"/>
  <c r="AQ89" i="19"/>
  <c r="AO89" i="19"/>
  <c r="AU89" i="19" s="1"/>
  <c r="AD89" i="19"/>
  <c r="Z89" i="19"/>
  <c r="Y89" i="19"/>
  <c r="V89" i="19"/>
  <c r="AK89" i="19" s="1"/>
  <c r="S89" i="19"/>
  <c r="P89" i="19" s="1"/>
  <c r="O89" i="19"/>
  <c r="E89" i="19"/>
  <c r="J89" i="19" s="1"/>
  <c r="AR88" i="19"/>
  <c r="AQ88" i="19"/>
  <c r="AO88" i="19"/>
  <c r="AU88" i="19" s="1"/>
  <c r="Z88" i="19"/>
  <c r="Y88" i="19"/>
  <c r="AD88" i="19" s="1"/>
  <c r="V88" i="19"/>
  <c r="AK88" i="19" s="1"/>
  <c r="S88" i="19"/>
  <c r="P88" i="19"/>
  <c r="O88" i="19"/>
  <c r="E88" i="19"/>
  <c r="J88" i="19" s="1"/>
  <c r="AR87" i="19"/>
  <c r="AQ87" i="19"/>
  <c r="AO87" i="19"/>
  <c r="AU87" i="19" s="1"/>
  <c r="Z87" i="19"/>
  <c r="Y87" i="19"/>
  <c r="AD87" i="19" s="1"/>
  <c r="V87" i="19"/>
  <c r="AK87" i="19" s="1"/>
  <c r="S87" i="19"/>
  <c r="P87" i="19" s="1"/>
  <c r="O87" i="19"/>
  <c r="E87" i="19"/>
  <c r="J87" i="19" s="1"/>
  <c r="AR86" i="19"/>
  <c r="AQ86" i="19"/>
  <c r="AO86" i="19"/>
  <c r="AU86" i="19" s="1"/>
  <c r="Z86" i="19"/>
  <c r="Y86" i="19"/>
  <c r="AD86" i="19" s="1"/>
  <c r="V86" i="19"/>
  <c r="AK86" i="19" s="1"/>
  <c r="S86" i="19"/>
  <c r="O86" i="19"/>
  <c r="E86" i="19"/>
  <c r="J86" i="19" s="1"/>
  <c r="AR85" i="19"/>
  <c r="AQ85" i="19"/>
  <c r="AO85" i="19"/>
  <c r="AU85" i="19" s="1"/>
  <c r="Z85" i="19"/>
  <c r="Y85" i="19"/>
  <c r="AD85" i="19" s="1"/>
  <c r="V85" i="19"/>
  <c r="AK85" i="19" s="1"/>
  <c r="S85" i="19"/>
  <c r="P85" i="19" s="1"/>
  <c r="O85" i="19"/>
  <c r="J85" i="19"/>
  <c r="E85" i="19"/>
  <c r="AR84" i="19"/>
  <c r="AQ84" i="19"/>
  <c r="AO84" i="19"/>
  <c r="AU84" i="19" s="1"/>
  <c r="Z84" i="19"/>
  <c r="Y84" i="19"/>
  <c r="AD84" i="19" s="1"/>
  <c r="V84" i="19"/>
  <c r="AK84" i="19" s="1"/>
  <c r="S84" i="19"/>
  <c r="O84" i="19"/>
  <c r="E84" i="19"/>
  <c r="J84" i="19" s="1"/>
  <c r="AR83" i="19"/>
  <c r="AQ83" i="19"/>
  <c r="AO83" i="19"/>
  <c r="AU83" i="19" s="1"/>
  <c r="Z83" i="19"/>
  <c r="Y83" i="19"/>
  <c r="AD83" i="19" s="1"/>
  <c r="V83" i="19"/>
  <c r="AK83" i="19" s="1"/>
  <c r="S83" i="19"/>
  <c r="P83" i="19"/>
  <c r="O83" i="19"/>
  <c r="E83" i="19"/>
  <c r="J83" i="19" s="1"/>
  <c r="AR82" i="19"/>
  <c r="AQ82" i="19"/>
  <c r="AO82" i="19"/>
  <c r="AU82" i="19" s="1"/>
  <c r="Z82" i="19"/>
  <c r="Y82" i="19"/>
  <c r="AD82" i="19" s="1"/>
  <c r="V82" i="19"/>
  <c r="AK82" i="19" s="1"/>
  <c r="S82" i="19"/>
  <c r="O82" i="19"/>
  <c r="E82" i="19"/>
  <c r="J82" i="19" s="1"/>
  <c r="AR81" i="19"/>
  <c r="AQ81" i="19"/>
  <c r="AO81" i="19"/>
  <c r="AU81" i="19" s="1"/>
  <c r="AD81" i="19"/>
  <c r="Z81" i="19"/>
  <c r="Y81" i="19"/>
  <c r="V81" i="19"/>
  <c r="AK81" i="19" s="1"/>
  <c r="S81" i="19"/>
  <c r="P81" i="19" s="1"/>
  <c r="O81" i="19"/>
  <c r="E81" i="19"/>
  <c r="J81" i="19" s="1"/>
  <c r="AR80" i="19"/>
  <c r="AQ80" i="19"/>
  <c r="AO80" i="19"/>
  <c r="AU80" i="19" s="1"/>
  <c r="Z80" i="19"/>
  <c r="Y80" i="19"/>
  <c r="AD80" i="19" s="1"/>
  <c r="V80" i="19"/>
  <c r="AK80" i="19" s="1"/>
  <c r="S80" i="19"/>
  <c r="O80" i="19"/>
  <c r="E80" i="19"/>
  <c r="J80" i="19" s="1"/>
  <c r="AR79" i="19"/>
  <c r="AQ79" i="19"/>
  <c r="AO79" i="19"/>
  <c r="AU79" i="19" s="1"/>
  <c r="Z79" i="19"/>
  <c r="Y79" i="19"/>
  <c r="AD79" i="19" s="1"/>
  <c r="V79" i="19"/>
  <c r="AK79" i="19" s="1"/>
  <c r="S79" i="19"/>
  <c r="P79" i="19" s="1"/>
  <c r="O79" i="19"/>
  <c r="E79" i="19"/>
  <c r="J79" i="19" s="1"/>
  <c r="AR78" i="19"/>
  <c r="AQ78" i="19"/>
  <c r="AO78" i="19"/>
  <c r="AU78" i="19" s="1"/>
  <c r="Z78" i="19"/>
  <c r="Y78" i="19"/>
  <c r="AD78" i="19" s="1"/>
  <c r="V78" i="19"/>
  <c r="AK78" i="19" s="1"/>
  <c r="S78" i="19"/>
  <c r="O78" i="19"/>
  <c r="E78" i="19"/>
  <c r="J78" i="19" s="1"/>
  <c r="AR77" i="19"/>
  <c r="AQ77" i="19"/>
  <c r="AO77" i="19"/>
  <c r="AU77" i="19" s="1"/>
  <c r="Z77" i="19"/>
  <c r="Y77" i="19"/>
  <c r="AD77" i="19" s="1"/>
  <c r="V77" i="19"/>
  <c r="AK77" i="19" s="1"/>
  <c r="S77" i="19"/>
  <c r="P77" i="19" s="1"/>
  <c r="O77" i="19"/>
  <c r="E77" i="19"/>
  <c r="J77" i="19" s="1"/>
  <c r="AR76" i="19"/>
  <c r="AQ76" i="19"/>
  <c r="AO76" i="19"/>
  <c r="AU76" i="19" s="1"/>
  <c r="Z76" i="19"/>
  <c r="Y76" i="19"/>
  <c r="AD76" i="19" s="1"/>
  <c r="V76" i="19"/>
  <c r="AK76" i="19" s="1"/>
  <c r="S76" i="19"/>
  <c r="O76" i="19"/>
  <c r="E76" i="19"/>
  <c r="J76" i="19" s="1"/>
  <c r="AR75" i="19"/>
  <c r="AQ75" i="19"/>
  <c r="AO75" i="19"/>
  <c r="AU75" i="19" s="1"/>
  <c r="Z75" i="19"/>
  <c r="Y75" i="19"/>
  <c r="AD75" i="19" s="1"/>
  <c r="V75" i="19"/>
  <c r="AK75" i="19" s="1"/>
  <c r="S75" i="19"/>
  <c r="P75" i="19" s="1"/>
  <c r="O75" i="19"/>
  <c r="E75" i="19"/>
  <c r="J75" i="19" s="1"/>
  <c r="AR74" i="19"/>
  <c r="AQ74" i="19"/>
  <c r="AO74" i="19"/>
  <c r="AU74" i="19" s="1"/>
  <c r="Z74" i="19"/>
  <c r="Y74" i="19"/>
  <c r="AD74" i="19" s="1"/>
  <c r="V74" i="19"/>
  <c r="AK74" i="19" s="1"/>
  <c r="S74" i="19"/>
  <c r="P74" i="19" s="1"/>
  <c r="O74" i="19"/>
  <c r="E74" i="19"/>
  <c r="J74" i="19" s="1"/>
  <c r="AR73" i="19"/>
  <c r="AQ73" i="19"/>
  <c r="AO73" i="19"/>
  <c r="AU73" i="19" s="1"/>
  <c r="Z73" i="19"/>
  <c r="Y73" i="19"/>
  <c r="AD73" i="19" s="1"/>
  <c r="V73" i="19"/>
  <c r="AK73" i="19" s="1"/>
  <c r="S73" i="19"/>
  <c r="AB73" i="19" s="1"/>
  <c r="O73" i="19"/>
  <c r="E73" i="19"/>
  <c r="J73" i="19" s="1"/>
  <c r="AR72" i="19"/>
  <c r="AQ72" i="19"/>
  <c r="AO72" i="19"/>
  <c r="AU72" i="19" s="1"/>
  <c r="Z72" i="19"/>
  <c r="Y72" i="19"/>
  <c r="AD72" i="19" s="1"/>
  <c r="V72" i="19"/>
  <c r="AK72" i="19" s="1"/>
  <c r="S72" i="19"/>
  <c r="P72" i="19" s="1"/>
  <c r="O72" i="19"/>
  <c r="E72" i="19"/>
  <c r="J72" i="19" s="1"/>
  <c r="AR71" i="19"/>
  <c r="AQ71" i="19"/>
  <c r="AO71" i="19"/>
  <c r="AU71" i="19" s="1"/>
  <c r="AD71" i="19"/>
  <c r="Z71" i="19"/>
  <c r="Y71" i="19"/>
  <c r="V71" i="19"/>
  <c r="AK71" i="19" s="1"/>
  <c r="S71" i="19"/>
  <c r="P71" i="19" s="1"/>
  <c r="O71" i="19"/>
  <c r="E71" i="19"/>
  <c r="J71" i="19" s="1"/>
  <c r="AR70" i="19"/>
  <c r="AQ70" i="19"/>
  <c r="AO70" i="19"/>
  <c r="AU70" i="19" s="1"/>
  <c r="Z70" i="19"/>
  <c r="Y70" i="19"/>
  <c r="AD70" i="19" s="1"/>
  <c r="V70" i="19"/>
  <c r="AK70" i="19" s="1"/>
  <c r="S70" i="19"/>
  <c r="P70" i="19" s="1"/>
  <c r="O70" i="19"/>
  <c r="E70" i="19"/>
  <c r="J70" i="19" s="1"/>
  <c r="AR69" i="19"/>
  <c r="AQ69" i="19"/>
  <c r="AO69" i="19"/>
  <c r="AU69" i="19" s="1"/>
  <c r="Z69" i="19"/>
  <c r="Y69" i="19"/>
  <c r="AD69" i="19" s="1"/>
  <c r="V69" i="19"/>
  <c r="AK69" i="19" s="1"/>
  <c r="S69" i="19"/>
  <c r="P69" i="19" s="1"/>
  <c r="O69" i="19"/>
  <c r="E69" i="19"/>
  <c r="J69" i="19" s="1"/>
  <c r="AR68" i="19"/>
  <c r="AQ68" i="19"/>
  <c r="AO68" i="19"/>
  <c r="AU68" i="19" s="1"/>
  <c r="Z68" i="19"/>
  <c r="Y68" i="19"/>
  <c r="AD68" i="19" s="1"/>
  <c r="V68" i="19"/>
  <c r="AK68" i="19" s="1"/>
  <c r="S68" i="19"/>
  <c r="P68" i="19" s="1"/>
  <c r="O68" i="19"/>
  <c r="E68" i="19"/>
  <c r="J68" i="19" s="1"/>
  <c r="AR67" i="19"/>
  <c r="AQ67" i="19"/>
  <c r="AO67" i="19"/>
  <c r="AU67" i="19" s="1"/>
  <c r="Z67" i="19"/>
  <c r="Y67" i="19"/>
  <c r="AD67" i="19" s="1"/>
  <c r="V67" i="19"/>
  <c r="AK67" i="19" s="1"/>
  <c r="S67" i="19"/>
  <c r="AB67" i="19" s="1"/>
  <c r="P67" i="19"/>
  <c r="O67" i="19"/>
  <c r="E67" i="19"/>
  <c r="J67" i="19" s="1"/>
  <c r="AR66" i="19"/>
  <c r="AQ66" i="19"/>
  <c r="AO66" i="19"/>
  <c r="AU66" i="19" s="1"/>
  <c r="AD66" i="19"/>
  <c r="Z66" i="19"/>
  <c r="Y66" i="19"/>
  <c r="V66" i="19"/>
  <c r="AK66" i="19" s="1"/>
  <c r="S66" i="19"/>
  <c r="P66" i="19" s="1"/>
  <c r="O66" i="19"/>
  <c r="E66" i="19"/>
  <c r="J66" i="19" s="1"/>
  <c r="AR65" i="19"/>
  <c r="AQ65" i="19"/>
  <c r="AO65" i="19"/>
  <c r="AU65" i="19" s="1"/>
  <c r="Z65" i="19"/>
  <c r="Y65" i="19"/>
  <c r="AD65" i="19" s="1"/>
  <c r="V65" i="19"/>
  <c r="AK65" i="19" s="1"/>
  <c r="S65" i="19"/>
  <c r="AB65" i="19" s="1"/>
  <c r="O65" i="19"/>
  <c r="E65" i="19"/>
  <c r="J65" i="19" s="1"/>
  <c r="AR64" i="19"/>
  <c r="AQ64" i="19"/>
  <c r="AO64" i="19"/>
  <c r="AU64" i="19" s="1"/>
  <c r="AK64" i="19"/>
  <c r="Z64" i="19"/>
  <c r="Y64" i="19"/>
  <c r="AD64" i="19" s="1"/>
  <c r="V64" i="19"/>
  <c r="S64" i="19"/>
  <c r="P64" i="19" s="1"/>
  <c r="O64" i="19"/>
  <c r="E64" i="19"/>
  <c r="J64" i="19" s="1"/>
  <c r="AR63" i="19"/>
  <c r="AQ63" i="19"/>
  <c r="AO63" i="19"/>
  <c r="AU63" i="19" s="1"/>
  <c r="Z63" i="19"/>
  <c r="Y63" i="19"/>
  <c r="AD63" i="19" s="1"/>
  <c r="V63" i="19"/>
  <c r="AK63" i="19" s="1"/>
  <c r="S63" i="19"/>
  <c r="P63" i="19" s="1"/>
  <c r="O63" i="19"/>
  <c r="J63" i="19"/>
  <c r="E63" i="19"/>
  <c r="AR62" i="19"/>
  <c r="AQ62" i="19"/>
  <c r="AO62" i="19"/>
  <c r="AU62" i="19" s="1"/>
  <c r="Z62" i="19"/>
  <c r="Y62" i="19"/>
  <c r="AD62" i="19" s="1"/>
  <c r="V62" i="19"/>
  <c r="AK62" i="19" s="1"/>
  <c r="S62" i="19"/>
  <c r="AB62" i="19" s="1"/>
  <c r="O62" i="19"/>
  <c r="E62" i="19"/>
  <c r="J62" i="19" s="1"/>
  <c r="AR61" i="19"/>
  <c r="AQ61" i="19"/>
  <c r="AO61" i="19"/>
  <c r="AU61" i="19" s="1"/>
  <c r="Z61" i="19"/>
  <c r="Y61" i="19"/>
  <c r="AD61" i="19" s="1"/>
  <c r="V61" i="19"/>
  <c r="AK61" i="19" s="1"/>
  <c r="S61" i="19"/>
  <c r="O61" i="19"/>
  <c r="E61" i="19"/>
  <c r="J61" i="19" s="1"/>
  <c r="AR60" i="19"/>
  <c r="AQ60" i="19"/>
  <c r="AO60" i="19"/>
  <c r="AU60" i="19" s="1"/>
  <c r="Z60" i="19"/>
  <c r="Y60" i="19"/>
  <c r="AD60" i="19" s="1"/>
  <c r="V60" i="19"/>
  <c r="AK60" i="19" s="1"/>
  <c r="S60" i="19"/>
  <c r="P60" i="19" s="1"/>
  <c r="O60" i="19"/>
  <c r="E60" i="19"/>
  <c r="J60" i="19" s="1"/>
  <c r="AR59" i="19"/>
  <c r="AQ59" i="19"/>
  <c r="AO59" i="19"/>
  <c r="AU59" i="19" s="1"/>
  <c r="Z59" i="19"/>
  <c r="Y59" i="19"/>
  <c r="AD59" i="19" s="1"/>
  <c r="V59" i="19"/>
  <c r="AK59" i="19" s="1"/>
  <c r="S59" i="19"/>
  <c r="P59" i="19" s="1"/>
  <c r="O59" i="19"/>
  <c r="E59" i="19"/>
  <c r="J59" i="19" s="1"/>
  <c r="AR58" i="19"/>
  <c r="AQ58" i="19"/>
  <c r="AO58" i="19"/>
  <c r="AU58" i="19" s="1"/>
  <c r="Z58" i="19"/>
  <c r="Y58" i="19"/>
  <c r="AD58" i="19" s="1"/>
  <c r="V58" i="19"/>
  <c r="AK58" i="19" s="1"/>
  <c r="S58" i="19"/>
  <c r="P58" i="19" s="1"/>
  <c r="O58" i="19"/>
  <c r="E58" i="19"/>
  <c r="J58" i="19" s="1"/>
  <c r="AR57" i="19"/>
  <c r="AQ57" i="19"/>
  <c r="AO57" i="19"/>
  <c r="AU57" i="19" s="1"/>
  <c r="Z57" i="19"/>
  <c r="Y57" i="19"/>
  <c r="AD57" i="19" s="1"/>
  <c r="V57" i="19"/>
  <c r="AK57" i="19" s="1"/>
  <c r="S57" i="19"/>
  <c r="O57" i="19"/>
  <c r="E57" i="19"/>
  <c r="J57" i="19" s="1"/>
  <c r="AR56" i="19"/>
  <c r="AQ56" i="19"/>
  <c r="AO56" i="19"/>
  <c r="AU56" i="19" s="1"/>
  <c r="Z56" i="19"/>
  <c r="Y56" i="19"/>
  <c r="AD56" i="19" s="1"/>
  <c r="V56" i="19"/>
  <c r="AK56" i="19" s="1"/>
  <c r="S56" i="19"/>
  <c r="AB56" i="19" s="1"/>
  <c r="O56" i="19"/>
  <c r="E56" i="19"/>
  <c r="J56" i="19" s="1"/>
  <c r="AR55" i="19"/>
  <c r="AQ55" i="19"/>
  <c r="AO55" i="19"/>
  <c r="AU55" i="19" s="1"/>
  <c r="Z55" i="19"/>
  <c r="Y55" i="19"/>
  <c r="AD55" i="19" s="1"/>
  <c r="V55" i="19"/>
  <c r="AK55" i="19" s="1"/>
  <c r="S55" i="19"/>
  <c r="P55" i="19" s="1"/>
  <c r="O55" i="19"/>
  <c r="E55" i="19"/>
  <c r="J55" i="19" s="1"/>
  <c r="AR54" i="19"/>
  <c r="AQ54" i="19"/>
  <c r="AO54" i="19"/>
  <c r="AU54" i="19" s="1"/>
  <c r="Z54" i="19"/>
  <c r="Y54" i="19"/>
  <c r="V54" i="19"/>
  <c r="AK54" i="19" s="1"/>
  <c r="S54" i="19"/>
  <c r="P54" i="19" s="1"/>
  <c r="O54" i="19"/>
  <c r="E54" i="19"/>
  <c r="J54" i="19" s="1"/>
  <c r="AR53" i="19"/>
  <c r="AQ53" i="19"/>
  <c r="AO53" i="19"/>
  <c r="AU53" i="19" s="1"/>
  <c r="Z53" i="19"/>
  <c r="Y53" i="19"/>
  <c r="AD53" i="19" s="1"/>
  <c r="V53" i="19"/>
  <c r="AK53" i="19" s="1"/>
  <c r="S53" i="19"/>
  <c r="P53" i="19" s="1"/>
  <c r="O53" i="19"/>
  <c r="E53" i="19"/>
  <c r="J53" i="19" s="1"/>
  <c r="AR52" i="19"/>
  <c r="AQ52" i="19"/>
  <c r="AO52" i="19"/>
  <c r="AU52" i="19" s="1"/>
  <c r="Z52" i="19"/>
  <c r="Y52" i="19"/>
  <c r="AD52" i="19" s="1"/>
  <c r="V52" i="19"/>
  <c r="AK52" i="19" s="1"/>
  <c r="S52" i="19"/>
  <c r="AP52" i="19" s="1"/>
  <c r="O52" i="19"/>
  <c r="E52" i="19"/>
  <c r="J52" i="19" s="1"/>
  <c r="AR51" i="19"/>
  <c r="AQ51" i="19"/>
  <c r="AO51" i="19"/>
  <c r="AU51" i="19" s="1"/>
  <c r="Z51" i="19"/>
  <c r="Y51" i="19"/>
  <c r="AD51" i="19" s="1"/>
  <c r="V51" i="19"/>
  <c r="AK51" i="19" s="1"/>
  <c r="S51" i="19"/>
  <c r="AN51" i="19" s="1"/>
  <c r="AT51" i="19" s="1"/>
  <c r="P51" i="19"/>
  <c r="O51" i="19"/>
  <c r="E51" i="19"/>
  <c r="J51" i="19" s="1"/>
  <c r="AR50" i="19"/>
  <c r="AQ50" i="19"/>
  <c r="AO50" i="19"/>
  <c r="AU50" i="19" s="1"/>
  <c r="Z50" i="19"/>
  <c r="Y50" i="19"/>
  <c r="AD50" i="19" s="1"/>
  <c r="V50" i="19"/>
  <c r="AK50" i="19" s="1"/>
  <c r="S50" i="19"/>
  <c r="AN50" i="19" s="1"/>
  <c r="AT50" i="19" s="1"/>
  <c r="O50" i="19"/>
  <c r="E50" i="19"/>
  <c r="J50" i="19" s="1"/>
  <c r="AR49" i="19"/>
  <c r="AQ49" i="19"/>
  <c r="AO49" i="19"/>
  <c r="AU49" i="19" s="1"/>
  <c r="Z49" i="19"/>
  <c r="Y49" i="19"/>
  <c r="AD49" i="19" s="1"/>
  <c r="V49" i="19"/>
  <c r="AK49" i="19" s="1"/>
  <c r="S49" i="19"/>
  <c r="AN49" i="19" s="1"/>
  <c r="AT49" i="19" s="1"/>
  <c r="O49" i="19"/>
  <c r="E49" i="19"/>
  <c r="J49" i="19" s="1"/>
  <c r="AR48" i="19"/>
  <c r="AQ48" i="19"/>
  <c r="AO48" i="19"/>
  <c r="AU48" i="19" s="1"/>
  <c r="Z48" i="19"/>
  <c r="Y48" i="19"/>
  <c r="AD48" i="19" s="1"/>
  <c r="V48" i="19"/>
  <c r="AK48" i="19" s="1"/>
  <c r="S48" i="19"/>
  <c r="AN48" i="19" s="1"/>
  <c r="AT48" i="19" s="1"/>
  <c r="O48" i="19"/>
  <c r="E48" i="19"/>
  <c r="J48" i="19" s="1"/>
  <c r="AR47" i="19"/>
  <c r="AQ47" i="19"/>
  <c r="AO47" i="19"/>
  <c r="AU47" i="19" s="1"/>
  <c r="Z47" i="19"/>
  <c r="Y47" i="19"/>
  <c r="AD47" i="19" s="1"/>
  <c r="V47" i="19"/>
  <c r="AK47" i="19" s="1"/>
  <c r="S47" i="19"/>
  <c r="AN47" i="19" s="1"/>
  <c r="AT47" i="19" s="1"/>
  <c r="O47" i="19"/>
  <c r="E47" i="19"/>
  <c r="J47" i="19" s="1"/>
  <c r="AR46" i="19"/>
  <c r="AQ46" i="19"/>
  <c r="AO46" i="19"/>
  <c r="AU46" i="19" s="1"/>
  <c r="Z46" i="19"/>
  <c r="Y46" i="19"/>
  <c r="AD46" i="19" s="1"/>
  <c r="V46" i="19"/>
  <c r="AK46" i="19" s="1"/>
  <c r="S46" i="19"/>
  <c r="AN46" i="19" s="1"/>
  <c r="AT46" i="19" s="1"/>
  <c r="P46" i="19"/>
  <c r="O46" i="19"/>
  <c r="E46" i="19"/>
  <c r="J46" i="19" s="1"/>
  <c r="AR45" i="19"/>
  <c r="AQ45" i="19"/>
  <c r="AO45" i="19"/>
  <c r="AU45" i="19" s="1"/>
  <c r="AD45" i="19"/>
  <c r="Z45" i="19"/>
  <c r="Y45" i="19"/>
  <c r="V45" i="19"/>
  <c r="AK45" i="19" s="1"/>
  <c r="S45" i="19"/>
  <c r="AN45" i="19" s="1"/>
  <c r="AT45" i="19" s="1"/>
  <c r="O45" i="19"/>
  <c r="E45" i="19"/>
  <c r="J45" i="19" s="1"/>
  <c r="AR44" i="19"/>
  <c r="AQ44" i="19"/>
  <c r="AO44" i="19"/>
  <c r="AU44" i="19" s="1"/>
  <c r="Z44" i="19"/>
  <c r="Y44" i="19"/>
  <c r="AD44" i="19" s="1"/>
  <c r="V44" i="19"/>
  <c r="AK44" i="19" s="1"/>
  <c r="S44" i="19"/>
  <c r="AN44" i="19" s="1"/>
  <c r="AT44" i="19" s="1"/>
  <c r="P44" i="19"/>
  <c r="O44" i="19"/>
  <c r="E44" i="19"/>
  <c r="J44" i="19" s="1"/>
  <c r="AR43" i="19"/>
  <c r="AQ43" i="19"/>
  <c r="AO43" i="19"/>
  <c r="AU43" i="19" s="1"/>
  <c r="Z43" i="19"/>
  <c r="Y43" i="19"/>
  <c r="AD43" i="19" s="1"/>
  <c r="V43" i="19"/>
  <c r="AK43" i="19" s="1"/>
  <c r="S43" i="19"/>
  <c r="AN43" i="19" s="1"/>
  <c r="AT43" i="19" s="1"/>
  <c r="O43" i="19"/>
  <c r="E43" i="19"/>
  <c r="J43" i="19" s="1"/>
  <c r="AR42" i="19"/>
  <c r="AQ42" i="19"/>
  <c r="AO42" i="19"/>
  <c r="AU42" i="19" s="1"/>
  <c r="Z42" i="19"/>
  <c r="Y42" i="19"/>
  <c r="AD42" i="19" s="1"/>
  <c r="V42" i="19"/>
  <c r="AK42" i="19" s="1"/>
  <c r="S42" i="19"/>
  <c r="AN42" i="19" s="1"/>
  <c r="AT42" i="19" s="1"/>
  <c r="O42" i="19"/>
  <c r="E42" i="19"/>
  <c r="J42" i="19" s="1"/>
  <c r="AR41" i="19"/>
  <c r="AQ41" i="19"/>
  <c r="AO41" i="19"/>
  <c r="AU41" i="19" s="1"/>
  <c r="Z41" i="19"/>
  <c r="Y41" i="19"/>
  <c r="AD41" i="19" s="1"/>
  <c r="V41" i="19"/>
  <c r="AK41" i="19" s="1"/>
  <c r="S41" i="19"/>
  <c r="AN41" i="19" s="1"/>
  <c r="AT41" i="19" s="1"/>
  <c r="O41" i="19"/>
  <c r="E41" i="19"/>
  <c r="J41" i="19" s="1"/>
  <c r="AR40" i="19"/>
  <c r="AQ40" i="19"/>
  <c r="AO40" i="19"/>
  <c r="AU40" i="19" s="1"/>
  <c r="Z40" i="19"/>
  <c r="Y40" i="19"/>
  <c r="AD40" i="19" s="1"/>
  <c r="V40" i="19"/>
  <c r="AK40" i="19" s="1"/>
  <c r="S40" i="19"/>
  <c r="AN40" i="19" s="1"/>
  <c r="AT40" i="19" s="1"/>
  <c r="O40" i="19"/>
  <c r="E40" i="19"/>
  <c r="J40" i="19" s="1"/>
  <c r="AR39" i="19"/>
  <c r="AQ39" i="19"/>
  <c r="AP39" i="19"/>
  <c r="AO39" i="19"/>
  <c r="AU39" i="19" s="1"/>
  <c r="Z39" i="19"/>
  <c r="Y39" i="19"/>
  <c r="AD39" i="19" s="1"/>
  <c r="V39" i="19"/>
  <c r="AK39" i="19" s="1"/>
  <c r="S39" i="19"/>
  <c r="AN39" i="19" s="1"/>
  <c r="AT39" i="19" s="1"/>
  <c r="O39" i="19"/>
  <c r="J39" i="19"/>
  <c r="E39" i="19"/>
  <c r="AR38" i="19"/>
  <c r="AQ38" i="19"/>
  <c r="AO38" i="19"/>
  <c r="Z38" i="19"/>
  <c r="Y38" i="19"/>
  <c r="AD38" i="19" s="1"/>
  <c r="V38" i="19"/>
  <c r="S38" i="19"/>
  <c r="AP38" i="19" s="1"/>
  <c r="O38" i="19"/>
  <c r="J38" i="19"/>
  <c r="E38" i="19"/>
  <c r="AJ36" i="19"/>
  <c r="AJ93" i="19" s="1"/>
  <c r="U9" i="3" s="1"/>
  <c r="AH36" i="19"/>
  <c r="AH93" i="19" s="1"/>
  <c r="AG36" i="19"/>
  <c r="AG93" i="19" s="1"/>
  <c r="X9" i="3" s="1"/>
  <c r="AF36" i="19"/>
  <c r="AE36" i="19"/>
  <c r="AE93" i="19" s="1"/>
  <c r="Q9" i="3" s="1"/>
  <c r="AC36" i="19"/>
  <c r="AC93" i="19" s="1"/>
  <c r="R9" i="3" s="1"/>
  <c r="X36" i="19"/>
  <c r="X93" i="19" s="1"/>
  <c r="N9" i="3" s="1"/>
  <c r="W36" i="19"/>
  <c r="W93" i="19" s="1"/>
  <c r="M9" i="3" s="1"/>
  <c r="U36" i="19"/>
  <c r="U93" i="19" s="1"/>
  <c r="K9" i="3" s="1"/>
  <c r="T36" i="19"/>
  <c r="T93" i="19" s="1"/>
  <c r="J9" i="3" s="1"/>
  <c r="R36" i="19"/>
  <c r="Q36" i="19"/>
  <c r="H36" i="19"/>
  <c r="H93" i="19" s="1"/>
  <c r="AI52" i="19" s="1"/>
  <c r="G36" i="19"/>
  <c r="G93" i="19" s="1"/>
  <c r="F36" i="19"/>
  <c r="F93" i="19" s="1"/>
  <c r="E36" i="19"/>
  <c r="AR15" i="19"/>
  <c r="AQ15" i="19"/>
  <c r="AO15" i="19"/>
  <c r="Z15" i="19"/>
  <c r="Y15" i="19"/>
  <c r="AD15" i="19" s="1"/>
  <c r="V15" i="19"/>
  <c r="AK15" i="19" s="1"/>
  <c r="S15" i="19"/>
  <c r="O15" i="19"/>
  <c r="J15" i="19"/>
  <c r="AR14" i="19"/>
  <c r="AQ14" i="19"/>
  <c r="AO14" i="19"/>
  <c r="Z14" i="19"/>
  <c r="Y14" i="19"/>
  <c r="V14" i="19"/>
  <c r="AK14" i="19" s="1"/>
  <c r="S14" i="19"/>
  <c r="O14" i="19"/>
  <c r="J14" i="19"/>
  <c r="AR13" i="19"/>
  <c r="AQ13" i="19"/>
  <c r="AO13" i="19"/>
  <c r="Z13" i="19"/>
  <c r="Y13" i="19"/>
  <c r="AD13" i="19" s="1"/>
  <c r="V13" i="19"/>
  <c r="AK13" i="19" s="1"/>
  <c r="S13" i="19"/>
  <c r="J14" i="21" s="1"/>
  <c r="O13" i="19"/>
  <c r="J13" i="19"/>
  <c r="AR12" i="19"/>
  <c r="AQ12" i="19"/>
  <c r="AO12" i="19"/>
  <c r="Z12" i="19"/>
  <c r="Y12" i="19"/>
  <c r="AD12" i="19" s="1"/>
  <c r="V12" i="19"/>
  <c r="AK12" i="19" s="1"/>
  <c r="S12" i="19"/>
  <c r="O12" i="19"/>
  <c r="J12" i="19"/>
  <c r="AR11" i="19"/>
  <c r="AQ11" i="19"/>
  <c r="AO11" i="19"/>
  <c r="Z11" i="19"/>
  <c r="Y11" i="19"/>
  <c r="AD11" i="19" s="1"/>
  <c r="V11" i="19"/>
  <c r="AK11" i="19" s="1"/>
  <c r="S11" i="19"/>
  <c r="O11" i="19"/>
  <c r="J11" i="19"/>
  <c r="AR10" i="19"/>
  <c r="AQ10" i="19"/>
  <c r="AO10" i="19"/>
  <c r="Z10" i="19"/>
  <c r="Y10" i="19"/>
  <c r="AD10" i="19" s="1"/>
  <c r="V10" i="19"/>
  <c r="AK10" i="19" s="1"/>
  <c r="S10" i="19"/>
  <c r="O10" i="19"/>
  <c r="J10" i="19"/>
  <c r="AR9" i="19"/>
  <c r="AQ9" i="19"/>
  <c r="AO9" i="19"/>
  <c r="Z9" i="19"/>
  <c r="Y9" i="19"/>
  <c r="AD9" i="19" s="1"/>
  <c r="V9" i="19"/>
  <c r="AK9" i="19" s="1"/>
  <c r="S9" i="19"/>
  <c r="J7" i="21" s="1"/>
  <c r="O9" i="19"/>
  <c r="J9" i="19"/>
  <c r="AR8" i="19"/>
  <c r="AQ8" i="19"/>
  <c r="AO8" i="19"/>
  <c r="Z8" i="19"/>
  <c r="Y8" i="19"/>
  <c r="V8" i="19"/>
  <c r="AK8" i="19" s="1"/>
  <c r="S8" i="19"/>
  <c r="O8" i="19"/>
  <c r="J8" i="19"/>
  <c r="AR7" i="19"/>
  <c r="AQ7" i="19"/>
  <c r="AO7" i="19"/>
  <c r="Z7" i="19"/>
  <c r="Y7" i="19"/>
  <c r="V7" i="19"/>
  <c r="AK7" i="19" s="1"/>
  <c r="S7" i="19"/>
  <c r="J8" i="21" s="1"/>
  <c r="O7" i="19"/>
  <c r="J7" i="19"/>
  <c r="AR6" i="19"/>
  <c r="AQ6" i="19"/>
  <c r="AO6" i="19"/>
  <c r="Z6" i="19"/>
  <c r="Y6" i="19"/>
  <c r="V6" i="19"/>
  <c r="AK6" i="19" s="1"/>
  <c r="S6" i="19"/>
  <c r="O6" i="19"/>
  <c r="J6" i="19"/>
  <c r="AR5" i="19"/>
  <c r="AQ5" i="19"/>
  <c r="AO5" i="19"/>
  <c r="Z5" i="19"/>
  <c r="Y5" i="19"/>
  <c r="AD5" i="19" s="1"/>
  <c r="V5" i="19"/>
  <c r="AK5" i="19" s="1"/>
  <c r="S5" i="19"/>
  <c r="J10" i="21" s="1"/>
  <c r="O5" i="19"/>
  <c r="J5" i="19"/>
  <c r="AR4" i="19"/>
  <c r="AQ4" i="19"/>
  <c r="AO4" i="19"/>
  <c r="Z4" i="19"/>
  <c r="Y4" i="19"/>
  <c r="AD4" i="19" s="1"/>
  <c r="V4" i="19"/>
  <c r="AK4" i="19" s="1"/>
  <c r="S4" i="19"/>
  <c r="J5" i="21" s="1"/>
  <c r="O4" i="19"/>
  <c r="J4" i="19"/>
  <c r="AR3" i="19"/>
  <c r="AQ3" i="19"/>
  <c r="AO3" i="19"/>
  <c r="Z3" i="19"/>
  <c r="Y3" i="19"/>
  <c r="AD3" i="19" s="1"/>
  <c r="V3" i="19"/>
  <c r="S3" i="19"/>
  <c r="J4" i="21" s="1"/>
  <c r="O3" i="19"/>
  <c r="J3" i="19"/>
  <c r="E11" i="27" l="1"/>
  <c r="F10" i="27"/>
  <c r="M10" i="27"/>
  <c r="G10" i="27" s="1"/>
  <c r="L11" i="27"/>
  <c r="Z91" i="19"/>
  <c r="P39" i="19"/>
  <c r="AB43" i="19"/>
  <c r="AP51" i="19"/>
  <c r="E91" i="19"/>
  <c r="E93" i="19" s="1"/>
  <c r="AQ90" i="19"/>
  <c r="AP40" i="19"/>
  <c r="P43" i="19"/>
  <c r="P40" i="19"/>
  <c r="AB42" i="19"/>
  <c r="AP46" i="19"/>
  <c r="AP44" i="19"/>
  <c r="AB51" i="19"/>
  <c r="AB71" i="19"/>
  <c r="AB40" i="19"/>
  <c r="P42" i="19"/>
  <c r="AP42" i="19"/>
  <c r="AB46" i="19"/>
  <c r="P49" i="19"/>
  <c r="AP49" i="19"/>
  <c r="AR91" i="19"/>
  <c r="AB45" i="19"/>
  <c r="P48" i="19"/>
  <c r="AP48" i="19"/>
  <c r="P56" i="19"/>
  <c r="AB64" i="19"/>
  <c r="AB39" i="19"/>
  <c r="P41" i="19"/>
  <c r="AP41" i="19"/>
  <c r="AB44" i="19"/>
  <c r="P47" i="19"/>
  <c r="AP47" i="19"/>
  <c r="AB52" i="19"/>
  <c r="P62" i="19"/>
  <c r="AB74" i="19"/>
  <c r="AB69" i="19"/>
  <c r="AB38" i="19"/>
  <c r="P45" i="19"/>
  <c r="AP45" i="19"/>
  <c r="AB50" i="19"/>
  <c r="AN52" i="19"/>
  <c r="AT52" i="19" s="1"/>
  <c r="AI84" i="19"/>
  <c r="AB49" i="19"/>
  <c r="P52" i="19"/>
  <c r="AP43" i="19"/>
  <c r="AB48" i="19"/>
  <c r="P38" i="19"/>
  <c r="AB41" i="19"/>
  <c r="AB47" i="19"/>
  <c r="P50" i="19"/>
  <c r="AP50" i="19"/>
  <c r="P4" i="19"/>
  <c r="AP14" i="19"/>
  <c r="J12" i="21"/>
  <c r="AB10" i="19"/>
  <c r="AL10" i="19" s="1"/>
  <c r="J11" i="21"/>
  <c r="AP15" i="19"/>
  <c r="J16" i="21"/>
  <c r="Z36" i="19"/>
  <c r="Z93" i="19" s="1"/>
  <c r="AB9" i="19"/>
  <c r="AP11" i="19"/>
  <c r="J13" i="21"/>
  <c r="AB6" i="19"/>
  <c r="J9" i="21"/>
  <c r="AB12" i="19"/>
  <c r="J15" i="21"/>
  <c r="AP8" i="19"/>
  <c r="J6" i="21"/>
  <c r="L9" i="26"/>
  <c r="M8" i="26"/>
  <c r="G8" i="26" s="1"/>
  <c r="E10" i="26"/>
  <c r="F9" i="26"/>
  <c r="AN3" i="19"/>
  <c r="AN9" i="19"/>
  <c r="O9" i="3"/>
  <c r="AN7" i="19"/>
  <c r="L9" i="3"/>
  <c r="V36" i="19"/>
  <c r="P10" i="19"/>
  <c r="AN6" i="19"/>
  <c r="P11" i="19"/>
  <c r="R93" i="19"/>
  <c r="I9" i="3"/>
  <c r="AN10" i="19"/>
  <c r="AP7" i="19"/>
  <c r="AP10" i="19"/>
  <c r="AB15" i="19"/>
  <c r="P7" i="19"/>
  <c r="AN15" i="19"/>
  <c r="AT15" i="19" s="1"/>
  <c r="AB8" i="19"/>
  <c r="AP9" i="19"/>
  <c r="P12" i="19"/>
  <c r="AN8" i="19"/>
  <c r="P15" i="19"/>
  <c r="P8" i="19"/>
  <c r="AP3" i="19"/>
  <c r="Q93" i="19"/>
  <c r="H9" i="3"/>
  <c r="P3" i="19"/>
  <c r="S36" i="19"/>
  <c r="AB3" i="19"/>
  <c r="L93" i="19"/>
  <c r="G9" i="3"/>
  <c r="AI4" i="19"/>
  <c r="AI3" i="19"/>
  <c r="AI10" i="19"/>
  <c r="AI12" i="19"/>
  <c r="AI8" i="19"/>
  <c r="AL8" i="19" s="1"/>
  <c r="AI15" i="19"/>
  <c r="AI68" i="19"/>
  <c r="AI11" i="19"/>
  <c r="AI39" i="19"/>
  <c r="AL39" i="19" s="1"/>
  <c r="AS39" i="19" s="1" a="1"/>
  <c r="AS39" i="19" s="1"/>
  <c r="AW39" i="19" s="1"/>
  <c r="AI55" i="19"/>
  <c r="AI43" i="19"/>
  <c r="AL43" i="19" s="1"/>
  <c r="AS43" i="19" s="1" a="1"/>
  <c r="AS43" i="19" s="1"/>
  <c r="AW43" i="19" s="1"/>
  <c r="AI66" i="19"/>
  <c r="AW38" i="25"/>
  <c r="AW91" i="25" s="1"/>
  <c r="AS90" i="25"/>
  <c r="AS90" i="22"/>
  <c r="AW38" i="22"/>
  <c r="AW91" i="22" s="1"/>
  <c r="K23" i="21"/>
  <c r="K31" i="21"/>
  <c r="K39" i="21"/>
  <c r="K47" i="21"/>
  <c r="K55" i="21"/>
  <c r="K63" i="21"/>
  <c r="K71" i="21"/>
  <c r="K22" i="21"/>
  <c r="K30" i="21"/>
  <c r="K38" i="21"/>
  <c r="K46" i="21"/>
  <c r="K54" i="21"/>
  <c r="K62" i="21"/>
  <c r="K70" i="21"/>
  <c r="K72" i="21"/>
  <c r="K21" i="21"/>
  <c r="K29" i="21"/>
  <c r="K37" i="21"/>
  <c r="K45" i="21"/>
  <c r="K53" i="21"/>
  <c r="K61" i="21"/>
  <c r="K69" i="21"/>
  <c r="E21" i="21"/>
  <c r="K28" i="21"/>
  <c r="K36" i="21"/>
  <c r="K44" i="21"/>
  <c r="K52" i="21"/>
  <c r="K60" i="21"/>
  <c r="K68" i="21"/>
  <c r="D72" i="21"/>
  <c r="K26" i="21"/>
  <c r="K34" i="21"/>
  <c r="K42" i="21"/>
  <c r="K50" i="21"/>
  <c r="K58" i="21"/>
  <c r="V91" i="19"/>
  <c r="AK38" i="19"/>
  <c r="AK91" i="19" s="1"/>
  <c r="AD7" i="19"/>
  <c r="AD14" i="19"/>
  <c r="AP13" i="19"/>
  <c r="AB13" i="19"/>
  <c r="AN13" i="19"/>
  <c r="P13" i="19"/>
  <c r="AD6" i="19"/>
  <c r="AB5" i="19"/>
  <c r="AP5" i="19"/>
  <c r="AN5" i="19"/>
  <c r="P5" i="19"/>
  <c r="J36" i="19"/>
  <c r="AB4" i="19"/>
  <c r="AP4" i="19"/>
  <c r="AN4" i="19"/>
  <c r="AN11" i="19"/>
  <c r="AI5" i="19"/>
  <c r="AB11" i="19"/>
  <c r="AI13" i="19"/>
  <c r="AO90" i="19"/>
  <c r="AU38" i="19"/>
  <c r="AU90" i="19" s="1"/>
  <c r="AI71" i="19"/>
  <c r="AL71" i="19" s="1"/>
  <c r="AS71" i="19" s="1" a="1"/>
  <c r="AS71" i="19" s="1"/>
  <c r="AW71" i="19" s="1"/>
  <c r="AB80" i="19"/>
  <c r="AP80" i="19"/>
  <c r="AN80" i="19"/>
  <c r="AT80" i="19" s="1"/>
  <c r="P80" i="19"/>
  <c r="AI42" i="19"/>
  <c r="AL42" i="19" s="1"/>
  <c r="AS42" i="19" s="1" a="1"/>
  <c r="AS42" i="19" s="1"/>
  <c r="AW42" i="19" s="1"/>
  <c r="AP53" i="19"/>
  <c r="AN53" i="19"/>
  <c r="AT53" i="19" s="1"/>
  <c r="AB53" i="19"/>
  <c r="AI70" i="19"/>
  <c r="AI88" i="19"/>
  <c r="AP72" i="19"/>
  <c r="AN72" i="19"/>
  <c r="AT72" i="19" s="1"/>
  <c r="AB72" i="19"/>
  <c r="AB76" i="19"/>
  <c r="AP76" i="19"/>
  <c r="AN76" i="19"/>
  <c r="AT76" i="19" s="1"/>
  <c r="P76" i="19"/>
  <c r="AB86" i="19"/>
  <c r="AP86" i="19"/>
  <c r="AN86" i="19"/>
  <c r="AT86" i="19" s="1"/>
  <c r="P86" i="19"/>
  <c r="AL52" i="19"/>
  <c r="AS52" i="19" s="1" a="1"/>
  <c r="AS52" i="19" s="1"/>
  <c r="AW52" i="19" s="1"/>
  <c r="AR90" i="19"/>
  <c r="AK3" i="19"/>
  <c r="AK36" i="19" s="1"/>
  <c r="AK93" i="19" s="1"/>
  <c r="AP6" i="19"/>
  <c r="AB7" i="19"/>
  <c r="AD8" i="19"/>
  <c r="P9" i="19"/>
  <c r="AI9" i="19"/>
  <c r="AL9" i="19" s="1"/>
  <c r="AN12" i="19"/>
  <c r="AT12" i="19" s="1"/>
  <c r="AI40" i="19"/>
  <c r="AB82" i="19"/>
  <c r="AP82" i="19"/>
  <c r="AN82" i="19"/>
  <c r="AT82" i="19" s="1"/>
  <c r="P82" i="19"/>
  <c r="AP61" i="19"/>
  <c r="AN61" i="19"/>
  <c r="AT61" i="19" s="1"/>
  <c r="P61" i="19"/>
  <c r="AI73" i="19"/>
  <c r="AL73" i="19" s="1"/>
  <c r="AS73" i="19" s="1" a="1"/>
  <c r="AS73" i="19" s="1"/>
  <c r="AW73" i="19" s="1"/>
  <c r="AI61" i="19"/>
  <c r="AI51" i="19"/>
  <c r="AL51" i="19" s="1"/>
  <c r="AS51" i="19" s="1" a="1"/>
  <c r="AS51" i="19" s="1"/>
  <c r="AW51" i="19" s="1"/>
  <c r="AI50" i="19"/>
  <c r="AL50" i="19" s="1"/>
  <c r="AS50" i="19" s="1" a="1"/>
  <c r="AS50" i="19" s="1"/>
  <c r="AW50" i="19" s="1"/>
  <c r="AI49" i="19"/>
  <c r="AL49" i="19" s="1"/>
  <c r="AS49" i="19" s="1" a="1"/>
  <c r="AS49" i="19" s="1"/>
  <c r="AW49" i="19" s="1"/>
  <c r="AI48" i="19"/>
  <c r="AL48" i="19" s="1"/>
  <c r="AS48" i="19" s="1" a="1"/>
  <c r="AS48" i="19" s="1"/>
  <c r="AW48" i="19" s="1"/>
  <c r="AI47" i="19"/>
  <c r="AL47" i="19" s="1"/>
  <c r="AS47" i="19" s="1" a="1"/>
  <c r="AS47" i="19" s="1"/>
  <c r="AW47" i="19" s="1"/>
  <c r="AI46" i="19"/>
  <c r="AL46" i="19" s="1"/>
  <c r="AS46" i="19" s="1" a="1"/>
  <c r="AS46" i="19" s="1"/>
  <c r="AW46" i="19" s="1"/>
  <c r="AI45" i="19"/>
  <c r="AL45" i="19" s="1"/>
  <c r="AS45" i="19" s="1" a="1"/>
  <c r="AS45" i="19" s="1"/>
  <c r="AW45" i="19" s="1"/>
  <c r="AI44" i="19"/>
  <c r="AL44" i="19" s="1"/>
  <c r="AS44" i="19" s="1" a="1"/>
  <c r="AS44" i="19" s="1"/>
  <c r="AW44" i="19" s="1"/>
  <c r="AI87" i="19"/>
  <c r="AI83" i="19"/>
  <c r="AI79" i="19"/>
  <c r="AI75" i="19"/>
  <c r="AI72" i="19"/>
  <c r="AI60" i="19"/>
  <c r="AI53" i="19"/>
  <c r="AI65" i="19"/>
  <c r="AL65" i="19" s="1"/>
  <c r="AS65" i="19" s="1" a="1"/>
  <c r="AS65" i="19" s="1"/>
  <c r="AW65" i="19" s="1"/>
  <c r="AI57" i="19"/>
  <c r="AI86" i="19"/>
  <c r="AI82" i="19"/>
  <c r="AI78" i="19"/>
  <c r="AI74" i="19"/>
  <c r="AL74" i="19" s="1"/>
  <c r="AS74" i="19" s="1" a="1"/>
  <c r="AS74" i="19" s="1"/>
  <c r="AW74" i="19" s="1"/>
  <c r="AI69" i="19"/>
  <c r="AI67" i="19"/>
  <c r="AL67" i="19" s="1"/>
  <c r="AS67" i="19" s="1" a="1"/>
  <c r="AS67" i="19" s="1"/>
  <c r="AW67" i="19" s="1"/>
  <c r="AI62" i="19"/>
  <c r="AL62" i="19" s="1"/>
  <c r="AS62" i="19" s="1" a="1"/>
  <c r="AS62" i="19" s="1"/>
  <c r="AW62" i="19" s="1"/>
  <c r="AI54" i="19"/>
  <c r="AI14" i="19"/>
  <c r="AI89" i="19"/>
  <c r="AI85" i="19"/>
  <c r="AI81" i="19"/>
  <c r="AI77" i="19"/>
  <c r="AI64" i="19"/>
  <c r="AL64" i="19" s="1"/>
  <c r="AS64" i="19" s="1" a="1"/>
  <c r="AS64" i="19" s="1"/>
  <c r="AW64" i="19" s="1"/>
  <c r="AI56" i="19"/>
  <c r="AL56" i="19" s="1"/>
  <c r="AS56" i="19" s="1" a="1"/>
  <c r="AS56" i="19" s="1"/>
  <c r="AW56" i="19" s="1"/>
  <c r="AF93" i="19"/>
  <c r="AR36" i="19"/>
  <c r="AI80" i="19"/>
  <c r="Y36" i="19"/>
  <c r="AI7" i="19"/>
  <c r="AP12" i="19"/>
  <c r="AI38" i="19"/>
  <c r="AP60" i="19"/>
  <c r="AN60" i="19"/>
  <c r="AT60" i="19" s="1"/>
  <c r="AB60" i="19"/>
  <c r="AB78" i="19"/>
  <c r="AP78" i="19"/>
  <c r="AN78" i="19"/>
  <c r="AT78" i="19" s="1"/>
  <c r="P78" i="19"/>
  <c r="AB84" i="19"/>
  <c r="AL84" i="19" s="1"/>
  <c r="AS84" i="19" s="1" a="1"/>
  <c r="AS84" i="19" s="1"/>
  <c r="AW84" i="19" s="1"/>
  <c r="AP84" i="19"/>
  <c r="AN84" i="19"/>
  <c r="AT84" i="19" s="1"/>
  <c r="P84" i="19"/>
  <c r="AP57" i="19"/>
  <c r="AN57" i="19"/>
  <c r="AT57" i="19" s="1"/>
  <c r="P57" i="19"/>
  <c r="J91" i="19"/>
  <c r="AD54" i="19"/>
  <c r="AI59" i="19"/>
  <c r="P6" i="19"/>
  <c r="AI6" i="19"/>
  <c r="P14" i="19"/>
  <c r="AB14" i="19"/>
  <c r="AN14" i="19"/>
  <c r="AI41" i="19"/>
  <c r="AL41" i="19" s="1"/>
  <c r="AS41" i="19" s="1" a="1"/>
  <c r="AS41" i="19" s="1"/>
  <c r="AW41" i="19" s="1"/>
  <c r="AB57" i="19"/>
  <c r="AI58" i="19"/>
  <c r="AB61" i="19"/>
  <c r="AI63" i="19"/>
  <c r="AP65" i="19"/>
  <c r="AN65" i="19"/>
  <c r="AT65" i="19" s="1"/>
  <c r="P65" i="19"/>
  <c r="AP73" i="19"/>
  <c r="AN73" i="19"/>
  <c r="AT73" i="19" s="1"/>
  <c r="P73" i="19"/>
  <c r="AI76" i="19"/>
  <c r="S91" i="19"/>
  <c r="AB54" i="19"/>
  <c r="AP58" i="19"/>
  <c r="AN58" i="19"/>
  <c r="AT58" i="19" s="1"/>
  <c r="AP66" i="19"/>
  <c r="AN66" i="19"/>
  <c r="AT66" i="19" s="1"/>
  <c r="AP68" i="19"/>
  <c r="AN68" i="19"/>
  <c r="AT68" i="19" s="1"/>
  <c r="AP70" i="19"/>
  <c r="AN70" i="19"/>
  <c r="AT70" i="19" s="1"/>
  <c r="AB88" i="19"/>
  <c r="AP88" i="19"/>
  <c r="AN88" i="19"/>
  <c r="AT88" i="19" s="1"/>
  <c r="Y91" i="19"/>
  <c r="AD91" i="19" s="1"/>
  <c r="AN38" i="19"/>
  <c r="AP56" i="19"/>
  <c r="AN56" i="19"/>
  <c r="AT56" i="19" s="1"/>
  <c r="AP64" i="19"/>
  <c r="AN64" i="19"/>
  <c r="AT64" i="19" s="1"/>
  <c r="AB55" i="19"/>
  <c r="AL55" i="19" s="1"/>
  <c r="AS55" i="19" s="1" a="1"/>
  <c r="AS55" i="19" s="1"/>
  <c r="AW55" i="19" s="1"/>
  <c r="AP59" i="19"/>
  <c r="AN59" i="19"/>
  <c r="AT59" i="19" s="1"/>
  <c r="AB63" i="19"/>
  <c r="AL63" i="19" s="1"/>
  <c r="AS63" i="19" s="1" a="1"/>
  <c r="AS63" i="19" s="1"/>
  <c r="AW63" i="19" s="1"/>
  <c r="AP71" i="19"/>
  <c r="AN71" i="19"/>
  <c r="AT71" i="19" s="1"/>
  <c r="AB77" i="19"/>
  <c r="AP77" i="19"/>
  <c r="AN77" i="19"/>
  <c r="AT77" i="19" s="1"/>
  <c r="AB81" i="19"/>
  <c r="AP81" i="19"/>
  <c r="AN81" i="19"/>
  <c r="AT81" i="19" s="1"/>
  <c r="AB85" i="19"/>
  <c r="AP85" i="19"/>
  <c r="AN85" i="19"/>
  <c r="AT85" i="19" s="1"/>
  <c r="AB89" i="19"/>
  <c r="AP89" i="19"/>
  <c r="AN89" i="19"/>
  <c r="AT89" i="19" s="1"/>
  <c r="AP54" i="19"/>
  <c r="AN54" i="19"/>
  <c r="AT54" i="19" s="1"/>
  <c r="AB58" i="19"/>
  <c r="AP62" i="19"/>
  <c r="AN62" i="19"/>
  <c r="AT62" i="19" s="1"/>
  <c r="AB66" i="19"/>
  <c r="AL66" i="19" s="1"/>
  <c r="AS66" i="19" s="1" a="1"/>
  <c r="AS66" i="19" s="1"/>
  <c r="AW66" i="19" s="1"/>
  <c r="AP67" i="19"/>
  <c r="AN67" i="19"/>
  <c r="AT67" i="19" s="1"/>
  <c r="AB68" i="19"/>
  <c r="AP69" i="19"/>
  <c r="AN69" i="19"/>
  <c r="AT69" i="19" s="1"/>
  <c r="AB70" i="19"/>
  <c r="AP74" i="19"/>
  <c r="AN74" i="19"/>
  <c r="AT74" i="19" s="1"/>
  <c r="AP55" i="19"/>
  <c r="AN55" i="19"/>
  <c r="AT55" i="19" s="1"/>
  <c r="AB59" i="19"/>
  <c r="AP63" i="19"/>
  <c r="AN63" i="19"/>
  <c r="AT63" i="19" s="1"/>
  <c r="AB75" i="19"/>
  <c r="AP75" i="19"/>
  <c r="AN75" i="19"/>
  <c r="AT75" i="19" s="1"/>
  <c r="AB79" i="19"/>
  <c r="AL79" i="19" s="1"/>
  <c r="AS79" i="19" s="1" a="1"/>
  <c r="AS79" i="19" s="1"/>
  <c r="AW79" i="19" s="1"/>
  <c r="AP79" i="19"/>
  <c r="AN79" i="19"/>
  <c r="AT79" i="19" s="1"/>
  <c r="AB83" i="19"/>
  <c r="AP83" i="19"/>
  <c r="AN83" i="19"/>
  <c r="AT83" i="19" s="1"/>
  <c r="AB87" i="19"/>
  <c r="AP87" i="19"/>
  <c r="AN87" i="19"/>
  <c r="AT87" i="19" s="1"/>
  <c r="Q4" i="3"/>
  <c r="M11" i="27" l="1"/>
  <c r="G11" i="27" s="1"/>
  <c r="L12" i="27"/>
  <c r="F11" i="27"/>
  <c r="E12" i="27"/>
  <c r="AL40" i="19"/>
  <c r="AS40" i="19" s="1" a="1"/>
  <c r="AS40" i="19" s="1"/>
  <c r="AW40" i="19" s="1"/>
  <c r="AL69" i="19"/>
  <c r="AS69" i="19" s="1" a="1"/>
  <c r="AS69" i="19" s="1"/>
  <c r="AW69" i="19" s="1"/>
  <c r="AL4" i="19"/>
  <c r="AL14" i="19"/>
  <c r="AL6" i="19"/>
  <c r="AP90" i="19"/>
  <c r="V93" i="19"/>
  <c r="AL12" i="19"/>
  <c r="AS12" i="19" s="1" a="1"/>
  <c r="AS12" i="19" s="1"/>
  <c r="J17" i="21"/>
  <c r="K15" i="21" s="1"/>
  <c r="AS8" i="19" a="1"/>
  <c r="AS8" i="19" s="1"/>
  <c r="AW8" i="19" s="1"/>
  <c r="C5" i="21"/>
  <c r="AS4" i="19" a="1"/>
  <c r="AS4" i="19" s="1"/>
  <c r="AW4" i="19" s="1"/>
  <c r="C7" i="21"/>
  <c r="AS9" i="19" a="1"/>
  <c r="AS9" i="19" s="1"/>
  <c r="AU9" i="19" s="1"/>
  <c r="C6" i="21"/>
  <c r="AS14" i="19" a="1"/>
  <c r="AS14" i="19" s="1"/>
  <c r="AT14" i="19" s="1"/>
  <c r="C8" i="21"/>
  <c r="AS6" i="19" a="1"/>
  <c r="AS6" i="19" s="1"/>
  <c r="AT6" i="19" s="1"/>
  <c r="C15" i="21"/>
  <c r="AS10" i="19" a="1"/>
  <c r="AS10" i="19" s="1"/>
  <c r="AW10" i="19" s="1"/>
  <c r="C16" i="21"/>
  <c r="E11" i="26"/>
  <c r="F10" i="26"/>
  <c r="M9" i="26"/>
  <c r="G9" i="26" s="1"/>
  <c r="L10" i="26"/>
  <c r="AR93" i="19"/>
  <c r="W9" i="3"/>
  <c r="AT8" i="19"/>
  <c r="AT9" i="19"/>
  <c r="AL3" i="19"/>
  <c r="Z9" i="3"/>
  <c r="S93" i="19"/>
  <c r="AL11" i="19"/>
  <c r="AL15" i="19"/>
  <c r="AL68" i="19"/>
  <c r="AS68" i="19" s="1" a="1"/>
  <c r="AS68" i="19" s="1"/>
  <c r="AW68" i="19" s="1"/>
  <c r="AL58" i="19"/>
  <c r="AS58" i="19" s="1" a="1"/>
  <c r="AS58" i="19" s="1"/>
  <c r="AW58" i="19" s="1"/>
  <c r="AL85" i="19"/>
  <c r="AS85" i="19" s="1" a="1"/>
  <c r="AS85" i="19" s="1"/>
  <c r="AW85" i="19" s="1"/>
  <c r="AL61" i="19"/>
  <c r="AS61" i="19" s="1" a="1"/>
  <c r="AS61" i="19" s="1"/>
  <c r="AW61" i="19" s="1"/>
  <c r="AL59" i="19"/>
  <c r="AS59" i="19" s="1" a="1"/>
  <c r="AS59" i="19" s="1"/>
  <c r="AW59" i="19" s="1"/>
  <c r="AU8" i="19"/>
  <c r="AL88" i="19"/>
  <c r="AS88" i="19" s="1" a="1"/>
  <c r="AS88" i="19" s="1"/>
  <c r="AW88" i="19" s="1"/>
  <c r="AL77" i="19"/>
  <c r="AS77" i="19" s="1" a="1"/>
  <c r="AS77" i="19" s="1"/>
  <c r="AW77" i="19" s="1"/>
  <c r="AL7" i="19"/>
  <c r="AL82" i="19"/>
  <c r="AS82" i="19" s="1" a="1"/>
  <c r="AS82" i="19" s="1"/>
  <c r="AW82" i="19" s="1"/>
  <c r="AL87" i="19"/>
  <c r="AS87" i="19" s="1" a="1"/>
  <c r="AS87" i="19" s="1"/>
  <c r="AW87" i="19" s="1"/>
  <c r="AI36" i="19"/>
  <c r="AL57" i="19"/>
  <c r="AS57" i="19" s="1" a="1"/>
  <c r="AS57" i="19" s="1"/>
  <c r="AW57" i="19" s="1"/>
  <c r="AL54" i="19"/>
  <c r="AS54" i="19" s="1" a="1"/>
  <c r="AS54" i="19" s="1"/>
  <c r="AW54" i="19" s="1"/>
  <c r="AL76" i="19"/>
  <c r="AS76" i="19" s="1" a="1"/>
  <c r="AS76" i="19" s="1"/>
  <c r="AW76" i="19" s="1"/>
  <c r="AL60" i="19"/>
  <c r="AS60" i="19" s="1" a="1"/>
  <c r="AS60" i="19" s="1"/>
  <c r="AW60" i="19" s="1"/>
  <c r="K73" i="21"/>
  <c r="L21" i="21"/>
  <c r="M21" i="21" s="1"/>
  <c r="E22" i="21"/>
  <c r="F21" i="21"/>
  <c r="L22" i="21"/>
  <c r="M22" i="21" s="1"/>
  <c r="AW14" i="19"/>
  <c r="AW6" i="19"/>
  <c r="AU6" i="19"/>
  <c r="AN90" i="19"/>
  <c r="AT38" i="19"/>
  <c r="AT90" i="19" s="1"/>
  <c r="AB91" i="19"/>
  <c r="J93" i="19"/>
  <c r="Y93" i="19"/>
  <c r="AD36" i="19"/>
  <c r="AL70" i="19"/>
  <c r="AS70" i="19" s="1" a="1"/>
  <c r="AS70" i="19" s="1"/>
  <c r="AW70" i="19" s="1"/>
  <c r="AL75" i="19"/>
  <c r="AS75" i="19" s="1" a="1"/>
  <c r="AS75" i="19" s="1"/>
  <c r="AW75" i="19" s="1"/>
  <c r="AL72" i="19"/>
  <c r="AS72" i="19" s="1" a="1"/>
  <c r="AS72" i="19" s="1"/>
  <c r="AW72" i="19" s="1"/>
  <c r="AL86" i="19"/>
  <c r="AS86" i="19" s="1" a="1"/>
  <c r="AS86" i="19" s="1"/>
  <c r="AW86" i="19" s="1"/>
  <c r="AL83" i="19"/>
  <c r="AS83" i="19" s="1" a="1"/>
  <c r="AS83" i="19" s="1"/>
  <c r="AW83" i="19" s="1"/>
  <c r="AL78" i="19"/>
  <c r="AS78" i="19" s="1" a="1"/>
  <c r="AS78" i="19" s="1"/>
  <c r="AW78" i="19" s="1"/>
  <c r="AL53" i="19"/>
  <c r="AS53" i="19" s="1" a="1"/>
  <c r="AS53" i="19" s="1"/>
  <c r="AW53" i="19" s="1"/>
  <c r="AL13" i="19"/>
  <c r="AL81" i="19"/>
  <c r="AS81" i="19" s="1" a="1"/>
  <c r="AS81" i="19" s="1"/>
  <c r="AW81" i="19" s="1"/>
  <c r="AL89" i="19"/>
  <c r="AS89" i="19" s="1" a="1"/>
  <c r="AS89" i="19" s="1"/>
  <c r="AW89" i="19" s="1"/>
  <c r="AI91" i="19"/>
  <c r="AL38" i="19"/>
  <c r="AL80" i="19"/>
  <c r="AS80" i="19" s="1" a="1"/>
  <c r="AS80" i="19" s="1"/>
  <c r="AW80" i="19" s="1"/>
  <c r="AL5" i="19"/>
  <c r="AB36" i="19"/>
  <c r="AB93" i="19" s="1"/>
  <c r="P9" i="3" s="1"/>
  <c r="J11" i="14"/>
  <c r="J12" i="14"/>
  <c r="J7" i="14"/>
  <c r="J13" i="14"/>
  <c r="J5" i="14"/>
  <c r="J6" i="14"/>
  <c r="J14" i="14"/>
  <c r="J15" i="14"/>
  <c r="J8" i="14"/>
  <c r="J9" i="14"/>
  <c r="J16" i="14"/>
  <c r="J10" i="14"/>
  <c r="J4" i="14"/>
  <c r="C14" i="14"/>
  <c r="C15" i="14"/>
  <c r="C6" i="14"/>
  <c r="C16" i="14"/>
  <c r="C5" i="14"/>
  <c r="C7" i="14"/>
  <c r="C13" i="14"/>
  <c r="C11" i="14"/>
  <c r="C9" i="14"/>
  <c r="C10" i="14"/>
  <c r="C12" i="14"/>
  <c r="C8" i="14"/>
  <c r="C4" i="14"/>
  <c r="J11" i="18"/>
  <c r="J12" i="18"/>
  <c r="J6" i="18"/>
  <c r="J13" i="18"/>
  <c r="J4" i="18"/>
  <c r="J7" i="18"/>
  <c r="J17" i="18" s="1"/>
  <c r="K12" i="18" s="1"/>
  <c r="J14" i="18"/>
  <c r="J15" i="18"/>
  <c r="J16" i="18"/>
  <c r="J8" i="18"/>
  <c r="J9" i="18"/>
  <c r="J10" i="18"/>
  <c r="J5" i="18"/>
  <c r="C15" i="18"/>
  <c r="C13" i="18"/>
  <c r="C9" i="18"/>
  <c r="C14" i="18"/>
  <c r="C4" i="18"/>
  <c r="C16" i="18"/>
  <c r="C11" i="18"/>
  <c r="C10" i="18"/>
  <c r="C12" i="18"/>
  <c r="C7" i="18"/>
  <c r="C8" i="18"/>
  <c r="C6" i="18"/>
  <c r="C5" i="18"/>
  <c r="J9" i="17"/>
  <c r="J10" i="17"/>
  <c r="J6" i="17"/>
  <c r="J11" i="17"/>
  <c r="J4" i="17"/>
  <c r="J7" i="17"/>
  <c r="J12" i="17"/>
  <c r="J8" i="17"/>
  <c r="J13" i="17"/>
  <c r="J14" i="17"/>
  <c r="J15" i="17"/>
  <c r="J16" i="17"/>
  <c r="J5" i="17"/>
  <c r="C13" i="17"/>
  <c r="C16" i="17"/>
  <c r="C5" i="17"/>
  <c r="C14" i="17"/>
  <c r="C4" i="17"/>
  <c r="C15" i="17"/>
  <c r="C10" i="17"/>
  <c r="C7" i="17"/>
  <c r="C11" i="17"/>
  <c r="C8" i="17"/>
  <c r="C12" i="17"/>
  <c r="C9" i="17"/>
  <c r="C6" i="17"/>
  <c r="J73" i="18"/>
  <c r="K66" i="18" s="1"/>
  <c r="C73" i="18"/>
  <c r="D70" i="18" s="1"/>
  <c r="G72" i="18"/>
  <c r="D72" i="18"/>
  <c r="G71" i="18"/>
  <c r="D71" i="18"/>
  <c r="K70" i="18"/>
  <c r="G70" i="18"/>
  <c r="K69" i="18"/>
  <c r="G69" i="18"/>
  <c r="D69" i="18"/>
  <c r="K68" i="18"/>
  <c r="G68" i="18"/>
  <c r="D68" i="18"/>
  <c r="K67" i="18"/>
  <c r="G67" i="18"/>
  <c r="D67" i="18"/>
  <c r="G66" i="18"/>
  <c r="D66" i="18"/>
  <c r="K65" i="18"/>
  <c r="G65" i="18"/>
  <c r="D65" i="18"/>
  <c r="K64" i="18"/>
  <c r="G64" i="18"/>
  <c r="D64" i="18"/>
  <c r="K63" i="18"/>
  <c r="G63" i="18"/>
  <c r="D63" i="18"/>
  <c r="K62" i="18"/>
  <c r="G62" i="18"/>
  <c r="D62" i="18"/>
  <c r="K61" i="18"/>
  <c r="G61" i="18"/>
  <c r="D61" i="18"/>
  <c r="K60" i="18"/>
  <c r="G60" i="18"/>
  <c r="D60" i="18"/>
  <c r="K59" i="18"/>
  <c r="G59" i="18"/>
  <c r="D59" i="18"/>
  <c r="K58" i="18"/>
  <c r="G58" i="18"/>
  <c r="D58" i="18"/>
  <c r="K57" i="18"/>
  <c r="G57" i="18"/>
  <c r="D57" i="18"/>
  <c r="K56" i="18"/>
  <c r="G56" i="18"/>
  <c r="D56" i="18"/>
  <c r="K55" i="18"/>
  <c r="G55" i="18"/>
  <c r="D55" i="18"/>
  <c r="K54" i="18"/>
  <c r="G54" i="18"/>
  <c r="D54" i="18"/>
  <c r="K53" i="18"/>
  <c r="G53" i="18"/>
  <c r="D53" i="18"/>
  <c r="K52" i="18"/>
  <c r="G52" i="18"/>
  <c r="D52" i="18"/>
  <c r="K51" i="18"/>
  <c r="G51" i="18"/>
  <c r="D51" i="18"/>
  <c r="K50" i="18"/>
  <c r="G50" i="18"/>
  <c r="D50" i="18"/>
  <c r="K49" i="18"/>
  <c r="G49" i="18"/>
  <c r="D49" i="18"/>
  <c r="K48" i="18"/>
  <c r="G48" i="18"/>
  <c r="D48" i="18"/>
  <c r="K47" i="18"/>
  <c r="G47" i="18"/>
  <c r="D47" i="18"/>
  <c r="K46" i="18"/>
  <c r="G46" i="18"/>
  <c r="D46" i="18"/>
  <c r="K45" i="18"/>
  <c r="G45" i="18"/>
  <c r="D45" i="18"/>
  <c r="K44" i="18"/>
  <c r="G44" i="18"/>
  <c r="D44" i="18"/>
  <c r="K43" i="18"/>
  <c r="G43" i="18"/>
  <c r="D43" i="18"/>
  <c r="K42" i="18"/>
  <c r="G42" i="18"/>
  <c r="D42" i="18"/>
  <c r="K41" i="18"/>
  <c r="G41" i="18"/>
  <c r="D41" i="18"/>
  <c r="K40" i="18"/>
  <c r="G40" i="18"/>
  <c r="D40" i="18"/>
  <c r="K39" i="18"/>
  <c r="G39" i="18"/>
  <c r="D39" i="18"/>
  <c r="K38" i="18"/>
  <c r="G38" i="18"/>
  <c r="D38" i="18"/>
  <c r="K37" i="18"/>
  <c r="G37" i="18"/>
  <c r="D37" i="18"/>
  <c r="K36" i="18"/>
  <c r="G36" i="18"/>
  <c r="D36" i="18"/>
  <c r="K35" i="18"/>
  <c r="G35" i="18"/>
  <c r="D35" i="18"/>
  <c r="K34" i="18"/>
  <c r="G34" i="18"/>
  <c r="D34" i="18"/>
  <c r="K33" i="18"/>
  <c r="G33" i="18"/>
  <c r="D33" i="18"/>
  <c r="K32" i="18"/>
  <c r="G32" i="18"/>
  <c r="D32" i="18"/>
  <c r="K31" i="18"/>
  <c r="G31" i="18"/>
  <c r="D31" i="18"/>
  <c r="K30" i="18"/>
  <c r="G30" i="18"/>
  <c r="D30" i="18"/>
  <c r="K29" i="18"/>
  <c r="G29" i="18"/>
  <c r="D29" i="18"/>
  <c r="K28" i="18"/>
  <c r="G28" i="18"/>
  <c r="D28" i="18"/>
  <c r="K27" i="18"/>
  <c r="G27" i="18"/>
  <c r="D27" i="18"/>
  <c r="K26" i="18"/>
  <c r="G26" i="18"/>
  <c r="D26" i="18"/>
  <c r="K25" i="18"/>
  <c r="G25" i="18"/>
  <c r="D25" i="18"/>
  <c r="K24" i="18"/>
  <c r="G24" i="18"/>
  <c r="D24" i="18"/>
  <c r="K23" i="18"/>
  <c r="G23" i="18"/>
  <c r="D23" i="18"/>
  <c r="K22" i="18"/>
  <c r="L22" i="18" s="1"/>
  <c r="G22" i="18"/>
  <c r="D22" i="18"/>
  <c r="L21" i="18"/>
  <c r="M21" i="18" s="1"/>
  <c r="K21" i="18"/>
  <c r="K73" i="18" s="1"/>
  <c r="G21" i="18"/>
  <c r="D21" i="18"/>
  <c r="D73" i="18" s="1"/>
  <c r="J73" i="17"/>
  <c r="K66" i="17" s="1"/>
  <c r="C73" i="17"/>
  <c r="G72" i="17"/>
  <c r="D72" i="17"/>
  <c r="G71" i="17"/>
  <c r="D71" i="17"/>
  <c r="G70" i="17"/>
  <c r="D70" i="17"/>
  <c r="G69" i="17"/>
  <c r="D69" i="17"/>
  <c r="K68" i="17"/>
  <c r="G68" i="17"/>
  <c r="D68" i="17"/>
  <c r="K67" i="17"/>
  <c r="G67" i="17"/>
  <c r="D67" i="17"/>
  <c r="G66" i="17"/>
  <c r="D66" i="17"/>
  <c r="K65" i="17"/>
  <c r="G65" i="17"/>
  <c r="D65" i="17"/>
  <c r="K64" i="17"/>
  <c r="G64" i="17"/>
  <c r="D64" i="17"/>
  <c r="G63" i="17"/>
  <c r="D63" i="17"/>
  <c r="G62" i="17"/>
  <c r="D62" i="17"/>
  <c r="G61" i="17"/>
  <c r="D61" i="17"/>
  <c r="K60" i="17"/>
  <c r="G60" i="17"/>
  <c r="D60" i="17"/>
  <c r="K59" i="17"/>
  <c r="G59" i="17"/>
  <c r="D59" i="17"/>
  <c r="G58" i="17"/>
  <c r="D58" i="17"/>
  <c r="K57" i="17"/>
  <c r="G57" i="17"/>
  <c r="D57" i="17"/>
  <c r="K56" i="17"/>
  <c r="G56" i="17"/>
  <c r="D56" i="17"/>
  <c r="G55" i="17"/>
  <c r="D55" i="17"/>
  <c r="G54" i="17"/>
  <c r="D54" i="17"/>
  <c r="G53" i="17"/>
  <c r="D53" i="17"/>
  <c r="K52" i="17"/>
  <c r="G52" i="17"/>
  <c r="D52" i="17"/>
  <c r="K51" i="17"/>
  <c r="G51" i="17"/>
  <c r="D51" i="17"/>
  <c r="G50" i="17"/>
  <c r="D50" i="17"/>
  <c r="K49" i="17"/>
  <c r="G49" i="17"/>
  <c r="D49" i="17"/>
  <c r="K48" i="17"/>
  <c r="G48" i="17"/>
  <c r="D48" i="17"/>
  <c r="G47" i="17"/>
  <c r="D47" i="17"/>
  <c r="G46" i="17"/>
  <c r="D46" i="17"/>
  <c r="G45" i="17"/>
  <c r="D45" i="17"/>
  <c r="K44" i="17"/>
  <c r="G44" i="17"/>
  <c r="D44" i="17"/>
  <c r="K43" i="17"/>
  <c r="G43" i="17"/>
  <c r="D43" i="17"/>
  <c r="G42" i="17"/>
  <c r="D42" i="17"/>
  <c r="K41" i="17"/>
  <c r="G41" i="17"/>
  <c r="D41" i="17"/>
  <c r="K40" i="17"/>
  <c r="G40" i="17"/>
  <c r="D40" i="17"/>
  <c r="G39" i="17"/>
  <c r="D39" i="17"/>
  <c r="G38" i="17"/>
  <c r="D38" i="17"/>
  <c r="G37" i="17"/>
  <c r="D37" i="17"/>
  <c r="K36" i="17"/>
  <c r="G36" i="17"/>
  <c r="D36" i="17"/>
  <c r="K35" i="17"/>
  <c r="G35" i="17"/>
  <c r="D35" i="17"/>
  <c r="G34" i="17"/>
  <c r="D34" i="17"/>
  <c r="K33" i="17"/>
  <c r="G33" i="17"/>
  <c r="D33" i="17"/>
  <c r="K32" i="17"/>
  <c r="G32" i="17"/>
  <c r="D32" i="17"/>
  <c r="G31" i="17"/>
  <c r="D31" i="17"/>
  <c r="G30" i="17"/>
  <c r="D30" i="17"/>
  <c r="G29" i="17"/>
  <c r="D29" i="17"/>
  <c r="K28" i="17"/>
  <c r="G28" i="17"/>
  <c r="D28" i="17"/>
  <c r="K27" i="17"/>
  <c r="G27" i="17"/>
  <c r="D27" i="17"/>
  <c r="G26" i="17"/>
  <c r="D26" i="17"/>
  <c r="K25" i="17"/>
  <c r="G25" i="17"/>
  <c r="D25" i="17"/>
  <c r="K24" i="17"/>
  <c r="G24" i="17"/>
  <c r="D24" i="17"/>
  <c r="G23" i="17"/>
  <c r="D23" i="17"/>
  <c r="G22" i="17"/>
  <c r="D22" i="17"/>
  <c r="G21" i="17"/>
  <c r="D21" i="17"/>
  <c r="D73" i="17" s="1"/>
  <c r="J73" i="16"/>
  <c r="C73" i="16"/>
  <c r="D70" i="16" s="1"/>
  <c r="K72" i="16"/>
  <c r="G72" i="16"/>
  <c r="K71" i="16"/>
  <c r="G71" i="16"/>
  <c r="K70" i="16"/>
  <c r="G70" i="16"/>
  <c r="K69" i="16"/>
  <c r="G69" i="16"/>
  <c r="D69" i="16"/>
  <c r="K68" i="16"/>
  <c r="G68" i="16"/>
  <c r="D68" i="16"/>
  <c r="K67" i="16"/>
  <c r="G67" i="16"/>
  <c r="K66" i="16"/>
  <c r="G66" i="16"/>
  <c r="D66" i="16"/>
  <c r="K65" i="16"/>
  <c r="G65" i="16"/>
  <c r="D65" i="16"/>
  <c r="K64" i="16"/>
  <c r="G64" i="16"/>
  <c r="K63" i="16"/>
  <c r="G63" i="16"/>
  <c r="K62" i="16"/>
  <c r="G62" i="16"/>
  <c r="K61" i="16"/>
  <c r="G61" i="16"/>
  <c r="D61" i="16"/>
  <c r="K60" i="16"/>
  <c r="G60" i="16"/>
  <c r="D60" i="16"/>
  <c r="K59" i="16"/>
  <c r="G59" i="16"/>
  <c r="K58" i="16"/>
  <c r="G58" i="16"/>
  <c r="D58" i="16"/>
  <c r="K57" i="16"/>
  <c r="G57" i="16"/>
  <c r="D57" i="16"/>
  <c r="K56" i="16"/>
  <c r="G56" i="16"/>
  <c r="K55" i="16"/>
  <c r="G55" i="16"/>
  <c r="K54" i="16"/>
  <c r="G54" i="16"/>
  <c r="K53" i="16"/>
  <c r="G53" i="16"/>
  <c r="D53" i="16"/>
  <c r="K52" i="16"/>
  <c r="G52" i="16"/>
  <c r="D52" i="16"/>
  <c r="K51" i="16"/>
  <c r="G51" i="16"/>
  <c r="K50" i="16"/>
  <c r="G50" i="16"/>
  <c r="D50" i="16"/>
  <c r="K49" i="16"/>
  <c r="G49" i="16"/>
  <c r="D49" i="16"/>
  <c r="K48" i="16"/>
  <c r="G48" i="16"/>
  <c r="K47" i="16"/>
  <c r="G47" i="16"/>
  <c r="K46" i="16"/>
  <c r="G46" i="16"/>
  <c r="K45" i="16"/>
  <c r="G45" i="16"/>
  <c r="D45" i="16"/>
  <c r="K44" i="16"/>
  <c r="G44" i="16"/>
  <c r="D44" i="16"/>
  <c r="K43" i="16"/>
  <c r="G43" i="16"/>
  <c r="K42" i="16"/>
  <c r="G42" i="16"/>
  <c r="D42" i="16"/>
  <c r="K41" i="16"/>
  <c r="G41" i="16"/>
  <c r="D41" i="16"/>
  <c r="K40" i="16"/>
  <c r="G40" i="16"/>
  <c r="K39" i="16"/>
  <c r="G39" i="16"/>
  <c r="K38" i="16"/>
  <c r="G38" i="16"/>
  <c r="K37" i="16"/>
  <c r="G37" i="16"/>
  <c r="D37" i="16"/>
  <c r="K36" i="16"/>
  <c r="G36" i="16"/>
  <c r="D36" i="16"/>
  <c r="K35" i="16"/>
  <c r="G35" i="16"/>
  <c r="K34" i="16"/>
  <c r="G34" i="16"/>
  <c r="D34" i="16"/>
  <c r="K33" i="16"/>
  <c r="G33" i="16"/>
  <c r="D33" i="16"/>
  <c r="K32" i="16"/>
  <c r="G32" i="16"/>
  <c r="K31" i="16"/>
  <c r="G31" i="16"/>
  <c r="K30" i="16"/>
  <c r="G30" i="16"/>
  <c r="K29" i="16"/>
  <c r="G29" i="16"/>
  <c r="D29" i="16"/>
  <c r="K28" i="16"/>
  <c r="G28" i="16"/>
  <c r="D28" i="16"/>
  <c r="K27" i="16"/>
  <c r="G27" i="16"/>
  <c r="K26" i="16"/>
  <c r="G26" i="16"/>
  <c r="D26" i="16"/>
  <c r="K25" i="16"/>
  <c r="G25" i="16"/>
  <c r="D25" i="16"/>
  <c r="K24" i="16"/>
  <c r="G24" i="16"/>
  <c r="K23" i="16"/>
  <c r="G23" i="16"/>
  <c r="K22" i="16"/>
  <c r="G22" i="16"/>
  <c r="K21" i="16"/>
  <c r="K73" i="16" s="1"/>
  <c r="G21" i="16"/>
  <c r="D21" i="16"/>
  <c r="D73" i="16" s="1"/>
  <c r="J17" i="16"/>
  <c r="K11" i="16" s="1"/>
  <c r="K9" i="16"/>
  <c r="K8" i="16"/>
  <c r="K6" i="16"/>
  <c r="K5" i="16"/>
  <c r="K4" i="16"/>
  <c r="K73" i="15"/>
  <c r="J73" i="15"/>
  <c r="C73" i="15"/>
  <c r="D71" i="15" s="1"/>
  <c r="K72" i="15"/>
  <c r="G72" i="15"/>
  <c r="D72" i="15"/>
  <c r="K71" i="15"/>
  <c r="G71" i="15"/>
  <c r="K70" i="15"/>
  <c r="G70" i="15"/>
  <c r="D70" i="15"/>
  <c r="K69" i="15"/>
  <c r="G69" i="15"/>
  <c r="D69" i="15"/>
  <c r="K68" i="15"/>
  <c r="G68" i="15"/>
  <c r="D68" i="15"/>
  <c r="K67" i="15"/>
  <c r="G67" i="15"/>
  <c r="D67" i="15"/>
  <c r="K66" i="15"/>
  <c r="G66" i="15"/>
  <c r="D66" i="15"/>
  <c r="K65" i="15"/>
  <c r="G65" i="15"/>
  <c r="D65" i="15"/>
  <c r="K64" i="15"/>
  <c r="G64" i="15"/>
  <c r="D64" i="15"/>
  <c r="K63" i="15"/>
  <c r="G63" i="15"/>
  <c r="D63" i="15"/>
  <c r="K62" i="15"/>
  <c r="G62" i="15"/>
  <c r="D62" i="15"/>
  <c r="K61" i="15"/>
  <c r="G61" i="15"/>
  <c r="D61" i="15"/>
  <c r="K60" i="15"/>
  <c r="G60" i="15"/>
  <c r="D60" i="15"/>
  <c r="K59" i="15"/>
  <c r="G59" i="15"/>
  <c r="D59" i="15"/>
  <c r="K58" i="15"/>
  <c r="G58" i="15"/>
  <c r="D58" i="15"/>
  <c r="K57" i="15"/>
  <c r="G57" i="15"/>
  <c r="D57" i="15"/>
  <c r="K56" i="15"/>
  <c r="G56" i="15"/>
  <c r="D56" i="15"/>
  <c r="K55" i="15"/>
  <c r="G55" i="15"/>
  <c r="D55" i="15"/>
  <c r="K54" i="15"/>
  <c r="G54" i="15"/>
  <c r="D54" i="15"/>
  <c r="K53" i="15"/>
  <c r="G53" i="15"/>
  <c r="D53" i="15"/>
  <c r="K52" i="15"/>
  <c r="G52" i="15"/>
  <c r="D52" i="15"/>
  <c r="K51" i="15"/>
  <c r="G51" i="15"/>
  <c r="D51" i="15"/>
  <c r="K50" i="15"/>
  <c r="G50" i="15"/>
  <c r="D50" i="15"/>
  <c r="K49" i="15"/>
  <c r="G49" i="15"/>
  <c r="D49" i="15"/>
  <c r="K48" i="15"/>
  <c r="G48" i="15"/>
  <c r="D48" i="15"/>
  <c r="K47" i="15"/>
  <c r="G47" i="15"/>
  <c r="D47" i="15"/>
  <c r="K46" i="15"/>
  <c r="G46" i="15"/>
  <c r="D46" i="15"/>
  <c r="K45" i="15"/>
  <c r="G45" i="15"/>
  <c r="D45" i="15"/>
  <c r="K44" i="15"/>
  <c r="G44" i="15"/>
  <c r="D44" i="15"/>
  <c r="K43" i="15"/>
  <c r="G43" i="15"/>
  <c r="D43" i="15"/>
  <c r="K42" i="15"/>
  <c r="G42" i="15"/>
  <c r="D42" i="15"/>
  <c r="K41" i="15"/>
  <c r="G41" i="15"/>
  <c r="D41" i="15"/>
  <c r="K40" i="15"/>
  <c r="G40" i="15"/>
  <c r="D40" i="15"/>
  <c r="K39" i="15"/>
  <c r="G39" i="15"/>
  <c r="D39" i="15"/>
  <c r="K38" i="15"/>
  <c r="G38" i="15"/>
  <c r="D38" i="15"/>
  <c r="K37" i="15"/>
  <c r="G37" i="15"/>
  <c r="D37" i="15"/>
  <c r="K36" i="15"/>
  <c r="G36" i="15"/>
  <c r="D36" i="15"/>
  <c r="K35" i="15"/>
  <c r="G35" i="15"/>
  <c r="D35" i="15"/>
  <c r="K34" i="15"/>
  <c r="G34" i="15"/>
  <c r="D34" i="15"/>
  <c r="K33" i="15"/>
  <c r="G33" i="15"/>
  <c r="D33" i="15"/>
  <c r="K32" i="15"/>
  <c r="G32" i="15"/>
  <c r="D32" i="15"/>
  <c r="K31" i="15"/>
  <c r="G31" i="15"/>
  <c r="D31" i="15"/>
  <c r="K30" i="15"/>
  <c r="G30" i="15"/>
  <c r="D30" i="15"/>
  <c r="K29" i="15"/>
  <c r="G29" i="15"/>
  <c r="D29" i="15"/>
  <c r="K28" i="15"/>
  <c r="G28" i="15"/>
  <c r="D28" i="15"/>
  <c r="K27" i="15"/>
  <c r="G27" i="15"/>
  <c r="D27" i="15"/>
  <c r="K26" i="15"/>
  <c r="G26" i="15"/>
  <c r="D26" i="15"/>
  <c r="K25" i="15"/>
  <c r="G25" i="15"/>
  <c r="D25" i="15"/>
  <c r="K24" i="15"/>
  <c r="G24" i="15"/>
  <c r="D24" i="15"/>
  <c r="K23" i="15"/>
  <c r="G23" i="15"/>
  <c r="D23" i="15"/>
  <c r="K22" i="15"/>
  <c r="L22" i="15" s="1"/>
  <c r="G22" i="15"/>
  <c r="D22" i="15"/>
  <c r="L21" i="15"/>
  <c r="M21" i="15" s="1"/>
  <c r="K21" i="15"/>
  <c r="G21" i="15"/>
  <c r="D21" i="15"/>
  <c r="D73" i="15" s="1"/>
  <c r="J17" i="15"/>
  <c r="K16" i="15" s="1"/>
  <c r="F12" i="27" l="1"/>
  <c r="E13" i="27"/>
  <c r="L13" i="27"/>
  <c r="M12" i="27"/>
  <c r="G12" i="27" s="1"/>
  <c r="AW12" i="19"/>
  <c r="AU12" i="19"/>
  <c r="C14" i="21"/>
  <c r="K9" i="21"/>
  <c r="K16" i="21"/>
  <c r="AT4" i="19"/>
  <c r="AU10" i="19"/>
  <c r="K14" i="21"/>
  <c r="K11" i="21"/>
  <c r="AW9" i="19"/>
  <c r="K5" i="21"/>
  <c r="K12" i="21"/>
  <c r="K7" i="21"/>
  <c r="K4" i="21"/>
  <c r="L4" i="21" s="1"/>
  <c r="M4" i="21" s="1"/>
  <c r="G4" i="21" s="1"/>
  <c r="K10" i="21"/>
  <c r="K13" i="21"/>
  <c r="K6" i="21"/>
  <c r="AU4" i="19"/>
  <c r="K8" i="21"/>
  <c r="AS5" i="19" a="1"/>
  <c r="AS5" i="19" s="1"/>
  <c r="AT5" i="19" s="1"/>
  <c r="C12" i="21"/>
  <c r="AS15" i="19" a="1"/>
  <c r="AS15" i="19" s="1"/>
  <c r="AW15" i="19" s="1"/>
  <c r="C13" i="21"/>
  <c r="AU14" i="19"/>
  <c r="F9" i="3"/>
  <c r="AS11" i="19" a="1"/>
  <c r="AS11" i="19" s="1"/>
  <c r="AW11" i="19" s="1"/>
  <c r="C9" i="21"/>
  <c r="AT10" i="19"/>
  <c r="AS7" i="19" a="1"/>
  <c r="AS7" i="19" s="1"/>
  <c r="AU7" i="19" s="1"/>
  <c r="C11" i="21"/>
  <c r="AS13" i="19" a="1"/>
  <c r="AS13" i="19" s="1"/>
  <c r="AT13" i="19" s="1"/>
  <c r="C10" i="21"/>
  <c r="AS3" i="19"/>
  <c r="AT3" i="19" s="1"/>
  <c r="C4" i="21"/>
  <c r="L11" i="26"/>
  <c r="M10" i="26"/>
  <c r="G10" i="26" s="1"/>
  <c r="E12" i="26"/>
  <c r="F11" i="26"/>
  <c r="AH9" i="3"/>
  <c r="AE9" i="3"/>
  <c r="K10" i="16"/>
  <c r="K12" i="16"/>
  <c r="K14" i="16"/>
  <c r="K7" i="16"/>
  <c r="K13" i="16"/>
  <c r="K15" i="16"/>
  <c r="K16" i="16"/>
  <c r="K11" i="15"/>
  <c r="K9" i="15"/>
  <c r="K10" i="15"/>
  <c r="K4" i="15"/>
  <c r="K12" i="15"/>
  <c r="K5" i="15"/>
  <c r="K13" i="15"/>
  <c r="K6" i="15"/>
  <c r="K14" i="15"/>
  <c r="K7" i="15"/>
  <c r="K15" i="15"/>
  <c r="K8" i="15"/>
  <c r="F22" i="21"/>
  <c r="E23" i="21"/>
  <c r="L5" i="21"/>
  <c r="L23" i="21"/>
  <c r="AA88" i="19"/>
  <c r="AA87" i="19"/>
  <c r="AA86" i="19"/>
  <c r="AA85" i="19"/>
  <c r="AA84" i="19"/>
  <c r="AA83" i="19"/>
  <c r="AA82" i="19"/>
  <c r="AA81" i="19"/>
  <c r="AA80" i="19"/>
  <c r="AA79" i="19"/>
  <c r="AA78" i="19"/>
  <c r="AA77" i="19"/>
  <c r="AA76" i="19"/>
  <c r="AA75" i="19"/>
  <c r="AA73" i="19"/>
  <c r="AA72" i="19"/>
  <c r="AA51" i="19"/>
  <c r="AA50" i="19"/>
  <c r="AA49" i="19"/>
  <c r="AA48" i="19"/>
  <c r="AA47" i="19"/>
  <c r="AA46" i="19"/>
  <c r="AA45" i="19"/>
  <c r="AA44" i="19"/>
  <c r="AA43" i="19"/>
  <c r="AA42" i="19"/>
  <c r="AA41" i="19"/>
  <c r="AA40" i="19"/>
  <c r="AA39" i="19"/>
  <c r="AA38" i="19"/>
  <c r="AA12" i="19"/>
  <c r="AA8" i="19"/>
  <c r="AA10" i="19"/>
  <c r="AA3" i="19"/>
  <c r="AA9" i="19"/>
  <c r="AA59" i="19"/>
  <c r="AA63" i="19"/>
  <c r="AA69" i="19"/>
  <c r="AA58" i="19"/>
  <c r="AA65" i="19"/>
  <c r="AA62" i="19"/>
  <c r="AA53" i="19"/>
  <c r="AA70" i="19"/>
  <c r="AA4" i="19"/>
  <c r="AA71" i="19"/>
  <c r="AA89" i="19"/>
  <c r="AA6" i="19"/>
  <c r="AA14" i="19"/>
  <c r="AD93" i="19"/>
  <c r="AA5" i="19"/>
  <c r="AA60" i="19"/>
  <c r="AA61" i="19"/>
  <c r="AA64" i="19"/>
  <c r="AA55" i="19"/>
  <c r="AA66" i="19"/>
  <c r="AA15" i="19"/>
  <c r="AA52" i="19"/>
  <c r="AA7" i="19"/>
  <c r="AA57" i="19"/>
  <c r="AA11" i="19"/>
  <c r="AA54" i="19"/>
  <c r="AA67" i="19"/>
  <c r="AA74" i="19"/>
  <c r="AA13" i="19"/>
  <c r="AA68" i="19"/>
  <c r="AA56" i="19"/>
  <c r="AW13" i="19"/>
  <c r="AU13" i="19"/>
  <c r="AL36" i="19"/>
  <c r="AW3" i="19"/>
  <c r="AU3" i="19"/>
  <c r="AL91" i="19"/>
  <c r="AS38" i="19" a="1"/>
  <c r="AS38" i="19" s="1"/>
  <c r="AW5" i="19"/>
  <c r="AU5" i="19"/>
  <c r="C17" i="18"/>
  <c r="K8" i="18"/>
  <c r="K7" i="18"/>
  <c r="K15" i="18"/>
  <c r="K16" i="18"/>
  <c r="K5" i="18"/>
  <c r="K13" i="18"/>
  <c r="K6" i="18"/>
  <c r="K14" i="18"/>
  <c r="K9" i="18"/>
  <c r="K10" i="18"/>
  <c r="K11" i="18"/>
  <c r="K4" i="18"/>
  <c r="L4" i="18" s="1"/>
  <c r="D14" i="18"/>
  <c r="D6" i="18"/>
  <c r="D11" i="18"/>
  <c r="D15" i="18"/>
  <c r="D13" i="18"/>
  <c r="D9" i="18"/>
  <c r="D5" i="18"/>
  <c r="D7" i="18"/>
  <c r="D16" i="18"/>
  <c r="D8" i="18"/>
  <c r="D4" i="18"/>
  <c r="E4" i="18" s="1"/>
  <c r="D12" i="18"/>
  <c r="D10" i="18"/>
  <c r="C17" i="17"/>
  <c r="D10" i="17" s="1"/>
  <c r="D16" i="17"/>
  <c r="D8" i="17"/>
  <c r="J17" i="17"/>
  <c r="K12" i="17" s="1"/>
  <c r="K10" i="17"/>
  <c r="K9" i="17"/>
  <c r="K4" i="17"/>
  <c r="L4" i="17" s="1"/>
  <c r="K11" i="17"/>
  <c r="D14" i="17"/>
  <c r="D15" i="17"/>
  <c r="D13" i="17"/>
  <c r="D11" i="17"/>
  <c r="D4" i="17"/>
  <c r="E4" i="17" s="1"/>
  <c r="D5" i="17"/>
  <c r="D6" i="17"/>
  <c r="D12" i="17"/>
  <c r="D7" i="17"/>
  <c r="D9" i="17"/>
  <c r="F4" i="18"/>
  <c r="M22" i="18"/>
  <c r="L23" i="18"/>
  <c r="M23" i="18" s="1"/>
  <c r="E21" i="18"/>
  <c r="K72" i="18"/>
  <c r="K71" i="18"/>
  <c r="F4" i="17"/>
  <c r="E5" i="17"/>
  <c r="K72" i="17"/>
  <c r="K7" i="17"/>
  <c r="K15" i="17"/>
  <c r="K23" i="17"/>
  <c r="K31" i="17"/>
  <c r="K39" i="17"/>
  <c r="K47" i="17"/>
  <c r="K55" i="17"/>
  <c r="K63" i="17"/>
  <c r="K71" i="17"/>
  <c r="K8" i="17"/>
  <c r="K16" i="17"/>
  <c r="E21" i="17"/>
  <c r="K6" i="17"/>
  <c r="K14" i="17"/>
  <c r="K22" i="17"/>
  <c r="K30" i="17"/>
  <c r="K38" i="17"/>
  <c r="K46" i="17"/>
  <c r="K54" i="17"/>
  <c r="K62" i="17"/>
  <c r="K70" i="17"/>
  <c r="K5" i="17"/>
  <c r="K13" i="17"/>
  <c r="K21" i="17"/>
  <c r="K29" i="17"/>
  <c r="K37" i="17"/>
  <c r="K45" i="17"/>
  <c r="K53" i="17"/>
  <c r="K61" i="17"/>
  <c r="K69" i="17"/>
  <c r="K26" i="17"/>
  <c r="K34" i="17"/>
  <c r="K42" i="17"/>
  <c r="K50" i="17"/>
  <c r="K58" i="17"/>
  <c r="L22" i="16"/>
  <c r="E21" i="16"/>
  <c r="F21" i="16" s="1"/>
  <c r="D27" i="16"/>
  <c r="D35" i="16"/>
  <c r="D43" i="16"/>
  <c r="D51" i="16"/>
  <c r="D59" i="16"/>
  <c r="D67" i="16"/>
  <c r="L21" i="16"/>
  <c r="M21" i="16" s="1"/>
  <c r="D24" i="16"/>
  <c r="D32" i="16"/>
  <c r="D40" i="16"/>
  <c r="D48" i="16"/>
  <c r="D56" i="16"/>
  <c r="D64" i="16"/>
  <c r="D72" i="16"/>
  <c r="L4" i="16"/>
  <c r="D23" i="16"/>
  <c r="D31" i="16"/>
  <c r="D39" i="16"/>
  <c r="D47" i="16"/>
  <c r="D55" i="16"/>
  <c r="D63" i="16"/>
  <c r="D71" i="16"/>
  <c r="D22" i="16"/>
  <c r="E22" i="16" s="1"/>
  <c r="F22" i="16" s="1"/>
  <c r="D30" i="16"/>
  <c r="D38" i="16"/>
  <c r="D46" i="16"/>
  <c r="D54" i="16"/>
  <c r="D62" i="16"/>
  <c r="E22" i="15"/>
  <c r="M22" i="15"/>
  <c r="L23" i="15"/>
  <c r="M23" i="15" s="1"/>
  <c r="E21" i="15"/>
  <c r="F21" i="15" s="1"/>
  <c r="J73" i="14"/>
  <c r="C73" i="14"/>
  <c r="K72" i="14"/>
  <c r="G72" i="14"/>
  <c r="D72" i="14"/>
  <c r="K71" i="14"/>
  <c r="G71" i="14"/>
  <c r="D71" i="14"/>
  <c r="K70" i="14"/>
  <c r="G70" i="14"/>
  <c r="D70" i="14"/>
  <c r="K69" i="14"/>
  <c r="G69" i="14"/>
  <c r="D69" i="14"/>
  <c r="K68" i="14"/>
  <c r="G68" i="14"/>
  <c r="D68" i="14"/>
  <c r="K67" i="14"/>
  <c r="G67" i="14"/>
  <c r="D67" i="14"/>
  <c r="K66" i="14"/>
  <c r="G66" i="14"/>
  <c r="D66" i="14"/>
  <c r="K65" i="14"/>
  <c r="G65" i="14"/>
  <c r="D65" i="14"/>
  <c r="K64" i="14"/>
  <c r="G64" i="14"/>
  <c r="D64" i="14"/>
  <c r="K63" i="14"/>
  <c r="G63" i="14"/>
  <c r="D63" i="14"/>
  <c r="K62" i="14"/>
  <c r="G62" i="14"/>
  <c r="D62" i="14"/>
  <c r="K61" i="14"/>
  <c r="G61" i="14"/>
  <c r="D61" i="14"/>
  <c r="K60" i="14"/>
  <c r="G60" i="14"/>
  <c r="D60" i="14"/>
  <c r="K59" i="14"/>
  <c r="G59" i="14"/>
  <c r="D59" i="14"/>
  <c r="K58" i="14"/>
  <c r="G58" i="14"/>
  <c r="D58" i="14"/>
  <c r="K57" i="14"/>
  <c r="G57" i="14"/>
  <c r="D57" i="14"/>
  <c r="K56" i="14"/>
  <c r="G56" i="14"/>
  <c r="D56" i="14"/>
  <c r="K55" i="14"/>
  <c r="G55" i="14"/>
  <c r="D55" i="14"/>
  <c r="K54" i="14"/>
  <c r="G54" i="14"/>
  <c r="D54" i="14"/>
  <c r="K53" i="14"/>
  <c r="G53" i="14"/>
  <c r="D53" i="14"/>
  <c r="K52" i="14"/>
  <c r="G52" i="14"/>
  <c r="D52" i="14"/>
  <c r="K51" i="14"/>
  <c r="G51" i="14"/>
  <c r="D51" i="14"/>
  <c r="K50" i="14"/>
  <c r="G50" i="14"/>
  <c r="D50" i="14"/>
  <c r="K49" i="14"/>
  <c r="G49" i="14"/>
  <c r="D49" i="14"/>
  <c r="K48" i="14"/>
  <c r="G48" i="14"/>
  <c r="D48" i="14"/>
  <c r="K47" i="14"/>
  <c r="G47" i="14"/>
  <c r="D47" i="14"/>
  <c r="K46" i="14"/>
  <c r="G46" i="14"/>
  <c r="D46" i="14"/>
  <c r="K45" i="14"/>
  <c r="G45" i="14"/>
  <c r="D45" i="14"/>
  <c r="K44" i="14"/>
  <c r="G44" i="14"/>
  <c r="D44" i="14"/>
  <c r="K43" i="14"/>
  <c r="G43" i="14"/>
  <c r="D43" i="14"/>
  <c r="K42" i="14"/>
  <c r="G42" i="14"/>
  <c r="D42" i="14"/>
  <c r="K41" i="14"/>
  <c r="G41" i="14"/>
  <c r="D41" i="14"/>
  <c r="K40" i="14"/>
  <c r="G40" i="14"/>
  <c r="D40" i="14"/>
  <c r="K39" i="14"/>
  <c r="G39" i="14"/>
  <c r="D39" i="14"/>
  <c r="K38" i="14"/>
  <c r="G38" i="14"/>
  <c r="D38" i="14"/>
  <c r="K37" i="14"/>
  <c r="G37" i="14"/>
  <c r="D37" i="14"/>
  <c r="K36" i="14"/>
  <c r="G36" i="14"/>
  <c r="D36" i="14"/>
  <c r="K35" i="14"/>
  <c r="G35" i="14"/>
  <c r="D35" i="14"/>
  <c r="K34" i="14"/>
  <c r="G34" i="14"/>
  <c r="D34" i="14"/>
  <c r="K33" i="14"/>
  <c r="G33" i="14"/>
  <c r="D33" i="14"/>
  <c r="K32" i="14"/>
  <c r="G32" i="14"/>
  <c r="D32" i="14"/>
  <c r="K31" i="14"/>
  <c r="G31" i="14"/>
  <c r="D31" i="14"/>
  <c r="K30" i="14"/>
  <c r="G30" i="14"/>
  <c r="D30" i="14"/>
  <c r="K29" i="14"/>
  <c r="G29" i="14"/>
  <c r="D29" i="14"/>
  <c r="K28" i="14"/>
  <c r="G28" i="14"/>
  <c r="D28" i="14"/>
  <c r="K27" i="14"/>
  <c r="G27" i="14"/>
  <c r="D27" i="14"/>
  <c r="K26" i="14"/>
  <c r="G26" i="14"/>
  <c r="D26" i="14"/>
  <c r="K25" i="14"/>
  <c r="G25" i="14"/>
  <c r="D25" i="14"/>
  <c r="K24" i="14"/>
  <c r="G24" i="14"/>
  <c r="D24" i="14"/>
  <c r="K23" i="14"/>
  <c r="G23" i="14"/>
  <c r="D23" i="14"/>
  <c r="K22" i="14"/>
  <c r="G22" i="14"/>
  <c r="D22" i="14"/>
  <c r="K21" i="14"/>
  <c r="K73" i="14" s="1"/>
  <c r="G21" i="14"/>
  <c r="D21" i="14"/>
  <c r="D73" i="14" s="1"/>
  <c r="S4" i="10"/>
  <c r="S5" i="10"/>
  <c r="S6" i="10"/>
  <c r="S7" i="10"/>
  <c r="S8" i="10"/>
  <c r="S9" i="10"/>
  <c r="S10" i="10"/>
  <c r="S11" i="10"/>
  <c r="S12" i="10"/>
  <c r="S13" i="10"/>
  <c r="S14" i="10"/>
  <c r="S15" i="10"/>
  <c r="S3" i="10"/>
  <c r="S4" i="12"/>
  <c r="S5" i="12"/>
  <c r="S6" i="12"/>
  <c r="S7" i="12"/>
  <c r="S8" i="12"/>
  <c r="S9" i="12"/>
  <c r="S10" i="12"/>
  <c r="S11" i="12"/>
  <c r="S12" i="12"/>
  <c r="S13" i="12"/>
  <c r="S14" i="12"/>
  <c r="S15" i="12"/>
  <c r="S3" i="12"/>
  <c r="S4" i="11"/>
  <c r="S5" i="11"/>
  <c r="S6" i="11"/>
  <c r="S7" i="11"/>
  <c r="S8" i="11"/>
  <c r="S9" i="11"/>
  <c r="S10" i="11"/>
  <c r="S11" i="11"/>
  <c r="S12" i="11"/>
  <c r="S13" i="11"/>
  <c r="S14" i="11"/>
  <c r="S15" i="11"/>
  <c r="S3" i="11"/>
  <c r="S4" i="8"/>
  <c r="S5" i="8"/>
  <c r="S6" i="8"/>
  <c r="S7" i="8"/>
  <c r="S8" i="8"/>
  <c r="S9" i="8"/>
  <c r="S10" i="8"/>
  <c r="S11" i="8"/>
  <c r="S12" i="8"/>
  <c r="S13" i="8"/>
  <c r="S14" i="8"/>
  <c r="S15" i="8"/>
  <c r="S3" i="8"/>
  <c r="S4" i="9"/>
  <c r="S5" i="9"/>
  <c r="S6" i="9"/>
  <c r="S7" i="9"/>
  <c r="S8" i="9"/>
  <c r="S9" i="9"/>
  <c r="S10" i="9"/>
  <c r="S11" i="9"/>
  <c r="S12" i="9"/>
  <c r="S13" i="9"/>
  <c r="S14" i="9"/>
  <c r="S15" i="9"/>
  <c r="S3" i="9"/>
  <c r="V15" i="12"/>
  <c r="V15" i="11"/>
  <c r="V15" i="8"/>
  <c r="V15" i="9"/>
  <c r="V15" i="10"/>
  <c r="Y8" i="3"/>
  <c r="S8" i="3"/>
  <c r="Y7" i="3"/>
  <c r="S7" i="3"/>
  <c r="AF3" i="13"/>
  <c r="AG3" i="13"/>
  <c r="AH3" i="13"/>
  <c r="AF4" i="13"/>
  <c r="AG4" i="13"/>
  <c r="AH4" i="13"/>
  <c r="AF5" i="13"/>
  <c r="AG5" i="13"/>
  <c r="AH5" i="13"/>
  <c r="AF6" i="13"/>
  <c r="AG6" i="13"/>
  <c r="AH6" i="13"/>
  <c r="AF7" i="13"/>
  <c r="AG7" i="13"/>
  <c r="AH7" i="13"/>
  <c r="AF8" i="13"/>
  <c r="AG8" i="13"/>
  <c r="AH8" i="13"/>
  <c r="AF9" i="13"/>
  <c r="AG9" i="13"/>
  <c r="AH9" i="13"/>
  <c r="AF10" i="13"/>
  <c r="AG10" i="13"/>
  <c r="AH10" i="13"/>
  <c r="AF11" i="13"/>
  <c r="AG11" i="13"/>
  <c r="AH11" i="13"/>
  <c r="AF12" i="13"/>
  <c r="AG12" i="13"/>
  <c r="AH12" i="13"/>
  <c r="AF13" i="13"/>
  <c r="AG13" i="13"/>
  <c r="AH13" i="13"/>
  <c r="AF14" i="13"/>
  <c r="AG14" i="13"/>
  <c r="AH14" i="13"/>
  <c r="AF15" i="13"/>
  <c r="AG15" i="13"/>
  <c r="AH15" i="13"/>
  <c r="L4" i="13"/>
  <c r="O4" i="13" s="1"/>
  <c r="L5" i="13"/>
  <c r="O5" i="13" s="1"/>
  <c r="L6" i="13"/>
  <c r="O6" i="13" s="1"/>
  <c r="L7" i="13"/>
  <c r="L8" i="13"/>
  <c r="L9" i="13"/>
  <c r="O9" i="13" s="1"/>
  <c r="L10" i="13"/>
  <c r="O10" i="13" s="1"/>
  <c r="L11" i="13"/>
  <c r="O11" i="13" s="1"/>
  <c r="L12" i="13"/>
  <c r="O12" i="13" s="1"/>
  <c r="L13" i="13"/>
  <c r="O13" i="13" s="1"/>
  <c r="L14" i="13"/>
  <c r="O14" i="13" s="1"/>
  <c r="L15" i="13"/>
  <c r="L3" i="13"/>
  <c r="K4" i="13"/>
  <c r="K5" i="13"/>
  <c r="K6" i="13"/>
  <c r="K7" i="13"/>
  <c r="K8" i="13"/>
  <c r="K9" i="13"/>
  <c r="K10" i="13"/>
  <c r="K11" i="13"/>
  <c r="K12" i="13"/>
  <c r="K13" i="13"/>
  <c r="K14" i="13"/>
  <c r="K15" i="13"/>
  <c r="K3" i="13"/>
  <c r="G3" i="13"/>
  <c r="H3" i="13"/>
  <c r="G4" i="13"/>
  <c r="H4" i="13"/>
  <c r="G5" i="13"/>
  <c r="H5" i="13"/>
  <c r="G6" i="13"/>
  <c r="H6" i="13"/>
  <c r="G7" i="13"/>
  <c r="H7" i="13"/>
  <c r="G8" i="13"/>
  <c r="H8" i="13"/>
  <c r="G9" i="13"/>
  <c r="H9" i="13"/>
  <c r="G10" i="13"/>
  <c r="H10" i="13"/>
  <c r="G11" i="13"/>
  <c r="H11" i="13"/>
  <c r="G12" i="13"/>
  <c r="H12" i="13"/>
  <c r="G13" i="13"/>
  <c r="H13" i="13"/>
  <c r="G14" i="13"/>
  <c r="H14" i="13"/>
  <c r="G15" i="13"/>
  <c r="H15" i="13"/>
  <c r="F4" i="13"/>
  <c r="F5" i="13"/>
  <c r="F6" i="13"/>
  <c r="F7" i="13"/>
  <c r="F8" i="13"/>
  <c r="F9" i="13"/>
  <c r="F10" i="13"/>
  <c r="F11" i="13"/>
  <c r="F12" i="13"/>
  <c r="F13" i="13"/>
  <c r="F14" i="13"/>
  <c r="F15" i="13"/>
  <c r="F3" i="13"/>
  <c r="E4" i="13"/>
  <c r="E5" i="13"/>
  <c r="J5" i="13" s="1"/>
  <c r="E6" i="13"/>
  <c r="E7" i="13"/>
  <c r="J7" i="13" s="1"/>
  <c r="E8" i="13"/>
  <c r="J8" i="13" s="1"/>
  <c r="E9" i="13"/>
  <c r="J9" i="13" s="1"/>
  <c r="E10" i="13"/>
  <c r="J10" i="13" s="1"/>
  <c r="E11" i="13"/>
  <c r="J11" i="13" s="1"/>
  <c r="E12" i="13"/>
  <c r="E13" i="13"/>
  <c r="J13" i="13" s="1"/>
  <c r="E14" i="13"/>
  <c r="J14" i="13" s="1"/>
  <c r="E15" i="13"/>
  <c r="J15" i="13" s="1"/>
  <c r="E3" i="13"/>
  <c r="P74" i="13"/>
  <c r="O74" i="13"/>
  <c r="N74" i="13"/>
  <c r="M74" i="13"/>
  <c r="K74" i="13"/>
  <c r="I74" i="13"/>
  <c r="AJ72" i="13"/>
  <c r="AH72" i="13"/>
  <c r="AG72" i="13"/>
  <c r="AF72" i="13"/>
  <c r="AE72" i="13"/>
  <c r="AC72" i="13"/>
  <c r="X72" i="13"/>
  <c r="W72" i="13"/>
  <c r="U72" i="13"/>
  <c r="T72" i="13"/>
  <c r="R72" i="13"/>
  <c r="Q72" i="13"/>
  <c r="L72" i="13"/>
  <c r="H72" i="13"/>
  <c r="G72" i="13"/>
  <c r="F72" i="13"/>
  <c r="AR70" i="13"/>
  <c r="AQ70" i="13"/>
  <c r="AO70" i="13"/>
  <c r="AU70" i="13" s="1"/>
  <c r="Z70" i="13"/>
  <c r="Y70" i="13"/>
  <c r="V70" i="13"/>
  <c r="AK70" i="13" s="1"/>
  <c r="S70" i="13"/>
  <c r="O70" i="13"/>
  <c r="E70" i="13"/>
  <c r="J70" i="13" s="1"/>
  <c r="AR69" i="13"/>
  <c r="AQ69" i="13"/>
  <c r="AO69" i="13"/>
  <c r="AU69" i="13" s="1"/>
  <c r="Z69" i="13"/>
  <c r="Y69" i="13"/>
  <c r="AD69" i="13" s="1"/>
  <c r="V69" i="13"/>
  <c r="AK69" i="13" s="1"/>
  <c r="S69" i="13"/>
  <c r="AN69" i="13" s="1"/>
  <c r="AT69" i="13" s="1"/>
  <c r="O69" i="13"/>
  <c r="E69" i="13"/>
  <c r="J69" i="13" s="1"/>
  <c r="AR68" i="13"/>
  <c r="AQ68" i="13"/>
  <c r="AO68" i="13"/>
  <c r="AU68" i="13" s="1"/>
  <c r="Z68" i="13"/>
  <c r="Y68" i="13"/>
  <c r="V68" i="13"/>
  <c r="AK68" i="13" s="1"/>
  <c r="S68" i="13"/>
  <c r="AB68" i="13" s="1"/>
  <c r="O68" i="13"/>
  <c r="E68" i="13"/>
  <c r="J68" i="13" s="1"/>
  <c r="AR67" i="13"/>
  <c r="AQ67" i="13"/>
  <c r="AO67" i="13"/>
  <c r="AU67" i="13" s="1"/>
  <c r="Z67" i="13"/>
  <c r="Y67" i="13"/>
  <c r="AD67" i="13" s="1"/>
  <c r="V67" i="13"/>
  <c r="AK67" i="13" s="1"/>
  <c r="S67" i="13"/>
  <c r="AB67" i="13" s="1"/>
  <c r="O67" i="13"/>
  <c r="E67" i="13"/>
  <c r="J67" i="13" s="1"/>
  <c r="AR66" i="13"/>
  <c r="AQ66" i="13"/>
  <c r="AO66" i="13"/>
  <c r="AU66" i="13" s="1"/>
  <c r="Z66" i="13"/>
  <c r="Y66" i="13"/>
  <c r="AD66" i="13" s="1"/>
  <c r="V66" i="13"/>
  <c r="AK66" i="13" s="1"/>
  <c r="S66" i="13"/>
  <c r="AN66" i="13" s="1"/>
  <c r="AT66" i="13" s="1"/>
  <c r="O66" i="13"/>
  <c r="E66" i="13"/>
  <c r="J66" i="13" s="1"/>
  <c r="AR65" i="13"/>
  <c r="AQ65" i="13"/>
  <c r="AO65" i="13"/>
  <c r="AU65" i="13" s="1"/>
  <c r="AK65" i="13"/>
  <c r="Z65" i="13"/>
  <c r="Y65" i="13"/>
  <c r="AD65" i="13" s="1"/>
  <c r="V65" i="13"/>
  <c r="S65" i="13"/>
  <c r="AN65" i="13" s="1"/>
  <c r="AT65" i="13" s="1"/>
  <c r="O65" i="13"/>
  <c r="E65" i="13"/>
  <c r="J65" i="13" s="1"/>
  <c r="AR64" i="13"/>
  <c r="AQ64" i="13"/>
  <c r="AO64" i="13"/>
  <c r="AU64" i="13" s="1"/>
  <c r="Z64" i="13"/>
  <c r="Y64" i="13"/>
  <c r="V64" i="13"/>
  <c r="AK64" i="13" s="1"/>
  <c r="S64" i="13"/>
  <c r="O64" i="13"/>
  <c r="E64" i="13"/>
  <c r="J64" i="13" s="1"/>
  <c r="AR63" i="13"/>
  <c r="AQ63" i="13"/>
  <c r="AO63" i="13"/>
  <c r="AU63" i="13" s="1"/>
  <c r="Z63" i="13"/>
  <c r="Y63" i="13"/>
  <c r="V63" i="13"/>
  <c r="AK63" i="13" s="1"/>
  <c r="S63" i="13"/>
  <c r="O63" i="13"/>
  <c r="E63" i="13"/>
  <c r="J63" i="13" s="1"/>
  <c r="AR62" i="13"/>
  <c r="AQ62" i="13"/>
  <c r="AO62" i="13"/>
  <c r="AU62" i="13" s="1"/>
  <c r="Z62" i="13"/>
  <c r="Y62" i="13"/>
  <c r="AD62" i="13" s="1"/>
  <c r="V62" i="13"/>
  <c r="AK62" i="13" s="1"/>
  <c r="S62" i="13"/>
  <c r="AN62" i="13" s="1"/>
  <c r="AT62" i="13" s="1"/>
  <c r="O62" i="13"/>
  <c r="E62" i="13"/>
  <c r="J62" i="13" s="1"/>
  <c r="AU61" i="13"/>
  <c r="AR61" i="13"/>
  <c r="AQ61" i="13"/>
  <c r="AO61" i="13"/>
  <c r="Z61" i="13"/>
  <c r="Y61" i="13"/>
  <c r="V61" i="13"/>
  <c r="AK61" i="13" s="1"/>
  <c r="S61" i="13"/>
  <c r="AN61" i="13" s="1"/>
  <c r="AT61" i="13" s="1"/>
  <c r="O61" i="13"/>
  <c r="J61" i="13"/>
  <c r="E61" i="13"/>
  <c r="AR60" i="13"/>
  <c r="AQ60" i="13"/>
  <c r="AO60" i="13"/>
  <c r="AU60" i="13" s="1"/>
  <c r="AN60" i="13"/>
  <c r="AT60" i="13" s="1"/>
  <c r="Z60" i="13"/>
  <c r="Y60" i="13"/>
  <c r="AD60" i="13" s="1"/>
  <c r="V60" i="13"/>
  <c r="AK60" i="13" s="1"/>
  <c r="S60" i="13"/>
  <c r="AP60" i="13" s="1"/>
  <c r="O60" i="13"/>
  <c r="J60" i="13"/>
  <c r="E60" i="13"/>
  <c r="AU59" i="13"/>
  <c r="AR59" i="13"/>
  <c r="AQ59" i="13"/>
  <c r="AO59" i="13"/>
  <c r="Z59" i="13"/>
  <c r="Y59" i="13"/>
  <c r="V59" i="13"/>
  <c r="AK59" i="13" s="1"/>
  <c r="S59" i="13"/>
  <c r="AN59" i="13" s="1"/>
  <c r="AT59" i="13" s="1"/>
  <c r="O59" i="13"/>
  <c r="E59" i="13"/>
  <c r="J59" i="13" s="1"/>
  <c r="AR58" i="13"/>
  <c r="AQ58" i="13"/>
  <c r="AO58" i="13"/>
  <c r="AU58" i="13" s="1"/>
  <c r="AN58" i="13"/>
  <c r="AT58" i="13" s="1"/>
  <c r="AB58" i="13"/>
  <c r="Z58" i="13"/>
  <c r="Y58" i="13"/>
  <c r="AD58" i="13" s="1"/>
  <c r="V58" i="13"/>
  <c r="AK58" i="13" s="1"/>
  <c r="S58" i="13"/>
  <c r="AP58" i="13" s="1"/>
  <c r="O58" i="13"/>
  <c r="E58" i="13"/>
  <c r="J58" i="13" s="1"/>
  <c r="AR57" i="13"/>
  <c r="AQ57" i="13"/>
  <c r="AO57" i="13"/>
  <c r="AU57" i="13" s="1"/>
  <c r="Z57" i="13"/>
  <c r="Y57" i="13"/>
  <c r="AD57" i="13" s="1"/>
  <c r="V57" i="13"/>
  <c r="AK57" i="13" s="1"/>
  <c r="S57" i="13"/>
  <c r="AN57" i="13" s="1"/>
  <c r="AT57" i="13" s="1"/>
  <c r="O57" i="13"/>
  <c r="E57" i="13"/>
  <c r="J57" i="13" s="1"/>
  <c r="AR56" i="13"/>
  <c r="AQ56" i="13"/>
  <c r="AO56" i="13"/>
  <c r="AU56" i="13" s="1"/>
  <c r="Z56" i="13"/>
  <c r="Y56" i="13"/>
  <c r="AD56" i="13" s="1"/>
  <c r="V56" i="13"/>
  <c r="AK56" i="13" s="1"/>
  <c r="S56" i="13"/>
  <c r="AP56" i="13" s="1"/>
  <c r="O56" i="13"/>
  <c r="E56" i="13"/>
  <c r="J56" i="13" s="1"/>
  <c r="AR55" i="13"/>
  <c r="AQ55" i="13"/>
  <c r="AO55" i="13"/>
  <c r="AU55" i="13" s="1"/>
  <c r="Z55" i="13"/>
  <c r="Y55" i="13"/>
  <c r="AD55" i="13" s="1"/>
  <c r="V55" i="13"/>
  <c r="AK55" i="13" s="1"/>
  <c r="S55" i="13"/>
  <c r="AN55" i="13" s="1"/>
  <c r="AT55" i="13" s="1"/>
  <c r="O55" i="13"/>
  <c r="E55" i="13"/>
  <c r="J55" i="13" s="1"/>
  <c r="AR54" i="13"/>
  <c r="AQ54" i="13"/>
  <c r="AO54" i="13"/>
  <c r="AU54" i="13" s="1"/>
  <c r="AN54" i="13"/>
  <c r="AT54" i="13" s="1"/>
  <c r="Z54" i="13"/>
  <c r="Y54" i="13"/>
  <c r="AD54" i="13" s="1"/>
  <c r="V54" i="13"/>
  <c r="AK54" i="13" s="1"/>
  <c r="S54" i="13"/>
  <c r="AP54" i="13" s="1"/>
  <c r="P54" i="13"/>
  <c r="O54" i="13"/>
  <c r="E54" i="13"/>
  <c r="J54" i="13" s="1"/>
  <c r="AR53" i="13"/>
  <c r="AQ53" i="13"/>
  <c r="AO53" i="13"/>
  <c r="AU53" i="13" s="1"/>
  <c r="Z53" i="13"/>
  <c r="Y53" i="13"/>
  <c r="V53" i="13"/>
  <c r="AK53" i="13" s="1"/>
  <c r="S53" i="13"/>
  <c r="AN53" i="13" s="1"/>
  <c r="AT53" i="13" s="1"/>
  <c r="O53" i="13"/>
  <c r="E53" i="13"/>
  <c r="J53" i="13" s="1"/>
  <c r="AR52" i="13"/>
  <c r="AQ52" i="13"/>
  <c r="AO52" i="13"/>
  <c r="AU52" i="13" s="1"/>
  <c r="Z52" i="13"/>
  <c r="Y52" i="13"/>
  <c r="AD52" i="13" s="1"/>
  <c r="V52" i="13"/>
  <c r="AK52" i="13" s="1"/>
  <c r="S52" i="13"/>
  <c r="O52" i="13"/>
  <c r="E52" i="13"/>
  <c r="J52" i="13" s="1"/>
  <c r="AR51" i="13"/>
  <c r="AQ51" i="13"/>
  <c r="AO51" i="13"/>
  <c r="AU51" i="13" s="1"/>
  <c r="AK51" i="13"/>
  <c r="Z51" i="13"/>
  <c r="Y51" i="13"/>
  <c r="V51" i="13"/>
  <c r="S51" i="13"/>
  <c r="AB51" i="13" s="1"/>
  <c r="O51" i="13"/>
  <c r="E51" i="13"/>
  <c r="J51" i="13" s="1"/>
  <c r="AR50" i="13"/>
  <c r="AQ50" i="13"/>
  <c r="AO50" i="13"/>
  <c r="AU50" i="13" s="1"/>
  <c r="Z50" i="13"/>
  <c r="Y50" i="13"/>
  <c r="V50" i="13"/>
  <c r="AK50" i="13" s="1"/>
  <c r="S50" i="13"/>
  <c r="AP50" i="13" s="1"/>
  <c r="O50" i="13"/>
  <c r="E50" i="13"/>
  <c r="J50" i="13" s="1"/>
  <c r="AR49" i="13"/>
  <c r="AQ49" i="13"/>
  <c r="AO49" i="13"/>
  <c r="AU49" i="13" s="1"/>
  <c r="Z49" i="13"/>
  <c r="Y49" i="13"/>
  <c r="V49" i="13"/>
  <c r="AK49" i="13" s="1"/>
  <c r="S49" i="13"/>
  <c r="AP49" i="13" s="1"/>
  <c r="O49" i="13"/>
  <c r="E49" i="13"/>
  <c r="J49" i="13" s="1"/>
  <c r="AR48" i="13"/>
  <c r="AQ48" i="13"/>
  <c r="AO48" i="13"/>
  <c r="AU48" i="13" s="1"/>
  <c r="Z48" i="13"/>
  <c r="Y48" i="13"/>
  <c r="V48" i="13"/>
  <c r="AK48" i="13" s="1"/>
  <c r="S48" i="13"/>
  <c r="AP48" i="13" s="1"/>
  <c r="O48" i="13"/>
  <c r="E48" i="13"/>
  <c r="J48" i="13" s="1"/>
  <c r="AR47" i="13"/>
  <c r="AQ47" i="13"/>
  <c r="AO47" i="13"/>
  <c r="AU47" i="13" s="1"/>
  <c r="Z47" i="13"/>
  <c r="Y47" i="13"/>
  <c r="AD47" i="13" s="1"/>
  <c r="V47" i="13"/>
  <c r="AK47" i="13" s="1"/>
  <c r="S47" i="13"/>
  <c r="AP47" i="13" s="1"/>
  <c r="O47" i="13"/>
  <c r="E47" i="13"/>
  <c r="J47" i="13" s="1"/>
  <c r="AR46" i="13"/>
  <c r="AQ46" i="13"/>
  <c r="AO46" i="13"/>
  <c r="AU46" i="13" s="1"/>
  <c r="Z46" i="13"/>
  <c r="Y46" i="13"/>
  <c r="V46" i="13"/>
  <c r="AK46" i="13" s="1"/>
  <c r="S46" i="13"/>
  <c r="AP46" i="13" s="1"/>
  <c r="O46" i="13"/>
  <c r="J46" i="13"/>
  <c r="E46" i="13"/>
  <c r="AR45" i="13"/>
  <c r="AQ45" i="13"/>
  <c r="AO45" i="13"/>
  <c r="AU45" i="13" s="1"/>
  <c r="Z45" i="13"/>
  <c r="Y45" i="13"/>
  <c r="AD45" i="13" s="1"/>
  <c r="V45" i="13"/>
  <c r="AK45" i="13" s="1"/>
  <c r="S45" i="13"/>
  <c r="AP45" i="13" s="1"/>
  <c r="O45" i="13"/>
  <c r="J45" i="13"/>
  <c r="E45" i="13"/>
  <c r="AR44" i="13"/>
  <c r="AQ44" i="13"/>
  <c r="AO44" i="13"/>
  <c r="AU44" i="13" s="1"/>
  <c r="Z44" i="13"/>
  <c r="Y44" i="13"/>
  <c r="V44" i="13"/>
  <c r="AK44" i="13" s="1"/>
  <c r="S44" i="13"/>
  <c r="AP44" i="13" s="1"/>
  <c r="O44" i="13"/>
  <c r="E44" i="13"/>
  <c r="J44" i="13" s="1"/>
  <c r="AR43" i="13"/>
  <c r="AQ43" i="13"/>
  <c r="AO43" i="13"/>
  <c r="AU43" i="13" s="1"/>
  <c r="AD43" i="13"/>
  <c r="Z43" i="13"/>
  <c r="Y43" i="13"/>
  <c r="V43" i="13"/>
  <c r="AK43" i="13" s="1"/>
  <c r="S43" i="13"/>
  <c r="AP43" i="13" s="1"/>
  <c r="P43" i="13"/>
  <c r="O43" i="13"/>
  <c r="E43" i="13"/>
  <c r="J43" i="13" s="1"/>
  <c r="AR42" i="13"/>
  <c r="AQ42" i="13"/>
  <c r="AO42" i="13"/>
  <c r="AU42" i="13" s="1"/>
  <c r="AK42" i="13"/>
  <c r="Z42" i="13"/>
  <c r="Y42" i="13"/>
  <c r="V42" i="13"/>
  <c r="S42" i="13"/>
  <c r="AP42" i="13" s="1"/>
  <c r="O42" i="13"/>
  <c r="E42" i="13"/>
  <c r="J42" i="13" s="1"/>
  <c r="AR41" i="13"/>
  <c r="AQ41" i="13"/>
  <c r="AO41" i="13"/>
  <c r="AU41" i="13" s="1"/>
  <c r="Z41" i="13"/>
  <c r="Y41" i="13"/>
  <c r="V41" i="13"/>
  <c r="AK41" i="13" s="1"/>
  <c r="S41" i="13"/>
  <c r="AP41" i="13" s="1"/>
  <c r="O41" i="13"/>
  <c r="E41" i="13"/>
  <c r="J41" i="13" s="1"/>
  <c r="AR40" i="13"/>
  <c r="AQ40" i="13"/>
  <c r="AO40" i="13"/>
  <c r="AU40" i="13" s="1"/>
  <c r="Z40" i="13"/>
  <c r="Y40" i="13"/>
  <c r="V40" i="13"/>
  <c r="AK40" i="13" s="1"/>
  <c r="S40" i="13"/>
  <c r="AP40" i="13" s="1"/>
  <c r="O40" i="13"/>
  <c r="E40" i="13"/>
  <c r="J40" i="13" s="1"/>
  <c r="AU39" i="13"/>
  <c r="AR39" i="13"/>
  <c r="AQ39" i="13"/>
  <c r="AO39" i="13"/>
  <c r="Z39" i="13"/>
  <c r="Y39" i="13"/>
  <c r="AD39" i="13" s="1"/>
  <c r="V39" i="13"/>
  <c r="AK39" i="13" s="1"/>
  <c r="S39" i="13"/>
  <c r="P39" i="13" s="1"/>
  <c r="O39" i="13"/>
  <c r="E39" i="13"/>
  <c r="J39" i="13" s="1"/>
  <c r="AR38" i="13"/>
  <c r="AQ38" i="13"/>
  <c r="AO38" i="13"/>
  <c r="AU38" i="13" s="1"/>
  <c r="Z38" i="13"/>
  <c r="Y38" i="13"/>
  <c r="V38" i="13"/>
  <c r="AK38" i="13" s="1"/>
  <c r="S38" i="13"/>
  <c r="AP38" i="13" s="1"/>
  <c r="O38" i="13"/>
  <c r="E38" i="13"/>
  <c r="J38" i="13" s="1"/>
  <c r="AR37" i="13"/>
  <c r="AQ37" i="13"/>
  <c r="AO37" i="13"/>
  <c r="AU37" i="13" s="1"/>
  <c r="Z37" i="13"/>
  <c r="Y37" i="13"/>
  <c r="AD37" i="13" s="1"/>
  <c r="V37" i="13"/>
  <c r="AK37" i="13" s="1"/>
  <c r="S37" i="13"/>
  <c r="AP37" i="13" s="1"/>
  <c r="O37" i="13"/>
  <c r="E37" i="13"/>
  <c r="J37" i="13" s="1"/>
  <c r="AR36" i="13"/>
  <c r="AQ36" i="13"/>
  <c r="AO36" i="13"/>
  <c r="AU36" i="13" s="1"/>
  <c r="Z36" i="13"/>
  <c r="Y36" i="13"/>
  <c r="V36" i="13"/>
  <c r="AK36" i="13" s="1"/>
  <c r="S36" i="13"/>
  <c r="P36" i="13" s="1"/>
  <c r="O36" i="13"/>
  <c r="E36" i="13"/>
  <c r="J36" i="13" s="1"/>
  <c r="AR35" i="13"/>
  <c r="AQ35" i="13"/>
  <c r="AO35" i="13"/>
  <c r="AU35" i="13" s="1"/>
  <c r="Z35" i="13"/>
  <c r="Y35" i="13"/>
  <c r="AD35" i="13" s="1"/>
  <c r="V35" i="13"/>
  <c r="AK35" i="13" s="1"/>
  <c r="S35" i="13"/>
  <c r="AP35" i="13" s="1"/>
  <c r="O35" i="13"/>
  <c r="E35" i="13"/>
  <c r="J35" i="13" s="1"/>
  <c r="AR34" i="13"/>
  <c r="AQ34" i="13"/>
  <c r="AO34" i="13"/>
  <c r="AU34" i="13" s="1"/>
  <c r="Z34" i="13"/>
  <c r="Y34" i="13"/>
  <c r="V34" i="13"/>
  <c r="AK34" i="13" s="1"/>
  <c r="S34" i="13"/>
  <c r="P34" i="13" s="1"/>
  <c r="O34" i="13"/>
  <c r="E34" i="13"/>
  <c r="J34" i="13" s="1"/>
  <c r="AR33" i="13"/>
  <c r="AQ33" i="13"/>
  <c r="AO33" i="13"/>
  <c r="AU33" i="13" s="1"/>
  <c r="Z33" i="13"/>
  <c r="Y33" i="13"/>
  <c r="AD33" i="13" s="1"/>
  <c r="V33" i="13"/>
  <c r="AK33" i="13" s="1"/>
  <c r="S33" i="13"/>
  <c r="AB33" i="13" s="1"/>
  <c r="O33" i="13"/>
  <c r="E33" i="13"/>
  <c r="J33" i="13" s="1"/>
  <c r="AR32" i="13"/>
  <c r="AQ32" i="13"/>
  <c r="AO32" i="13"/>
  <c r="AU32" i="13" s="1"/>
  <c r="Z32" i="13"/>
  <c r="Y32" i="13"/>
  <c r="AD32" i="13" s="1"/>
  <c r="V32" i="13"/>
  <c r="AK32" i="13" s="1"/>
  <c r="S32" i="13"/>
  <c r="O32" i="13"/>
  <c r="E32" i="13"/>
  <c r="J32" i="13" s="1"/>
  <c r="AR31" i="13"/>
  <c r="AQ31" i="13"/>
  <c r="AO31" i="13"/>
  <c r="AU31" i="13" s="1"/>
  <c r="Z31" i="13"/>
  <c r="Y31" i="13"/>
  <c r="AD31" i="13" s="1"/>
  <c r="V31" i="13"/>
  <c r="AK31" i="13" s="1"/>
  <c r="S31" i="13"/>
  <c r="P31" i="13" s="1"/>
  <c r="O31" i="13"/>
  <c r="E31" i="13"/>
  <c r="J31" i="13" s="1"/>
  <c r="AR30" i="13"/>
  <c r="AQ30" i="13"/>
  <c r="AO30" i="13"/>
  <c r="AU30" i="13" s="1"/>
  <c r="AD30" i="13"/>
  <c r="Z30" i="13"/>
  <c r="Y30" i="13"/>
  <c r="V30" i="13"/>
  <c r="AK30" i="13" s="1"/>
  <c r="S30" i="13"/>
  <c r="AN30" i="13" s="1"/>
  <c r="AT30" i="13" s="1"/>
  <c r="O30" i="13"/>
  <c r="E30" i="13"/>
  <c r="J30" i="13" s="1"/>
  <c r="AR29" i="13"/>
  <c r="AQ29" i="13"/>
  <c r="AO29" i="13"/>
  <c r="AU29" i="13" s="1"/>
  <c r="Z29" i="13"/>
  <c r="Y29" i="13"/>
  <c r="AD29" i="13" s="1"/>
  <c r="V29" i="13"/>
  <c r="AK29" i="13" s="1"/>
  <c r="S29" i="13"/>
  <c r="AB29" i="13" s="1"/>
  <c r="O29" i="13"/>
  <c r="E29" i="13"/>
  <c r="J29" i="13" s="1"/>
  <c r="AR28" i="13"/>
  <c r="AQ28" i="13"/>
  <c r="AO28" i="13"/>
  <c r="AU28" i="13" s="1"/>
  <c r="Z28" i="13"/>
  <c r="Y28" i="13"/>
  <c r="AD28" i="13" s="1"/>
  <c r="V28" i="13"/>
  <c r="AK28" i="13" s="1"/>
  <c r="S28" i="13"/>
  <c r="O28" i="13"/>
  <c r="E28" i="13"/>
  <c r="J28" i="13" s="1"/>
  <c r="AR27" i="13"/>
  <c r="AQ27" i="13"/>
  <c r="AO27" i="13"/>
  <c r="AU27" i="13" s="1"/>
  <c r="Z27" i="13"/>
  <c r="Y27" i="13"/>
  <c r="AD27" i="13" s="1"/>
  <c r="V27" i="13"/>
  <c r="AK27" i="13" s="1"/>
  <c r="S27" i="13"/>
  <c r="P27" i="13" s="1"/>
  <c r="O27" i="13"/>
  <c r="E27" i="13"/>
  <c r="J27" i="13" s="1"/>
  <c r="AR26" i="13"/>
  <c r="AQ26" i="13"/>
  <c r="AO26" i="13"/>
  <c r="AU26" i="13" s="1"/>
  <c r="AB26" i="13"/>
  <c r="Z26" i="13"/>
  <c r="Y26" i="13"/>
  <c r="AD26" i="13" s="1"/>
  <c r="V26" i="13"/>
  <c r="AK26" i="13" s="1"/>
  <c r="S26" i="13"/>
  <c r="AN26" i="13" s="1"/>
  <c r="AT26" i="13" s="1"/>
  <c r="O26" i="13"/>
  <c r="E26" i="13"/>
  <c r="J26" i="13" s="1"/>
  <c r="AR25" i="13"/>
  <c r="AQ25" i="13"/>
  <c r="AO25" i="13"/>
  <c r="AU25" i="13" s="1"/>
  <c r="Z25" i="13"/>
  <c r="Y25" i="13"/>
  <c r="AD25" i="13" s="1"/>
  <c r="V25" i="13"/>
  <c r="AK25" i="13" s="1"/>
  <c r="S25" i="13"/>
  <c r="AB25" i="13" s="1"/>
  <c r="O25" i="13"/>
  <c r="E25" i="13"/>
  <c r="J25" i="13" s="1"/>
  <c r="AR24" i="13"/>
  <c r="AQ24" i="13"/>
  <c r="AO24" i="13"/>
  <c r="AU24" i="13" s="1"/>
  <c r="Z24" i="13"/>
  <c r="Y24" i="13"/>
  <c r="AD24" i="13" s="1"/>
  <c r="V24" i="13"/>
  <c r="AK24" i="13" s="1"/>
  <c r="S24" i="13"/>
  <c r="AP24" i="13" s="1"/>
  <c r="O24" i="13"/>
  <c r="E24" i="13"/>
  <c r="J24" i="13" s="1"/>
  <c r="AR23" i="13"/>
  <c r="AQ23" i="13"/>
  <c r="AO23" i="13"/>
  <c r="AU23" i="13" s="1"/>
  <c r="Z23" i="13"/>
  <c r="Y23" i="13"/>
  <c r="AD23" i="13" s="1"/>
  <c r="V23" i="13"/>
  <c r="AK23" i="13" s="1"/>
  <c r="S23" i="13"/>
  <c r="P23" i="13" s="1"/>
  <c r="O23" i="13"/>
  <c r="E23" i="13"/>
  <c r="J23" i="13" s="1"/>
  <c r="AR22" i="13"/>
  <c r="AQ22" i="13"/>
  <c r="AO22" i="13"/>
  <c r="AU22" i="13" s="1"/>
  <c r="Z22" i="13"/>
  <c r="Y22" i="13"/>
  <c r="AD22" i="13" s="1"/>
  <c r="V22" i="13"/>
  <c r="AK22" i="13" s="1"/>
  <c r="S22" i="13"/>
  <c r="AN22" i="13" s="1"/>
  <c r="AT22" i="13" s="1"/>
  <c r="O22" i="13"/>
  <c r="E22" i="13"/>
  <c r="J22" i="13" s="1"/>
  <c r="AR21" i="13"/>
  <c r="AQ21" i="13"/>
  <c r="AO21" i="13"/>
  <c r="AU21" i="13" s="1"/>
  <c r="Z21" i="13"/>
  <c r="Y21" i="13"/>
  <c r="AD21" i="13" s="1"/>
  <c r="V21" i="13"/>
  <c r="AK21" i="13" s="1"/>
  <c r="S21" i="13"/>
  <c r="AB21" i="13" s="1"/>
  <c r="O21" i="13"/>
  <c r="E21" i="13"/>
  <c r="J21" i="13" s="1"/>
  <c r="AR20" i="13"/>
  <c r="AQ20" i="13"/>
  <c r="AO20" i="13"/>
  <c r="AU20" i="13" s="1"/>
  <c r="Z20" i="13"/>
  <c r="Y20" i="13"/>
  <c r="AD20" i="13" s="1"/>
  <c r="V20" i="13"/>
  <c r="AK20" i="13" s="1"/>
  <c r="S20" i="13"/>
  <c r="O20" i="13"/>
  <c r="E20" i="13"/>
  <c r="J20" i="13" s="1"/>
  <c r="AR19" i="13"/>
  <c r="AQ19" i="13"/>
  <c r="AO19" i="13"/>
  <c r="Z19" i="13"/>
  <c r="Y19" i="13"/>
  <c r="AD19" i="13" s="1"/>
  <c r="V19" i="13"/>
  <c r="S19" i="13"/>
  <c r="P19" i="13" s="1"/>
  <c r="O19" i="13"/>
  <c r="E19" i="13"/>
  <c r="AO15" i="13"/>
  <c r="AO14" i="13"/>
  <c r="AO13" i="13"/>
  <c r="AO12" i="13"/>
  <c r="J12" i="13"/>
  <c r="AO11" i="13"/>
  <c r="AO10" i="13"/>
  <c r="AO9" i="13"/>
  <c r="AO8" i="13"/>
  <c r="AO7" i="13"/>
  <c r="AO6" i="13"/>
  <c r="AO5" i="13"/>
  <c r="AO4" i="13"/>
  <c r="J4" i="13"/>
  <c r="AO3" i="13"/>
  <c r="J3" i="13"/>
  <c r="L14" i="27" l="1"/>
  <c r="M13" i="27"/>
  <c r="G13" i="27" s="1"/>
  <c r="F13" i="27"/>
  <c r="E14" i="27"/>
  <c r="AL93" i="19"/>
  <c r="AU15" i="19"/>
  <c r="K17" i="21"/>
  <c r="AT11" i="19"/>
  <c r="AU11" i="19"/>
  <c r="C17" i="21"/>
  <c r="D4" i="21" s="1"/>
  <c r="AW7" i="19"/>
  <c r="AT7" i="19"/>
  <c r="E13" i="26"/>
  <c r="F12" i="26"/>
  <c r="L12" i="26"/>
  <c r="M11" i="26"/>
  <c r="G11" i="26" s="1"/>
  <c r="AA91" i="19"/>
  <c r="AA36" i="19"/>
  <c r="AF9" i="3"/>
  <c r="AG9" i="3"/>
  <c r="AW36" i="19"/>
  <c r="K17" i="16"/>
  <c r="L4" i="15"/>
  <c r="K17" i="15"/>
  <c r="M23" i="21"/>
  <c r="L24" i="21"/>
  <c r="M5" i="21"/>
  <c r="L6" i="21"/>
  <c r="E24" i="21"/>
  <c r="F23" i="21"/>
  <c r="AS90" i="19"/>
  <c r="AW38" i="19"/>
  <c r="AW91" i="19" s="1"/>
  <c r="E5" i="18"/>
  <c r="K17" i="18"/>
  <c r="D17" i="18"/>
  <c r="K17" i="17"/>
  <c r="D17" i="17"/>
  <c r="M4" i="18"/>
  <c r="L5" i="18"/>
  <c r="L24" i="18"/>
  <c r="F21" i="18"/>
  <c r="E22" i="18"/>
  <c r="F5" i="18"/>
  <c r="E6" i="18"/>
  <c r="E22" i="17"/>
  <c r="F21" i="17"/>
  <c r="K73" i="17"/>
  <c r="L21" i="17"/>
  <c r="M21" i="17" s="1"/>
  <c r="M4" i="17"/>
  <c r="L5" i="17"/>
  <c r="F5" i="17"/>
  <c r="E6" i="17"/>
  <c r="E23" i="16"/>
  <c r="F23" i="16" s="1"/>
  <c r="M4" i="16"/>
  <c r="L5" i="16"/>
  <c r="L23" i="16"/>
  <c r="M22" i="16"/>
  <c r="L24" i="15"/>
  <c r="E23" i="15"/>
  <c r="F22" i="15"/>
  <c r="AO16" i="13"/>
  <c r="P49" i="13"/>
  <c r="G17" i="13"/>
  <c r="G74" i="13" s="1"/>
  <c r="AB56" i="13"/>
  <c r="P30" i="13"/>
  <c r="P35" i="13"/>
  <c r="AN38" i="13"/>
  <c r="AT38" i="13" s="1"/>
  <c r="AB49" i="13"/>
  <c r="AN56" i="13"/>
  <c r="AT56" i="13" s="1"/>
  <c r="F17" i="13"/>
  <c r="F74" i="13" s="1"/>
  <c r="J17" i="14"/>
  <c r="K6" i="14" s="1"/>
  <c r="Z4" i="13"/>
  <c r="Z11" i="13"/>
  <c r="Z3" i="13"/>
  <c r="Z6" i="13"/>
  <c r="Z15" i="13"/>
  <c r="O15" i="13"/>
  <c r="Z10" i="13"/>
  <c r="Z7" i="13"/>
  <c r="O7" i="13"/>
  <c r="Z5" i="13"/>
  <c r="Z12" i="13"/>
  <c r="AH17" i="13"/>
  <c r="AH74" i="13" s="1"/>
  <c r="E17" i="13"/>
  <c r="H17" i="13"/>
  <c r="H74" i="13" s="1"/>
  <c r="Z14" i="13"/>
  <c r="E21" i="14"/>
  <c r="L21" i="14"/>
  <c r="M21" i="14" s="1"/>
  <c r="AG17" i="13"/>
  <c r="AG74" i="13" s="1"/>
  <c r="P56" i="13"/>
  <c r="AB53" i="13"/>
  <c r="AB55" i="13"/>
  <c r="AQ71" i="13"/>
  <c r="P26" i="13"/>
  <c r="AB30" i="13"/>
  <c r="AN42" i="13"/>
  <c r="AT42" i="13" s="1"/>
  <c r="AR72" i="13"/>
  <c r="AB57" i="13"/>
  <c r="AB40" i="13"/>
  <c r="AN50" i="13"/>
  <c r="AT50" i="13" s="1"/>
  <c r="P37" i="13"/>
  <c r="AB38" i="13"/>
  <c r="P42" i="13"/>
  <c r="P40" i="13"/>
  <c r="P50" i="13"/>
  <c r="AP25" i="13"/>
  <c r="AN39" i="13"/>
  <c r="AT39" i="13" s="1"/>
  <c r="AN48" i="13"/>
  <c r="AT48" i="13" s="1"/>
  <c r="AN68" i="13"/>
  <c r="AT68" i="13" s="1"/>
  <c r="AR71" i="13"/>
  <c r="AB22" i="13"/>
  <c r="P44" i="13"/>
  <c r="AB46" i="13"/>
  <c r="P48" i="13"/>
  <c r="AN51" i="13"/>
  <c r="AT51" i="13" s="1"/>
  <c r="P38" i="13"/>
  <c r="AN46" i="13"/>
  <c r="AT46" i="13" s="1"/>
  <c r="P47" i="13"/>
  <c r="P58" i="13"/>
  <c r="AN67" i="13"/>
  <c r="AT67" i="13" s="1"/>
  <c r="V72" i="13"/>
  <c r="P22" i="13"/>
  <c r="AB41" i="13"/>
  <c r="P46" i="13"/>
  <c r="AB66" i="13"/>
  <c r="AB69" i="13"/>
  <c r="AP22" i="13"/>
  <c r="AP26" i="13"/>
  <c r="AN36" i="13"/>
  <c r="AT36" i="13" s="1"/>
  <c r="P45" i="13"/>
  <c r="AB48" i="13"/>
  <c r="P60" i="13"/>
  <c r="AP30" i="13"/>
  <c r="AB35" i="13"/>
  <c r="AN40" i="13"/>
  <c r="AT40" i="13" s="1"/>
  <c r="P41" i="13"/>
  <c r="AB43" i="13"/>
  <c r="AN44" i="13"/>
  <c r="AT44" i="13" s="1"/>
  <c r="AF17" i="13"/>
  <c r="AF74" i="13" s="1"/>
  <c r="Z13" i="13"/>
  <c r="Z9" i="13"/>
  <c r="Z8" i="13"/>
  <c r="L17" i="13"/>
  <c r="L74" i="13" s="1"/>
  <c r="O8" i="13"/>
  <c r="O3" i="13"/>
  <c r="J6" i="13"/>
  <c r="E72" i="13"/>
  <c r="J19" i="13"/>
  <c r="J72" i="13" s="1"/>
  <c r="AP21" i="13"/>
  <c r="AN31" i="13"/>
  <c r="AT31" i="13" s="1"/>
  <c r="AP31" i="13"/>
  <c r="AB31" i="13"/>
  <c r="AN27" i="13"/>
  <c r="AT27" i="13" s="1"/>
  <c r="AP27" i="13"/>
  <c r="AB27" i="13"/>
  <c r="AD38" i="13"/>
  <c r="AK19" i="13"/>
  <c r="AK72" i="13" s="1"/>
  <c r="AN23" i="13"/>
  <c r="AT23" i="13" s="1"/>
  <c r="AP23" i="13"/>
  <c r="AB23" i="13"/>
  <c r="AN32" i="13"/>
  <c r="AT32" i="13" s="1"/>
  <c r="AB32" i="13"/>
  <c r="P32" i="13"/>
  <c r="AP32" i="13"/>
  <c r="S72" i="13"/>
  <c r="AN19" i="13"/>
  <c r="AP19" i="13"/>
  <c r="AB19" i="13"/>
  <c r="AN28" i="13"/>
  <c r="AT28" i="13" s="1"/>
  <c r="AB28" i="13"/>
  <c r="P28" i="13"/>
  <c r="AP33" i="13"/>
  <c r="P33" i="13"/>
  <c r="AN33" i="13"/>
  <c r="AT33" i="13" s="1"/>
  <c r="AN34" i="13"/>
  <c r="AT34" i="13" s="1"/>
  <c r="AP52" i="13"/>
  <c r="AN52" i="13"/>
  <c r="AT52" i="13" s="1"/>
  <c r="P52" i="13"/>
  <c r="AB52" i="13"/>
  <c r="AN24" i="13"/>
  <c r="AT24" i="13" s="1"/>
  <c r="AB24" i="13"/>
  <c r="P24" i="13"/>
  <c r="AP28" i="13"/>
  <c r="AD41" i="13"/>
  <c r="AN20" i="13"/>
  <c r="AT20" i="13" s="1"/>
  <c r="AB20" i="13"/>
  <c r="P20" i="13"/>
  <c r="AN29" i="13"/>
  <c r="AT29" i="13" s="1"/>
  <c r="P29" i="13"/>
  <c r="AP34" i="13"/>
  <c r="AB34" i="13"/>
  <c r="AP20" i="13"/>
  <c r="AN25" i="13"/>
  <c r="AT25" i="13" s="1"/>
  <c r="P25" i="13"/>
  <c r="AP29" i="13"/>
  <c r="AN21" i="13"/>
  <c r="AT21" i="13" s="1"/>
  <c r="P21" i="13"/>
  <c r="AP36" i="13"/>
  <c r="AB36" i="13"/>
  <c r="AP39" i="13"/>
  <c r="AB39" i="13"/>
  <c r="AD51" i="13"/>
  <c r="AB37" i="13"/>
  <c r="AD40" i="13"/>
  <c r="AN41" i="13"/>
  <c r="AT41" i="13" s="1"/>
  <c r="AB42" i="13"/>
  <c r="AB45" i="13"/>
  <c r="AD48" i="13"/>
  <c r="AN49" i="13"/>
  <c r="AT49" i="13" s="1"/>
  <c r="AB50" i="13"/>
  <c r="AP53" i="13"/>
  <c r="P53" i="13"/>
  <c r="P70" i="13"/>
  <c r="AP70" i="13"/>
  <c r="AN70" i="13"/>
  <c r="AT70" i="13" s="1"/>
  <c r="AB70" i="13"/>
  <c r="AP59" i="13"/>
  <c r="P59" i="13"/>
  <c r="AP62" i="13"/>
  <c r="P62" i="13"/>
  <c r="AP63" i="13"/>
  <c r="P63" i="13"/>
  <c r="AB63" i="13"/>
  <c r="AD46" i="13"/>
  <c r="AN47" i="13"/>
  <c r="AT47" i="13" s="1"/>
  <c r="AP61" i="13"/>
  <c r="P61" i="13"/>
  <c r="AD70" i="13"/>
  <c r="AP55" i="13"/>
  <c r="P55" i="13"/>
  <c r="AD63" i="13"/>
  <c r="AD61" i="13"/>
  <c r="Y72" i="13"/>
  <c r="AD72" i="13" s="1"/>
  <c r="AO71" i="13"/>
  <c r="AU19" i="13"/>
  <c r="AU71" i="13" s="1"/>
  <c r="AD49" i="13"/>
  <c r="AP51" i="13"/>
  <c r="P51" i="13"/>
  <c r="AD53" i="13"/>
  <c r="AB59" i="13"/>
  <c r="AB62" i="13"/>
  <c r="AD68" i="13"/>
  <c r="AD36" i="13"/>
  <c r="AN37" i="13"/>
  <c r="AT37" i="13" s="1"/>
  <c r="AD44" i="13"/>
  <c r="AN45" i="13"/>
  <c r="AT45" i="13" s="1"/>
  <c r="J17" i="13"/>
  <c r="Z72" i="13"/>
  <c r="AD34" i="13"/>
  <c r="AN35" i="13"/>
  <c r="AT35" i="13" s="1"/>
  <c r="AD42" i="13"/>
  <c r="AN43" i="13"/>
  <c r="AT43" i="13" s="1"/>
  <c r="AB44" i="13"/>
  <c r="AB47" i="13"/>
  <c r="AD50" i="13"/>
  <c r="AB54" i="13"/>
  <c r="AP57" i="13"/>
  <c r="P57" i="13"/>
  <c r="AD59" i="13"/>
  <c r="AB60" i="13"/>
  <c r="AB61" i="13"/>
  <c r="AN63" i="13"/>
  <c r="AT63" i="13" s="1"/>
  <c r="P64" i="13"/>
  <c r="AP64" i="13"/>
  <c r="AB64" i="13"/>
  <c r="AN64" i="13"/>
  <c r="AT64" i="13" s="1"/>
  <c r="P65" i="13"/>
  <c r="AP65" i="13"/>
  <c r="P66" i="13"/>
  <c r="AP66" i="13"/>
  <c r="P67" i="13"/>
  <c r="AP67" i="13"/>
  <c r="P68" i="13"/>
  <c r="AP68" i="13"/>
  <c r="AD64" i="13"/>
  <c r="AB65" i="13"/>
  <c r="P69" i="13"/>
  <c r="AP69" i="13"/>
  <c r="Q10" i="13"/>
  <c r="R10" i="13"/>
  <c r="T10" i="13"/>
  <c r="U10" i="13"/>
  <c r="W10" i="13"/>
  <c r="X10" i="13"/>
  <c r="AC10" i="13"/>
  <c r="AE10" i="13"/>
  <c r="AJ10" i="13"/>
  <c r="Q11" i="13"/>
  <c r="R11" i="13"/>
  <c r="T11" i="13"/>
  <c r="U11" i="13"/>
  <c r="W11" i="13"/>
  <c r="X11" i="13"/>
  <c r="AC11" i="13"/>
  <c r="AE11" i="13"/>
  <c r="AJ11" i="13"/>
  <c r="Q12" i="13"/>
  <c r="R12" i="13"/>
  <c r="T12" i="13"/>
  <c r="U12" i="13"/>
  <c r="W12" i="13"/>
  <c r="X12" i="13"/>
  <c r="AC12" i="13"/>
  <c r="AE12" i="13"/>
  <c r="AJ12" i="13"/>
  <c r="Q13" i="13"/>
  <c r="R13" i="13"/>
  <c r="T13" i="13"/>
  <c r="U13" i="13"/>
  <c r="W13" i="13"/>
  <c r="X13" i="13"/>
  <c r="AC13" i="13"/>
  <c r="AE13" i="13"/>
  <c r="AJ13" i="13"/>
  <c r="Q14" i="13"/>
  <c r="R14" i="13"/>
  <c r="T14" i="13"/>
  <c r="U14" i="13"/>
  <c r="W14" i="13"/>
  <c r="X14" i="13"/>
  <c r="AC14" i="13"/>
  <c r="AE14" i="13"/>
  <c r="AJ14" i="13"/>
  <c r="Q15" i="13"/>
  <c r="R15" i="13"/>
  <c r="T15" i="13"/>
  <c r="U15" i="13"/>
  <c r="W15" i="13"/>
  <c r="X15" i="13"/>
  <c r="AC15" i="13"/>
  <c r="AE15" i="13"/>
  <c r="AJ15" i="13"/>
  <c r="F14" i="27" l="1"/>
  <c r="E15" i="27"/>
  <c r="L15" i="27"/>
  <c r="M14" i="27"/>
  <c r="G14" i="27" s="1"/>
  <c r="D9" i="21"/>
  <c r="D12" i="21"/>
  <c r="D10" i="21"/>
  <c r="E4" i="21"/>
  <c r="D13" i="21"/>
  <c r="D7" i="21"/>
  <c r="D5" i="21"/>
  <c r="D15" i="21"/>
  <c r="D6" i="21"/>
  <c r="D14" i="21"/>
  <c r="D16" i="21"/>
  <c r="D8" i="21"/>
  <c r="D11" i="21"/>
  <c r="L13" i="26"/>
  <c r="M12" i="26"/>
  <c r="G12" i="26" s="1"/>
  <c r="E14" i="26"/>
  <c r="F13" i="26"/>
  <c r="E74" i="13"/>
  <c r="AA93" i="19"/>
  <c r="AW93" i="19"/>
  <c r="L5" i="15"/>
  <c r="M4" i="15"/>
  <c r="G4" i="15" s="1"/>
  <c r="F24" i="21"/>
  <c r="E25" i="21"/>
  <c r="M6" i="21"/>
  <c r="G5" i="21" s="1"/>
  <c r="L7" i="21"/>
  <c r="M24" i="21"/>
  <c r="L25" i="21"/>
  <c r="K7" i="14"/>
  <c r="K8" i="14"/>
  <c r="G4" i="17"/>
  <c r="F22" i="18"/>
  <c r="E23" i="18"/>
  <c r="M5" i="18"/>
  <c r="L6" i="18"/>
  <c r="M24" i="18"/>
  <c r="L25" i="18"/>
  <c r="E7" i="18"/>
  <c r="F6" i="18"/>
  <c r="L22" i="17"/>
  <c r="M5" i="17"/>
  <c r="L6" i="17"/>
  <c r="F22" i="17"/>
  <c r="E23" i="17"/>
  <c r="E7" i="17"/>
  <c r="F6" i="17"/>
  <c r="E24" i="16"/>
  <c r="M23" i="16"/>
  <c r="L24" i="16"/>
  <c r="M5" i="16"/>
  <c r="L6" i="16"/>
  <c r="F23" i="15"/>
  <c r="E24" i="15"/>
  <c r="M24" i="15"/>
  <c r="L25" i="15"/>
  <c r="K16" i="14"/>
  <c r="K12" i="14"/>
  <c r="K4" i="14"/>
  <c r="K10" i="14"/>
  <c r="K14" i="14"/>
  <c r="K13" i="14"/>
  <c r="K5" i="14"/>
  <c r="K17" i="14" s="1"/>
  <c r="K15" i="14"/>
  <c r="K11" i="14"/>
  <c r="K9" i="14"/>
  <c r="S14" i="13"/>
  <c r="V12" i="13"/>
  <c r="Y10" i="13"/>
  <c r="AD10" i="13" s="1"/>
  <c r="Z17" i="13"/>
  <c r="Z74" i="13" s="1"/>
  <c r="S12" i="13"/>
  <c r="S15" i="13"/>
  <c r="V13" i="13"/>
  <c r="Y11" i="13"/>
  <c r="AD11" i="13" s="1"/>
  <c r="V10" i="13"/>
  <c r="Y15" i="13"/>
  <c r="AD15" i="13" s="1"/>
  <c r="AQ10" i="13"/>
  <c r="V14" i="13"/>
  <c r="Y12" i="13"/>
  <c r="AD12" i="13" s="1"/>
  <c r="AQ12" i="13"/>
  <c r="AR10" i="13"/>
  <c r="S10" i="13"/>
  <c r="V15" i="13"/>
  <c r="AQ11" i="13"/>
  <c r="AR11" i="13"/>
  <c r="S11" i="13"/>
  <c r="Y14" i="13"/>
  <c r="AD14" i="13" s="1"/>
  <c r="S13" i="13"/>
  <c r="AB13" i="13" s="1"/>
  <c r="F21" i="14"/>
  <c r="E22" i="14"/>
  <c r="L22" i="14"/>
  <c r="L4" i="14"/>
  <c r="V11" i="13"/>
  <c r="AR12" i="13"/>
  <c r="Y13" i="13"/>
  <c r="AQ14" i="13"/>
  <c r="AR13" i="13"/>
  <c r="AQ13" i="13"/>
  <c r="AR14" i="13"/>
  <c r="AR15" i="13"/>
  <c r="AQ15" i="13"/>
  <c r="J74" i="13"/>
  <c r="AB72" i="13"/>
  <c r="AP71" i="13"/>
  <c r="AN71" i="13"/>
  <c r="AT19" i="13"/>
  <c r="AT71" i="13" s="1"/>
  <c r="M15" i="27" l="1"/>
  <c r="G15" i="27" s="1"/>
  <c r="L16" i="27"/>
  <c r="F15" i="27"/>
  <c r="E16" i="27"/>
  <c r="D17" i="21"/>
  <c r="E5" i="21"/>
  <c r="F4" i="21"/>
  <c r="E15" i="26"/>
  <c r="F14" i="26"/>
  <c r="L14" i="26"/>
  <c r="M13" i="26"/>
  <c r="G13" i="26" s="1"/>
  <c r="G4" i="16"/>
  <c r="L6" i="15"/>
  <c r="M5" i="15"/>
  <c r="M25" i="21"/>
  <c r="L26" i="21"/>
  <c r="M7" i="21"/>
  <c r="L8" i="21"/>
  <c r="F25" i="21"/>
  <c r="E26" i="21"/>
  <c r="G4" i="18"/>
  <c r="E8" i="18"/>
  <c r="F7" i="18"/>
  <c r="M25" i="18"/>
  <c r="L26" i="18"/>
  <c r="F23" i="18"/>
  <c r="E24" i="18"/>
  <c r="M6" i="18"/>
  <c r="L7" i="18"/>
  <c r="F23" i="17"/>
  <c r="E24" i="17"/>
  <c r="E8" i="17"/>
  <c r="F7" i="17"/>
  <c r="M6" i="17"/>
  <c r="L7" i="17"/>
  <c r="M22" i="17"/>
  <c r="L23" i="17"/>
  <c r="F24" i="16"/>
  <c r="E25" i="16"/>
  <c r="L7" i="16"/>
  <c r="M6" i="16"/>
  <c r="M24" i="16"/>
  <c r="L25" i="16"/>
  <c r="M25" i="15"/>
  <c r="L26" i="15"/>
  <c r="E25" i="15"/>
  <c r="F24" i="15"/>
  <c r="AN15" i="13"/>
  <c r="AB15" i="13"/>
  <c r="AP15" i="13"/>
  <c r="P15" i="13"/>
  <c r="P13" i="13"/>
  <c r="AP13" i="13"/>
  <c r="AN13" i="13"/>
  <c r="M22" i="14"/>
  <c r="L23" i="14"/>
  <c r="L5" i="14"/>
  <c r="M4" i="14"/>
  <c r="G4" i="14" s="1"/>
  <c r="F22" i="14"/>
  <c r="E23" i="14"/>
  <c r="AP12" i="13"/>
  <c r="P12" i="13"/>
  <c r="AN12" i="13"/>
  <c r="AB12" i="13"/>
  <c r="P11" i="13"/>
  <c r="AP11" i="13"/>
  <c r="AB11" i="13"/>
  <c r="AN11" i="13"/>
  <c r="AP10" i="13"/>
  <c r="P10" i="13"/>
  <c r="AN10" i="13"/>
  <c r="AB10" i="13"/>
  <c r="AB14" i="13"/>
  <c r="P14" i="13"/>
  <c r="AP14" i="13"/>
  <c r="AN14" i="13"/>
  <c r="AD13" i="13"/>
  <c r="Q7" i="13"/>
  <c r="R7" i="13"/>
  <c r="T7" i="13"/>
  <c r="U7" i="13"/>
  <c r="W7" i="13"/>
  <c r="X7" i="13"/>
  <c r="AC7" i="13"/>
  <c r="AE7" i="13"/>
  <c r="AJ7" i="13"/>
  <c r="Q8" i="13"/>
  <c r="R8" i="13"/>
  <c r="T8" i="13"/>
  <c r="U8" i="13"/>
  <c r="W8" i="13"/>
  <c r="X8" i="13"/>
  <c r="AC8" i="13"/>
  <c r="AE8" i="13"/>
  <c r="AJ8" i="13"/>
  <c r="Q9" i="13"/>
  <c r="R9" i="13"/>
  <c r="T9" i="13"/>
  <c r="U9" i="13"/>
  <c r="W9" i="13"/>
  <c r="X9" i="13"/>
  <c r="AC9" i="13"/>
  <c r="AE9" i="13"/>
  <c r="AJ9" i="13"/>
  <c r="E17" i="27" l="1"/>
  <c r="F16" i="27"/>
  <c r="M16" i="27"/>
  <c r="G16" i="27" s="1"/>
  <c r="L17" i="27"/>
  <c r="E6" i="21"/>
  <c r="F5" i="21"/>
  <c r="L15" i="26"/>
  <c r="M14" i="26"/>
  <c r="G14" i="26" s="1"/>
  <c r="E16" i="26"/>
  <c r="F15" i="26"/>
  <c r="M6" i="15"/>
  <c r="L7" i="15"/>
  <c r="M26" i="21"/>
  <c r="L27" i="21"/>
  <c r="L9" i="21"/>
  <c r="M8" i="21"/>
  <c r="F26" i="21"/>
  <c r="E27" i="21"/>
  <c r="F24" i="18"/>
  <c r="E25" i="18"/>
  <c r="M7" i="18"/>
  <c r="G7" i="18" s="1"/>
  <c r="L8" i="18"/>
  <c r="M26" i="18"/>
  <c r="L27" i="18"/>
  <c r="F8" i="18"/>
  <c r="E9" i="18"/>
  <c r="M7" i="17"/>
  <c r="G7" i="17" s="1"/>
  <c r="L8" i="17"/>
  <c r="F24" i="17"/>
  <c r="E25" i="17"/>
  <c r="M23" i="17"/>
  <c r="L24" i="17"/>
  <c r="F8" i="17"/>
  <c r="E9" i="17"/>
  <c r="L26" i="16"/>
  <c r="M25" i="16"/>
  <c r="M7" i="16"/>
  <c r="G7" i="16" s="1"/>
  <c r="L8" i="16"/>
  <c r="F25" i="16"/>
  <c r="E26" i="16"/>
  <c r="F25" i="15"/>
  <c r="E26" i="15"/>
  <c r="L27" i="15"/>
  <c r="M26" i="15"/>
  <c r="S7" i="13"/>
  <c r="S9" i="13"/>
  <c r="Y7" i="13"/>
  <c r="V7" i="13"/>
  <c r="Y8" i="13"/>
  <c r="AD8" i="13" s="1"/>
  <c r="S8" i="13"/>
  <c r="V9" i="13"/>
  <c r="F23" i="14"/>
  <c r="E24" i="14"/>
  <c r="L6" i="14"/>
  <c r="M5" i="14"/>
  <c r="L24" i="14"/>
  <c r="M23" i="14"/>
  <c r="AQ9" i="13"/>
  <c r="AR9" i="13"/>
  <c r="V8" i="13"/>
  <c r="Y9" i="13"/>
  <c r="AQ8" i="13"/>
  <c r="AR8" i="13"/>
  <c r="AR7" i="13"/>
  <c r="AQ7" i="13"/>
  <c r="X4" i="13"/>
  <c r="X5" i="13"/>
  <c r="X6" i="13"/>
  <c r="X3" i="13"/>
  <c r="U4" i="13"/>
  <c r="U5" i="13"/>
  <c r="U6" i="13"/>
  <c r="U3" i="13"/>
  <c r="R4" i="13"/>
  <c r="R5" i="13"/>
  <c r="R6" i="13"/>
  <c r="R3" i="13"/>
  <c r="F16" i="26" l="1"/>
  <c r="E17" i="26"/>
  <c r="M17" i="27"/>
  <c r="G17" i="27" s="1"/>
  <c r="L18" i="27"/>
  <c r="E18" i="27"/>
  <c r="F17" i="27"/>
  <c r="E7" i="21"/>
  <c r="F6" i="21"/>
  <c r="L16" i="26"/>
  <c r="M15" i="26"/>
  <c r="G15" i="26" s="1"/>
  <c r="L8" i="15"/>
  <c r="M7" i="15"/>
  <c r="F27" i="21"/>
  <c r="E28" i="21"/>
  <c r="L10" i="21"/>
  <c r="M9" i="21"/>
  <c r="M27" i="21"/>
  <c r="L28" i="21"/>
  <c r="F25" i="18"/>
  <c r="E26" i="18"/>
  <c r="F9" i="18"/>
  <c r="E10" i="18"/>
  <c r="M27" i="18"/>
  <c r="L28" i="18"/>
  <c r="M8" i="18"/>
  <c r="L9" i="18"/>
  <c r="F9" i="17"/>
  <c r="E10" i="17"/>
  <c r="M8" i="17"/>
  <c r="L9" i="17"/>
  <c r="M24" i="17"/>
  <c r="L25" i="17"/>
  <c r="F25" i="17"/>
  <c r="E26" i="17"/>
  <c r="F26" i="16"/>
  <c r="E27" i="16"/>
  <c r="M26" i="16"/>
  <c r="L27" i="16"/>
  <c r="M8" i="16"/>
  <c r="L9" i="16"/>
  <c r="M27" i="15"/>
  <c r="L28" i="15"/>
  <c r="F26" i="15"/>
  <c r="E27" i="15"/>
  <c r="X17" i="13"/>
  <c r="X74" i="13" s="1"/>
  <c r="U17" i="13"/>
  <c r="U74" i="13" s="1"/>
  <c r="M24" i="14"/>
  <c r="L25" i="14"/>
  <c r="L7" i="14"/>
  <c r="M6" i="14"/>
  <c r="F24" i="14"/>
  <c r="E25" i="14"/>
  <c r="AB7" i="13"/>
  <c r="AN7" i="13"/>
  <c r="P7" i="13"/>
  <c r="AP7" i="13"/>
  <c r="R17" i="13"/>
  <c r="R74" i="13" s="1"/>
  <c r="AD7" i="13"/>
  <c r="P8" i="13"/>
  <c r="AN8" i="13"/>
  <c r="AB8" i="13"/>
  <c r="AP8" i="13"/>
  <c r="AD9" i="13"/>
  <c r="AP9" i="13"/>
  <c r="P9" i="13"/>
  <c r="AN9" i="13"/>
  <c r="AB9" i="13"/>
  <c r="AJ6" i="13"/>
  <c r="AE6" i="13"/>
  <c r="AC6" i="13"/>
  <c r="W6" i="13"/>
  <c r="Y6" i="13" s="1"/>
  <c r="T6" i="13"/>
  <c r="V6" i="13" s="1"/>
  <c r="AJ5" i="13"/>
  <c r="AE5" i="13"/>
  <c r="AC5" i="13"/>
  <c r="W5" i="13"/>
  <c r="Y5" i="13" s="1"/>
  <c r="T5" i="13"/>
  <c r="V5" i="13" s="1"/>
  <c r="AJ4" i="13"/>
  <c r="AE4" i="13"/>
  <c r="AC4" i="13"/>
  <c r="W4" i="13"/>
  <c r="Y4" i="13" s="1"/>
  <c r="T4" i="13"/>
  <c r="V4" i="13" s="1"/>
  <c r="AJ3" i="13"/>
  <c r="AE3" i="13"/>
  <c r="AC3" i="13"/>
  <c r="W3" i="13"/>
  <c r="T3" i="13"/>
  <c r="Q4" i="13"/>
  <c r="S4" i="13" s="1"/>
  <c r="Q5" i="13"/>
  <c r="S5" i="13" s="1"/>
  <c r="Q6" i="13"/>
  <c r="S6" i="13" s="1"/>
  <c r="Q3" i="13"/>
  <c r="M16" i="26" l="1"/>
  <c r="G16" i="26" s="1"/>
  <c r="L17" i="26"/>
  <c r="F17" i="26"/>
  <c r="E18" i="26"/>
  <c r="E19" i="27"/>
  <c r="F18" i="27"/>
  <c r="M18" i="27"/>
  <c r="G18" i="27" s="1"/>
  <c r="L19" i="27"/>
  <c r="E8" i="21"/>
  <c r="F7" i="21"/>
  <c r="G7" i="21"/>
  <c r="G5" i="16"/>
  <c r="G5" i="15"/>
  <c r="M8" i="15"/>
  <c r="L9" i="15"/>
  <c r="M28" i="21"/>
  <c r="L29" i="21"/>
  <c r="L11" i="21"/>
  <c r="M10" i="21"/>
  <c r="F28" i="21"/>
  <c r="E29" i="21"/>
  <c r="M28" i="18"/>
  <c r="L29" i="18"/>
  <c r="F10" i="18"/>
  <c r="E11" i="18"/>
  <c r="M9" i="18"/>
  <c r="G9" i="18" s="1"/>
  <c r="L10" i="18"/>
  <c r="F26" i="18"/>
  <c r="E27" i="18"/>
  <c r="F10" i="17"/>
  <c r="E11" i="17"/>
  <c r="F26" i="17"/>
  <c r="E27" i="17"/>
  <c r="M25" i="17"/>
  <c r="L26" i="17"/>
  <c r="M9" i="17"/>
  <c r="L10" i="17"/>
  <c r="M27" i="16"/>
  <c r="L28" i="16"/>
  <c r="M9" i="16"/>
  <c r="G9" i="16" s="1"/>
  <c r="L10" i="16"/>
  <c r="F27" i="16"/>
  <c r="E28" i="16"/>
  <c r="F27" i="15"/>
  <c r="E28" i="15"/>
  <c r="L29" i="15"/>
  <c r="M28" i="15"/>
  <c r="AC17" i="13"/>
  <c r="AC74" i="13" s="1"/>
  <c r="AE17" i="13"/>
  <c r="AE74" i="13" s="1"/>
  <c r="F25" i="14"/>
  <c r="E26" i="14"/>
  <c r="M7" i="14"/>
  <c r="L8" i="14"/>
  <c r="M25" i="14"/>
  <c r="L26" i="14"/>
  <c r="AD5" i="13"/>
  <c r="S3" i="13"/>
  <c r="S17" i="13" s="1"/>
  <c r="AQ3" i="13"/>
  <c r="Q17" i="13"/>
  <c r="AR3" i="13"/>
  <c r="AQ6" i="13"/>
  <c r="AR6" i="13"/>
  <c r="AJ17" i="13"/>
  <c r="AJ74" i="13" s="1"/>
  <c r="AQ5" i="13"/>
  <c r="AR5" i="13"/>
  <c r="AD4" i="13"/>
  <c r="AQ4" i="13"/>
  <c r="AR4" i="13"/>
  <c r="V3" i="13"/>
  <c r="T17" i="13"/>
  <c r="T74" i="13" s="1"/>
  <c r="AD6" i="13"/>
  <c r="Y3" i="13"/>
  <c r="W17" i="13"/>
  <c r="W74" i="13" s="1"/>
  <c r="M17" i="26" l="1"/>
  <c r="G17" i="26" s="1"/>
  <c r="L18" i="26"/>
  <c r="E19" i="26"/>
  <c r="F18" i="26"/>
  <c r="M19" i="27"/>
  <c r="G19" i="27" s="1"/>
  <c r="L20" i="27"/>
  <c r="F19" i="27"/>
  <c r="E20" i="27"/>
  <c r="F8" i="21"/>
  <c r="E9" i="21"/>
  <c r="G6" i="21"/>
  <c r="G6" i="15"/>
  <c r="L10" i="15"/>
  <c r="M9" i="15"/>
  <c r="M29" i="21"/>
  <c r="L30" i="21"/>
  <c r="E30" i="21"/>
  <c r="F29" i="21"/>
  <c r="L12" i="21"/>
  <c r="M11" i="21"/>
  <c r="G11" i="21" s="1"/>
  <c r="G9" i="17"/>
  <c r="G5" i="17"/>
  <c r="F11" i="18"/>
  <c r="E12" i="18"/>
  <c r="M29" i="18"/>
  <c r="L30" i="18"/>
  <c r="F27" i="18"/>
  <c r="E28" i="18"/>
  <c r="L11" i="18"/>
  <c r="M10" i="18"/>
  <c r="G10" i="18" s="1"/>
  <c r="M26" i="17"/>
  <c r="L27" i="17"/>
  <c r="L11" i="17"/>
  <c r="M10" i="17"/>
  <c r="F27" i="17"/>
  <c r="E28" i="17"/>
  <c r="F11" i="17"/>
  <c r="E12" i="17"/>
  <c r="F28" i="16"/>
  <c r="E29" i="16"/>
  <c r="M28" i="16"/>
  <c r="L29" i="16"/>
  <c r="L11" i="16"/>
  <c r="M10" i="16"/>
  <c r="F28" i="15"/>
  <c r="E29" i="15"/>
  <c r="M29" i="15"/>
  <c r="L30" i="15"/>
  <c r="M26" i="14"/>
  <c r="L27" i="14"/>
  <c r="L9" i="14"/>
  <c r="M8" i="14"/>
  <c r="G7" i="14" s="1"/>
  <c r="F26" i="14"/>
  <c r="E27" i="14"/>
  <c r="AK74" i="13"/>
  <c r="V17" i="13"/>
  <c r="V74" i="13" s="1"/>
  <c r="AQ16" i="13"/>
  <c r="S74" i="13"/>
  <c r="AB3" i="13"/>
  <c r="AP3" i="13"/>
  <c r="AN3" i="13"/>
  <c r="P3" i="13"/>
  <c r="AD3" i="13"/>
  <c r="Y17" i="13"/>
  <c r="AB4" i="13"/>
  <c r="AN4" i="13"/>
  <c r="P4" i="13"/>
  <c r="AP4" i="13"/>
  <c r="AP5" i="13"/>
  <c r="AN5" i="13"/>
  <c r="P5" i="13"/>
  <c r="AB5" i="13"/>
  <c r="AP6" i="13"/>
  <c r="P6" i="13"/>
  <c r="AN6" i="13"/>
  <c r="AB6" i="13"/>
  <c r="Q74" i="13"/>
  <c r="AR74" i="13" s="1"/>
  <c r="AR17" i="13"/>
  <c r="AR16" i="13"/>
  <c r="L19" i="26" l="1"/>
  <c r="M18" i="26"/>
  <c r="G18" i="26" s="1"/>
  <c r="F19" i="26"/>
  <c r="E20" i="26"/>
  <c r="F20" i="27"/>
  <c r="E21" i="27"/>
  <c r="L21" i="27"/>
  <c r="M20" i="27"/>
  <c r="G20" i="27" s="1"/>
  <c r="F9" i="21"/>
  <c r="E10" i="21"/>
  <c r="G10" i="16"/>
  <c r="G6" i="16"/>
  <c r="G9" i="15"/>
  <c r="G7" i="15"/>
  <c r="M10" i="15"/>
  <c r="G10" i="15" s="1"/>
  <c r="L11" i="15"/>
  <c r="M30" i="21"/>
  <c r="L31" i="21"/>
  <c r="M12" i="21"/>
  <c r="G8" i="21" s="1"/>
  <c r="L13" i="21"/>
  <c r="F30" i="21"/>
  <c r="E31" i="21"/>
  <c r="G10" i="17"/>
  <c r="G6" i="17"/>
  <c r="L12" i="18"/>
  <c r="M11" i="18"/>
  <c r="M30" i="18"/>
  <c r="L31" i="18"/>
  <c r="F28" i="18"/>
  <c r="E29" i="18"/>
  <c r="F12" i="18"/>
  <c r="E13" i="18"/>
  <c r="F12" i="17"/>
  <c r="E13" i="17"/>
  <c r="L12" i="17"/>
  <c r="M11" i="17"/>
  <c r="F28" i="17"/>
  <c r="E29" i="17"/>
  <c r="M27" i="17"/>
  <c r="L28" i="17"/>
  <c r="M29" i="16"/>
  <c r="L30" i="16"/>
  <c r="L12" i="16"/>
  <c r="M11" i="16"/>
  <c r="F29" i="16"/>
  <c r="E30" i="16"/>
  <c r="M30" i="15"/>
  <c r="L31" i="15"/>
  <c r="F29" i="15"/>
  <c r="E30" i="15"/>
  <c r="AP16" i="13"/>
  <c r="E28" i="14"/>
  <c r="F27" i="14"/>
  <c r="L10" i="14"/>
  <c r="M9" i="14"/>
  <c r="M27" i="14"/>
  <c r="L28" i="14"/>
  <c r="AB17" i="13"/>
  <c r="AB74" i="13" s="1"/>
  <c r="Y74" i="13"/>
  <c r="AD17" i="13"/>
  <c r="AN16" i="13"/>
  <c r="M19" i="26" l="1"/>
  <c r="G19" i="26" s="1"/>
  <c r="L20" i="26"/>
  <c r="F20" i="26"/>
  <c r="E21" i="26"/>
  <c r="L22" i="27"/>
  <c r="M21" i="27"/>
  <c r="G21" i="27" s="1"/>
  <c r="F21" i="27"/>
  <c r="E22" i="27"/>
  <c r="F10" i="21"/>
  <c r="E11" i="21"/>
  <c r="M11" i="15"/>
  <c r="L12" i="15"/>
  <c r="M13" i="21"/>
  <c r="G9" i="21" s="1"/>
  <c r="L14" i="21"/>
  <c r="E32" i="21"/>
  <c r="F31" i="21"/>
  <c r="M31" i="21"/>
  <c r="L32" i="21"/>
  <c r="G5" i="18"/>
  <c r="G8" i="17"/>
  <c r="M31" i="18"/>
  <c r="L32" i="18"/>
  <c r="F13" i="18"/>
  <c r="E14" i="18"/>
  <c r="F29" i="18"/>
  <c r="E30" i="18"/>
  <c r="M12" i="18"/>
  <c r="L13" i="18"/>
  <c r="M28" i="17"/>
  <c r="L29" i="17"/>
  <c r="M12" i="17"/>
  <c r="G12" i="17" s="1"/>
  <c r="L13" i="17"/>
  <c r="F29" i="17"/>
  <c r="E30" i="17"/>
  <c r="F13" i="17"/>
  <c r="E14" i="17"/>
  <c r="F30" i="16"/>
  <c r="E31" i="16"/>
  <c r="M12" i="16"/>
  <c r="G12" i="16" s="1"/>
  <c r="L13" i="16"/>
  <c r="M30" i="16"/>
  <c r="L31" i="16"/>
  <c r="F30" i="15"/>
  <c r="E31" i="15"/>
  <c r="M31" i="15"/>
  <c r="L32" i="15"/>
  <c r="M28" i="14"/>
  <c r="L29" i="14"/>
  <c r="L11" i="14"/>
  <c r="M10" i="14"/>
  <c r="F28" i="14"/>
  <c r="E29" i="14"/>
  <c r="AA40" i="13"/>
  <c r="AA67" i="13"/>
  <c r="AA28" i="13"/>
  <c r="AA30" i="13"/>
  <c r="AA53" i="13"/>
  <c r="AA58" i="13"/>
  <c r="AA13" i="13"/>
  <c r="AA45" i="13"/>
  <c r="AA42" i="13"/>
  <c r="AA62" i="13"/>
  <c r="AA66" i="13"/>
  <c r="AA33" i="13"/>
  <c r="AA25" i="13"/>
  <c r="AA64" i="13"/>
  <c r="AA29" i="13"/>
  <c r="AA65" i="13"/>
  <c r="AA23" i="13"/>
  <c r="AA27" i="13"/>
  <c r="AA21" i="13"/>
  <c r="AA63" i="13"/>
  <c r="AA11" i="13"/>
  <c r="AA44" i="13"/>
  <c r="AA56" i="13"/>
  <c r="AA19" i="13"/>
  <c r="AA10" i="13"/>
  <c r="AA54" i="13"/>
  <c r="AA36" i="13"/>
  <c r="AA34" i="13"/>
  <c r="AA38" i="13"/>
  <c r="AA32" i="13"/>
  <c r="AA59" i="13"/>
  <c r="AA69" i="13"/>
  <c r="AA50" i="13"/>
  <c r="AA12" i="13"/>
  <c r="AA26" i="13"/>
  <c r="AA43" i="13"/>
  <c r="AA37" i="13"/>
  <c r="AA41" i="13"/>
  <c r="AA60" i="13"/>
  <c r="AA22" i="13"/>
  <c r="AA61" i="13"/>
  <c r="AA46" i="13"/>
  <c r="AA20" i="13"/>
  <c r="AA14" i="13"/>
  <c r="AA15" i="13"/>
  <c r="AA70" i="13"/>
  <c r="AA68" i="13"/>
  <c r="AA52" i="13"/>
  <c r="AA47" i="13"/>
  <c r="AA39" i="13"/>
  <c r="AA48" i="13"/>
  <c r="AA51" i="13"/>
  <c r="AA35" i="13"/>
  <c r="AA31" i="13"/>
  <c r="AA57" i="13"/>
  <c r="AA49" i="13"/>
  <c r="AA55" i="13"/>
  <c r="AA24" i="13"/>
  <c r="AA8" i="13"/>
  <c r="AA7" i="13"/>
  <c r="AA9" i="13"/>
  <c r="AA6" i="13"/>
  <c r="AA5" i="13"/>
  <c r="AA4" i="13"/>
  <c r="AD74" i="13"/>
  <c r="AA3" i="13"/>
  <c r="M20" i="26" l="1"/>
  <c r="G20" i="26" s="1"/>
  <c r="L21" i="26"/>
  <c r="F21" i="26"/>
  <c r="E22" i="26"/>
  <c r="F22" i="27"/>
  <c r="E23" i="27"/>
  <c r="L23" i="27"/>
  <c r="M22" i="27"/>
  <c r="G22" i="27" s="1"/>
  <c r="F11" i="21"/>
  <c r="E12" i="21"/>
  <c r="G12" i="21"/>
  <c r="L13" i="15"/>
  <c r="M12" i="15"/>
  <c r="G12" i="15" s="1"/>
  <c r="M32" i="21"/>
  <c r="L33" i="21"/>
  <c r="F32" i="21"/>
  <c r="E33" i="21"/>
  <c r="M14" i="21"/>
  <c r="L15" i="21"/>
  <c r="G6" i="18"/>
  <c r="G11" i="17"/>
  <c r="F30" i="18"/>
  <c r="E31" i="18"/>
  <c r="E15" i="18"/>
  <c r="F14" i="18"/>
  <c r="M32" i="18"/>
  <c r="L33" i="18"/>
  <c r="M13" i="18"/>
  <c r="L14" i="18"/>
  <c r="E15" i="17"/>
  <c r="F14" i="17"/>
  <c r="F30" i="17"/>
  <c r="E31" i="17"/>
  <c r="M13" i="17"/>
  <c r="G13" i="17" s="1"/>
  <c r="L14" i="17"/>
  <c r="M29" i="17"/>
  <c r="L30" i="17"/>
  <c r="M31" i="16"/>
  <c r="L32" i="16"/>
  <c r="M13" i="16"/>
  <c r="G13" i="16" s="1"/>
  <c r="L14" i="16"/>
  <c r="F31" i="16"/>
  <c r="E32" i="16"/>
  <c r="M32" i="15"/>
  <c r="L33" i="15"/>
  <c r="F31" i="15"/>
  <c r="E32" i="15"/>
  <c r="G10" i="14"/>
  <c r="M29" i="14"/>
  <c r="L30" i="14"/>
  <c r="F29" i="14"/>
  <c r="E30" i="14"/>
  <c r="L12" i="14"/>
  <c r="M11" i="14"/>
  <c r="AA72" i="13"/>
  <c r="AA17" i="13"/>
  <c r="L22" i="26" l="1"/>
  <c r="M21" i="26"/>
  <c r="G21" i="26" s="1"/>
  <c r="F22" i="26"/>
  <c r="E23" i="26"/>
  <c r="F23" i="27"/>
  <c r="E24" i="27"/>
  <c r="M23" i="27"/>
  <c r="G23" i="27" s="1"/>
  <c r="L24" i="27"/>
  <c r="G10" i="21"/>
  <c r="F12" i="21"/>
  <c r="E13" i="21"/>
  <c r="M13" i="15"/>
  <c r="L14" i="15"/>
  <c r="F33" i="21"/>
  <c r="E34" i="21"/>
  <c r="M15" i="21"/>
  <c r="G14" i="21" s="1"/>
  <c r="L16" i="21"/>
  <c r="M16" i="21" s="1"/>
  <c r="G16" i="21" s="1"/>
  <c r="M33" i="21"/>
  <c r="L34" i="21"/>
  <c r="G9" i="14"/>
  <c r="G5" i="14"/>
  <c r="G8" i="18"/>
  <c r="M14" i="18"/>
  <c r="L15" i="18"/>
  <c r="M33" i="18"/>
  <c r="L34" i="18"/>
  <c r="E16" i="18"/>
  <c r="F16" i="18" s="1"/>
  <c r="F15" i="18"/>
  <c r="F31" i="18"/>
  <c r="E32" i="18"/>
  <c r="M30" i="17"/>
  <c r="L31" i="17"/>
  <c r="M14" i="17"/>
  <c r="G14" i="17" s="1"/>
  <c r="L15" i="17"/>
  <c r="F31" i="17"/>
  <c r="E32" i="17"/>
  <c r="E16" i="17"/>
  <c r="F16" i="17" s="1"/>
  <c r="F15" i="17"/>
  <c r="F32" i="16"/>
  <c r="E33" i="16"/>
  <c r="L15" i="16"/>
  <c r="M14" i="16"/>
  <c r="G14" i="16" s="1"/>
  <c r="M32" i="16"/>
  <c r="L33" i="16"/>
  <c r="M33" i="15"/>
  <c r="L34" i="15"/>
  <c r="E33" i="15"/>
  <c r="F32" i="15"/>
  <c r="F30" i="14"/>
  <c r="E31" i="14"/>
  <c r="L13" i="14"/>
  <c r="M12" i="14"/>
  <c r="G6" i="14" s="1"/>
  <c r="M30" i="14"/>
  <c r="L31" i="14"/>
  <c r="AA74" i="13"/>
  <c r="M22" i="26" l="1"/>
  <c r="G22" i="26" s="1"/>
  <c r="L23" i="26"/>
  <c r="F23" i="26"/>
  <c r="E24" i="26"/>
  <c r="M24" i="27"/>
  <c r="G24" i="27" s="1"/>
  <c r="L25" i="27"/>
  <c r="F24" i="27"/>
  <c r="E25" i="27"/>
  <c r="E14" i="21"/>
  <c r="F13" i="21"/>
  <c r="G15" i="21"/>
  <c r="G13" i="21"/>
  <c r="G13" i="15"/>
  <c r="G8" i="15"/>
  <c r="M14" i="15"/>
  <c r="L15" i="15"/>
  <c r="M34" i="21"/>
  <c r="L35" i="21"/>
  <c r="F34" i="21"/>
  <c r="E35" i="21"/>
  <c r="G14" i="18"/>
  <c r="G11" i="18"/>
  <c r="M34" i="18"/>
  <c r="L35" i="18"/>
  <c r="F32" i="18"/>
  <c r="E33" i="18"/>
  <c r="M15" i="18"/>
  <c r="L16" i="18"/>
  <c r="M16" i="18" s="1"/>
  <c r="F32" i="17"/>
  <c r="E33" i="17"/>
  <c r="M15" i="17"/>
  <c r="G15" i="17" s="1"/>
  <c r="L16" i="17"/>
  <c r="M16" i="17" s="1"/>
  <c r="G16" i="17" s="1"/>
  <c r="M31" i="17"/>
  <c r="L32" i="17"/>
  <c r="M15" i="16"/>
  <c r="L16" i="16"/>
  <c r="M16" i="16" s="1"/>
  <c r="F33" i="16"/>
  <c r="E34" i="16"/>
  <c r="L34" i="16"/>
  <c r="M33" i="16"/>
  <c r="F33" i="15"/>
  <c r="E34" i="15"/>
  <c r="L35" i="15"/>
  <c r="M34" i="15"/>
  <c r="L32" i="14"/>
  <c r="M31" i="14"/>
  <c r="F31" i="14"/>
  <c r="E32" i="14"/>
  <c r="L14" i="14"/>
  <c r="M13" i="14"/>
  <c r="Y6" i="3"/>
  <c r="S6" i="3"/>
  <c r="Y5" i="3"/>
  <c r="S5" i="3"/>
  <c r="M23" i="26" l="1"/>
  <c r="L24" i="26"/>
  <c r="F24" i="26"/>
  <c r="E25" i="26"/>
  <c r="E26" i="27"/>
  <c r="F25" i="27"/>
  <c r="M25" i="27"/>
  <c r="G25" i="27" s="1"/>
  <c r="L26" i="27"/>
  <c r="E15" i="21"/>
  <c r="F14" i="21"/>
  <c r="G16" i="16"/>
  <c r="G8" i="16"/>
  <c r="G15" i="16"/>
  <c r="G11" i="16"/>
  <c r="G11" i="15"/>
  <c r="M15" i="15"/>
  <c r="G15" i="15" s="1"/>
  <c r="L16" i="15"/>
  <c r="M16" i="15" s="1"/>
  <c r="G16" i="15" s="1"/>
  <c r="F35" i="21"/>
  <c r="E36" i="21"/>
  <c r="M35" i="21"/>
  <c r="L36" i="21"/>
  <c r="G16" i="18"/>
  <c r="G13" i="18"/>
  <c r="G15" i="18"/>
  <c r="G12" i="18"/>
  <c r="F33" i="18"/>
  <c r="E34" i="18"/>
  <c r="M35" i="18"/>
  <c r="L36" i="18"/>
  <c r="M32" i="17"/>
  <c r="L33" i="17"/>
  <c r="F33" i="17"/>
  <c r="E34" i="17"/>
  <c r="F34" i="16"/>
  <c r="E35" i="16"/>
  <c r="M34" i="16"/>
  <c r="L35" i="16"/>
  <c r="F34" i="15"/>
  <c r="E35" i="15"/>
  <c r="M35" i="15"/>
  <c r="L36" i="15"/>
  <c r="G13" i="14"/>
  <c r="L15" i="14"/>
  <c r="M14" i="14"/>
  <c r="F32" i="14"/>
  <c r="E33" i="14"/>
  <c r="M32" i="14"/>
  <c r="L33" i="14"/>
  <c r="Y4" i="3"/>
  <c r="S4" i="3"/>
  <c r="G23" i="26" l="1"/>
  <c r="L25" i="26"/>
  <c r="M24" i="26"/>
  <c r="E26" i="26"/>
  <c r="F25" i="26"/>
  <c r="Y18" i="3"/>
  <c r="Y14" i="3"/>
  <c r="S18" i="3"/>
  <c r="S14" i="3"/>
  <c r="M26" i="27"/>
  <c r="G26" i="27" s="1"/>
  <c r="L27" i="27"/>
  <c r="E27" i="27"/>
  <c r="F26" i="27"/>
  <c r="E16" i="21"/>
  <c r="F16" i="21" s="1"/>
  <c r="F15" i="21"/>
  <c r="G14" i="15"/>
  <c r="M36" i="21"/>
  <c r="L37" i="21"/>
  <c r="F36" i="21"/>
  <c r="E37" i="21"/>
  <c r="G11" i="14"/>
  <c r="M36" i="18"/>
  <c r="L37" i="18"/>
  <c r="F34" i="18"/>
  <c r="E35" i="18"/>
  <c r="M33" i="17"/>
  <c r="L34" i="17"/>
  <c r="F34" i="17"/>
  <c r="E35" i="17"/>
  <c r="F35" i="16"/>
  <c r="E36" i="16"/>
  <c r="M35" i="16"/>
  <c r="L36" i="16"/>
  <c r="L37" i="15"/>
  <c r="M36" i="15"/>
  <c r="F35" i="15"/>
  <c r="E36" i="15"/>
  <c r="M33" i="14"/>
  <c r="L34" i="14"/>
  <c r="F33" i="14"/>
  <c r="E34" i="14"/>
  <c r="M15" i="14"/>
  <c r="G12" i="14" s="1"/>
  <c r="L16" i="14"/>
  <c r="M16" i="14" s="1"/>
  <c r="AF75" i="12"/>
  <c r="P74" i="12"/>
  <c r="O74" i="12"/>
  <c r="N74" i="12"/>
  <c r="M74" i="12"/>
  <c r="K74" i="12"/>
  <c r="I74" i="12"/>
  <c r="AJ72" i="12"/>
  <c r="AH72" i="12"/>
  <c r="AG72" i="12"/>
  <c r="AF72" i="12"/>
  <c r="AE72" i="12"/>
  <c r="AC72" i="12"/>
  <c r="X72" i="12"/>
  <c r="W72" i="12"/>
  <c r="U72" i="12"/>
  <c r="T72" i="12"/>
  <c r="R72" i="12"/>
  <c r="Q72" i="12"/>
  <c r="L72" i="12"/>
  <c r="H72" i="12"/>
  <c r="G72" i="12"/>
  <c r="F72" i="12"/>
  <c r="AU70" i="12"/>
  <c r="AR70" i="12"/>
  <c r="AQ70" i="12"/>
  <c r="AO70" i="12"/>
  <c r="Z70" i="12"/>
  <c r="Y70" i="12"/>
  <c r="V70" i="12"/>
  <c r="AK70" i="12" s="1"/>
  <c r="S70" i="12"/>
  <c r="AN70" i="12" s="1"/>
  <c r="AT70" i="12" s="1"/>
  <c r="O70" i="12"/>
  <c r="J70" i="12"/>
  <c r="E70" i="12"/>
  <c r="AR69" i="12"/>
  <c r="AQ69" i="12"/>
  <c r="AO69" i="12"/>
  <c r="AU69" i="12" s="1"/>
  <c r="AN69" i="12"/>
  <c r="AT69" i="12" s="1"/>
  <c r="Z69" i="12"/>
  <c r="Y69" i="12"/>
  <c r="V69" i="12"/>
  <c r="AK69" i="12" s="1"/>
  <c r="S69" i="12"/>
  <c r="O69" i="12"/>
  <c r="E69" i="12"/>
  <c r="J69" i="12" s="1"/>
  <c r="AU68" i="12"/>
  <c r="AR68" i="12"/>
  <c r="AQ68" i="12"/>
  <c r="AO68" i="12"/>
  <c r="Z68" i="12"/>
  <c r="Y68" i="12"/>
  <c r="V68" i="12"/>
  <c r="AK68" i="12" s="1"/>
  <c r="S68" i="12"/>
  <c r="AN68" i="12" s="1"/>
  <c r="AT68" i="12" s="1"/>
  <c r="O68" i="12"/>
  <c r="E68" i="12"/>
  <c r="J68" i="12" s="1"/>
  <c r="AR67" i="12"/>
  <c r="AQ67" i="12"/>
  <c r="AO67" i="12"/>
  <c r="AU67" i="12" s="1"/>
  <c r="AN67" i="12"/>
  <c r="AT67" i="12" s="1"/>
  <c r="Z67" i="12"/>
  <c r="Y67" i="12"/>
  <c r="V67" i="12"/>
  <c r="AK67" i="12" s="1"/>
  <c r="S67" i="12"/>
  <c r="O67" i="12"/>
  <c r="E67" i="12"/>
  <c r="J67" i="12" s="1"/>
  <c r="AU66" i="12"/>
  <c r="AR66" i="12"/>
  <c r="AQ66" i="12"/>
  <c r="AO66" i="12"/>
  <c r="Z66" i="12"/>
  <c r="Y66" i="12"/>
  <c r="V66" i="12"/>
  <c r="AK66" i="12" s="1"/>
  <c r="S66" i="12"/>
  <c r="AN66" i="12" s="1"/>
  <c r="AT66" i="12" s="1"/>
  <c r="O66" i="12"/>
  <c r="J66" i="12"/>
  <c r="E66" i="12"/>
  <c r="AR65" i="12"/>
  <c r="AQ65" i="12"/>
  <c r="AO65" i="12"/>
  <c r="AU65" i="12" s="1"/>
  <c r="Z65" i="12"/>
  <c r="Y65" i="12"/>
  <c r="V65" i="12"/>
  <c r="AK65" i="12" s="1"/>
  <c r="S65" i="12"/>
  <c r="AN65" i="12" s="1"/>
  <c r="AT65" i="12" s="1"/>
  <c r="O65" i="12"/>
  <c r="J65" i="12"/>
  <c r="E65" i="12"/>
  <c r="AR64" i="12"/>
  <c r="AQ64" i="12"/>
  <c r="AO64" i="12"/>
  <c r="AU64" i="12" s="1"/>
  <c r="AN64" i="12"/>
  <c r="AT64" i="12" s="1"/>
  <c r="Z64" i="12"/>
  <c r="Y64" i="12"/>
  <c r="V64" i="12"/>
  <c r="AK64" i="12" s="1"/>
  <c r="S64" i="12"/>
  <c r="O64" i="12"/>
  <c r="E64" i="12"/>
  <c r="J64" i="12" s="1"/>
  <c r="AU63" i="12"/>
  <c r="AR63" i="12"/>
  <c r="AQ63" i="12"/>
  <c r="AO63" i="12"/>
  <c r="Z63" i="12"/>
  <c r="Y63" i="12"/>
  <c r="V63" i="12"/>
  <c r="AK63" i="12" s="1"/>
  <c r="S63" i="12"/>
  <c r="AN63" i="12" s="1"/>
  <c r="AT63" i="12" s="1"/>
  <c r="O63" i="12"/>
  <c r="J63" i="12"/>
  <c r="E63" i="12"/>
  <c r="AR62" i="12"/>
  <c r="AQ62" i="12"/>
  <c r="AO62" i="12"/>
  <c r="AU62" i="12" s="1"/>
  <c r="AN62" i="12"/>
  <c r="AT62" i="12" s="1"/>
  <c r="Z62" i="12"/>
  <c r="Y62" i="12"/>
  <c r="V62" i="12"/>
  <c r="AK62" i="12" s="1"/>
  <c r="S62" i="12"/>
  <c r="O62" i="12"/>
  <c r="E62" i="12"/>
  <c r="J62" i="12" s="1"/>
  <c r="AU61" i="12"/>
  <c r="AR61" i="12"/>
  <c r="AQ61" i="12"/>
  <c r="AO61" i="12"/>
  <c r="Z61" i="12"/>
  <c r="Y61" i="12"/>
  <c r="V61" i="12"/>
  <c r="AK61" i="12" s="1"/>
  <c r="S61" i="12"/>
  <c r="AN61" i="12" s="1"/>
  <c r="AT61" i="12" s="1"/>
  <c r="O61" i="12"/>
  <c r="E61" i="12"/>
  <c r="J61" i="12" s="1"/>
  <c r="AR60" i="12"/>
  <c r="AQ60" i="12"/>
  <c r="AO60" i="12"/>
  <c r="AU60" i="12" s="1"/>
  <c r="AN60" i="12"/>
  <c r="AT60" i="12" s="1"/>
  <c r="Z60" i="12"/>
  <c r="Y60" i="12"/>
  <c r="V60" i="12"/>
  <c r="AK60" i="12" s="1"/>
  <c r="S60" i="12"/>
  <c r="O60" i="12"/>
  <c r="E60" i="12"/>
  <c r="J60" i="12" s="1"/>
  <c r="AU59" i="12"/>
  <c r="AR59" i="12"/>
  <c r="AQ59" i="12"/>
  <c r="AO59" i="12"/>
  <c r="Z59" i="12"/>
  <c r="Y59" i="12"/>
  <c r="V59" i="12"/>
  <c r="AK59" i="12" s="1"/>
  <c r="S59" i="12"/>
  <c r="AN59" i="12" s="1"/>
  <c r="AT59" i="12" s="1"/>
  <c r="O59" i="12"/>
  <c r="E59" i="12"/>
  <c r="J59" i="12" s="1"/>
  <c r="AR58" i="12"/>
  <c r="AQ58" i="12"/>
  <c r="AO58" i="12"/>
  <c r="AU58" i="12" s="1"/>
  <c r="Z58" i="12"/>
  <c r="Y58" i="12"/>
  <c r="V58" i="12"/>
  <c r="AK58" i="12" s="1"/>
  <c r="S58" i="12"/>
  <c r="AN58" i="12" s="1"/>
  <c r="AT58" i="12" s="1"/>
  <c r="O58" i="12"/>
  <c r="E58" i="12"/>
  <c r="J58" i="12" s="1"/>
  <c r="AR57" i="12"/>
  <c r="AQ57" i="12"/>
  <c r="AO57" i="12"/>
  <c r="AU57" i="12" s="1"/>
  <c r="AN57" i="12"/>
  <c r="AT57" i="12" s="1"/>
  <c r="AD57" i="12"/>
  <c r="Z57" i="12"/>
  <c r="Y57" i="12"/>
  <c r="V57" i="12"/>
  <c r="AK57" i="12" s="1"/>
  <c r="S57" i="12"/>
  <c r="O57" i="12"/>
  <c r="E57" i="12"/>
  <c r="J57" i="12" s="1"/>
  <c r="AU56" i="12"/>
  <c r="AR56" i="12"/>
  <c r="AQ56" i="12"/>
  <c r="AO56" i="12"/>
  <c r="Z56" i="12"/>
  <c r="Y56" i="12"/>
  <c r="V56" i="12"/>
  <c r="AK56" i="12" s="1"/>
  <c r="S56" i="12"/>
  <c r="AN56" i="12" s="1"/>
  <c r="AT56" i="12" s="1"/>
  <c r="O56" i="12"/>
  <c r="E56" i="12"/>
  <c r="J56" i="12" s="1"/>
  <c r="AR55" i="12"/>
  <c r="AQ55" i="12"/>
  <c r="AO55" i="12"/>
  <c r="AU55" i="12" s="1"/>
  <c r="AN55" i="12"/>
  <c r="AT55" i="12" s="1"/>
  <c r="Z55" i="12"/>
  <c r="Y55" i="12"/>
  <c r="AD55" i="12" s="1"/>
  <c r="V55" i="12"/>
  <c r="AK55" i="12" s="1"/>
  <c r="S55" i="12"/>
  <c r="O55" i="12"/>
  <c r="E55" i="12"/>
  <c r="J55" i="12" s="1"/>
  <c r="AU54" i="12"/>
  <c r="AR54" i="12"/>
  <c r="AQ54" i="12"/>
  <c r="AO54" i="12"/>
  <c r="Z54" i="12"/>
  <c r="Y54" i="12"/>
  <c r="AD54" i="12" s="1"/>
  <c r="V54" i="12"/>
  <c r="AK54" i="12" s="1"/>
  <c r="S54" i="12"/>
  <c r="AN54" i="12" s="1"/>
  <c r="AT54" i="12" s="1"/>
  <c r="O54" i="12"/>
  <c r="E54" i="12"/>
  <c r="J54" i="12" s="1"/>
  <c r="AR53" i="12"/>
  <c r="AQ53" i="12"/>
  <c r="AO53" i="12"/>
  <c r="AU53" i="12" s="1"/>
  <c r="Z53" i="12"/>
  <c r="Y53" i="12"/>
  <c r="AD53" i="12" s="1"/>
  <c r="V53" i="12"/>
  <c r="AK53" i="12" s="1"/>
  <c r="S53" i="12"/>
  <c r="AN53" i="12" s="1"/>
  <c r="AT53" i="12" s="1"/>
  <c r="O53" i="12"/>
  <c r="J53" i="12"/>
  <c r="E53" i="12"/>
  <c r="AR52" i="12"/>
  <c r="AQ52" i="12"/>
  <c r="AO52" i="12"/>
  <c r="AU52" i="12" s="1"/>
  <c r="AN52" i="12"/>
  <c r="AT52" i="12" s="1"/>
  <c r="Z52" i="12"/>
  <c r="Y52" i="12"/>
  <c r="V52" i="12"/>
  <c r="AK52" i="12" s="1"/>
  <c r="S52" i="12"/>
  <c r="O52" i="12"/>
  <c r="E52" i="12"/>
  <c r="J52" i="12" s="1"/>
  <c r="AU51" i="12"/>
  <c r="AR51" i="12"/>
  <c r="AQ51" i="12"/>
  <c r="AO51" i="12"/>
  <c r="Z51" i="12"/>
  <c r="Y51" i="12"/>
  <c r="AD51" i="12" s="1"/>
  <c r="V51" i="12"/>
  <c r="AK51" i="12" s="1"/>
  <c r="S51" i="12"/>
  <c r="AN51" i="12" s="1"/>
  <c r="AT51" i="12" s="1"/>
  <c r="O51" i="12"/>
  <c r="J51" i="12"/>
  <c r="E51" i="12"/>
  <c r="AR50" i="12"/>
  <c r="AQ50" i="12"/>
  <c r="AO50" i="12"/>
  <c r="AU50" i="12" s="1"/>
  <c r="AK50" i="12"/>
  <c r="Z50" i="12"/>
  <c r="Y50" i="12"/>
  <c r="AD50" i="12" s="1"/>
  <c r="V50" i="12"/>
  <c r="S50" i="12"/>
  <c r="AN50" i="12" s="1"/>
  <c r="AT50" i="12" s="1"/>
  <c r="O50" i="12"/>
  <c r="E50" i="12"/>
  <c r="J50" i="12" s="1"/>
  <c r="AR49" i="12"/>
  <c r="AQ49" i="12"/>
  <c r="AO49" i="12"/>
  <c r="AU49" i="12" s="1"/>
  <c r="Z49" i="12"/>
  <c r="Y49" i="12"/>
  <c r="AD49" i="12" s="1"/>
  <c r="V49" i="12"/>
  <c r="AK49" i="12" s="1"/>
  <c r="S49" i="12"/>
  <c r="AN49" i="12" s="1"/>
  <c r="AT49" i="12" s="1"/>
  <c r="O49" i="12"/>
  <c r="E49" i="12"/>
  <c r="J49" i="12" s="1"/>
  <c r="AR48" i="12"/>
  <c r="AQ48" i="12"/>
  <c r="AO48" i="12"/>
  <c r="AU48" i="12" s="1"/>
  <c r="Z48" i="12"/>
  <c r="Y48" i="12"/>
  <c r="AD48" i="12" s="1"/>
  <c r="V48" i="12"/>
  <c r="AK48" i="12" s="1"/>
  <c r="S48" i="12"/>
  <c r="AN48" i="12" s="1"/>
  <c r="AT48" i="12" s="1"/>
  <c r="O48" i="12"/>
  <c r="J48" i="12"/>
  <c r="E48" i="12"/>
  <c r="AR47" i="12"/>
  <c r="AQ47" i="12"/>
  <c r="AO47" i="12"/>
  <c r="AU47" i="12" s="1"/>
  <c r="AB47" i="12"/>
  <c r="Z47" i="12"/>
  <c r="Y47" i="12"/>
  <c r="V47" i="12"/>
  <c r="AK47" i="12" s="1"/>
  <c r="S47" i="12"/>
  <c r="O47" i="12"/>
  <c r="E47" i="12"/>
  <c r="J47" i="12" s="1"/>
  <c r="AU46" i="12"/>
  <c r="AR46" i="12"/>
  <c r="AQ46" i="12"/>
  <c r="AO46" i="12"/>
  <c r="Z46" i="12"/>
  <c r="Y46" i="12"/>
  <c r="V46" i="12"/>
  <c r="AK46" i="12" s="1"/>
  <c r="S46" i="12"/>
  <c r="AB46" i="12" s="1"/>
  <c r="O46" i="12"/>
  <c r="J46" i="12"/>
  <c r="E46" i="12"/>
  <c r="AR45" i="12"/>
  <c r="AQ45" i="12"/>
  <c r="AO45" i="12"/>
  <c r="AU45" i="12" s="1"/>
  <c r="AK45" i="12"/>
  <c r="AD45" i="12"/>
  <c r="Z45" i="12"/>
  <c r="Y45" i="12"/>
  <c r="V45" i="12"/>
  <c r="S45" i="12"/>
  <c r="P45" i="12" s="1"/>
  <c r="O45" i="12"/>
  <c r="E45" i="12"/>
  <c r="J45" i="12" s="1"/>
  <c r="AU44" i="12"/>
  <c r="AR44" i="12"/>
  <c r="AQ44" i="12"/>
  <c r="AO44" i="12"/>
  <c r="Z44" i="12"/>
  <c r="Y44" i="12"/>
  <c r="AD44" i="12" s="1"/>
  <c r="V44" i="12"/>
  <c r="AK44" i="12" s="1"/>
  <c r="S44" i="12"/>
  <c r="AP44" i="12" s="1"/>
  <c r="O44" i="12"/>
  <c r="J44" i="12"/>
  <c r="E44" i="12"/>
  <c r="AR43" i="12"/>
  <c r="AQ43" i="12"/>
  <c r="AO43" i="12"/>
  <c r="AU43" i="12" s="1"/>
  <c r="Z43" i="12"/>
  <c r="Y43" i="12"/>
  <c r="V43" i="12"/>
  <c r="AK43" i="12" s="1"/>
  <c r="S43" i="12"/>
  <c r="AP43" i="12" s="1"/>
  <c r="P43" i="12"/>
  <c r="O43" i="12"/>
  <c r="J43" i="12"/>
  <c r="E43" i="12"/>
  <c r="AR42" i="12"/>
  <c r="AQ42" i="12"/>
  <c r="AO42" i="12"/>
  <c r="AU42" i="12" s="1"/>
  <c r="AN42" i="12"/>
  <c r="AT42" i="12" s="1"/>
  <c r="AK42" i="12"/>
  <c r="Z42" i="12"/>
  <c r="Y42" i="12"/>
  <c r="V42" i="12"/>
  <c r="S42" i="12"/>
  <c r="AP42" i="12" s="1"/>
  <c r="P42" i="12"/>
  <c r="O42" i="12"/>
  <c r="J42" i="12"/>
  <c r="E42" i="12"/>
  <c r="AR41" i="12"/>
  <c r="AQ41" i="12"/>
  <c r="AO41" i="12"/>
  <c r="AU41" i="12" s="1"/>
  <c r="AN41" i="12"/>
  <c r="AT41" i="12" s="1"/>
  <c r="AD41" i="12"/>
  <c r="Z41" i="12"/>
  <c r="Y41" i="12"/>
  <c r="V41" i="12"/>
  <c r="AK41" i="12" s="1"/>
  <c r="S41" i="12"/>
  <c r="AB41" i="12" s="1"/>
  <c r="P41" i="12"/>
  <c r="O41" i="12"/>
  <c r="E41" i="12"/>
  <c r="J41" i="12" s="1"/>
  <c r="AR40" i="12"/>
  <c r="AQ40" i="12"/>
  <c r="AO40" i="12"/>
  <c r="AU40" i="12" s="1"/>
  <c r="AB40" i="12"/>
  <c r="Z40" i="12"/>
  <c r="Y40" i="12"/>
  <c r="V40" i="12"/>
  <c r="AK40" i="12" s="1"/>
  <c r="S40" i="12"/>
  <c r="AP40" i="12" s="1"/>
  <c r="O40" i="12"/>
  <c r="E40" i="12"/>
  <c r="J40" i="12" s="1"/>
  <c r="AU39" i="12"/>
  <c r="AR39" i="12"/>
  <c r="AQ39" i="12"/>
  <c r="AO39" i="12"/>
  <c r="Z39" i="12"/>
  <c r="Y39" i="12"/>
  <c r="AD39" i="12" s="1"/>
  <c r="V39" i="12"/>
  <c r="AK39" i="12" s="1"/>
  <c r="S39" i="12"/>
  <c r="AB39" i="12" s="1"/>
  <c r="O39" i="12"/>
  <c r="E39" i="12"/>
  <c r="J39" i="12" s="1"/>
  <c r="AR38" i="12"/>
  <c r="AQ38" i="12"/>
  <c r="AO38" i="12"/>
  <c r="AU38" i="12" s="1"/>
  <c r="Z38" i="12"/>
  <c r="Y38" i="12"/>
  <c r="AD38" i="12" s="1"/>
  <c r="V38" i="12"/>
  <c r="AK38" i="12" s="1"/>
  <c r="S38" i="12"/>
  <c r="AB38" i="12" s="1"/>
  <c r="O38" i="12"/>
  <c r="E38" i="12"/>
  <c r="J38" i="12" s="1"/>
  <c r="AR37" i="12"/>
  <c r="AQ37" i="12"/>
  <c r="AP37" i="12"/>
  <c r="AO37" i="12"/>
  <c r="AU37" i="12" s="1"/>
  <c r="AN37" i="12"/>
  <c r="AT37" i="12" s="1"/>
  <c r="Z37" i="12"/>
  <c r="Y37" i="12"/>
  <c r="V37" i="12"/>
  <c r="AK37" i="12" s="1"/>
  <c r="S37" i="12"/>
  <c r="AB37" i="12" s="1"/>
  <c r="P37" i="12"/>
  <c r="O37" i="12"/>
  <c r="E37" i="12"/>
  <c r="J37" i="12" s="1"/>
  <c r="AR36" i="12"/>
  <c r="AQ36" i="12"/>
  <c r="AO36" i="12"/>
  <c r="AU36" i="12" s="1"/>
  <c r="AN36" i="12"/>
  <c r="AT36" i="12" s="1"/>
  <c r="AI36" i="12"/>
  <c r="Z36" i="12"/>
  <c r="Y36" i="12"/>
  <c r="V36" i="12"/>
  <c r="AK36" i="12" s="1"/>
  <c r="S36" i="12"/>
  <c r="AB36" i="12" s="1"/>
  <c r="O36" i="12"/>
  <c r="E36" i="12"/>
  <c r="J36" i="12" s="1"/>
  <c r="AU35" i="12"/>
  <c r="AR35" i="12"/>
  <c r="AQ35" i="12"/>
  <c r="AO35" i="12"/>
  <c r="AN35" i="12"/>
  <c r="AT35" i="12" s="1"/>
  <c r="Z35" i="12"/>
  <c r="Y35" i="12"/>
  <c r="AD35" i="12" s="1"/>
  <c r="V35" i="12"/>
  <c r="AK35" i="12" s="1"/>
  <c r="S35" i="12"/>
  <c r="AB35" i="12" s="1"/>
  <c r="P35" i="12"/>
  <c r="O35" i="12"/>
  <c r="E35" i="12"/>
  <c r="J35" i="12" s="1"/>
  <c r="AR34" i="12"/>
  <c r="AQ34" i="12"/>
  <c r="AO34" i="12"/>
  <c r="AU34" i="12" s="1"/>
  <c r="Z34" i="12"/>
  <c r="Y34" i="12"/>
  <c r="AD34" i="12" s="1"/>
  <c r="V34" i="12"/>
  <c r="AK34" i="12" s="1"/>
  <c r="S34" i="12"/>
  <c r="AB34" i="12" s="1"/>
  <c r="O34" i="12"/>
  <c r="E34" i="12"/>
  <c r="J34" i="12" s="1"/>
  <c r="AR33" i="12"/>
  <c r="AQ33" i="12"/>
  <c r="AO33" i="12"/>
  <c r="AU33" i="12" s="1"/>
  <c r="AN33" i="12"/>
  <c r="AT33" i="12" s="1"/>
  <c r="Z33" i="12"/>
  <c r="Y33" i="12"/>
  <c r="V33" i="12"/>
  <c r="AK33" i="12" s="1"/>
  <c r="S33" i="12"/>
  <c r="AB33" i="12" s="1"/>
  <c r="P33" i="12"/>
  <c r="O33" i="12"/>
  <c r="E33" i="12"/>
  <c r="J33" i="12" s="1"/>
  <c r="AR32" i="12"/>
  <c r="AQ32" i="12"/>
  <c r="AO32" i="12"/>
  <c r="AU32" i="12" s="1"/>
  <c r="AN32" i="12"/>
  <c r="AT32" i="12" s="1"/>
  <c r="AD32" i="12"/>
  <c r="AB32" i="12"/>
  <c r="Z32" i="12"/>
  <c r="Y32" i="12"/>
  <c r="V32" i="12"/>
  <c r="AK32" i="12" s="1"/>
  <c r="S32" i="12"/>
  <c r="AP32" i="12" s="1"/>
  <c r="P32" i="12"/>
  <c r="O32" i="12"/>
  <c r="E32" i="12"/>
  <c r="J32" i="12" s="1"/>
  <c r="AR31" i="12"/>
  <c r="AQ31" i="12"/>
  <c r="AO31" i="12"/>
  <c r="AU31" i="12" s="1"/>
  <c r="AD31" i="12"/>
  <c r="AB31" i="12"/>
  <c r="Z31" i="12"/>
  <c r="Y31" i="12"/>
  <c r="V31" i="12"/>
  <c r="AK31" i="12" s="1"/>
  <c r="S31" i="12"/>
  <c r="AP31" i="12" s="1"/>
  <c r="O31" i="12"/>
  <c r="E31" i="12"/>
  <c r="J31" i="12" s="1"/>
  <c r="AR30" i="12"/>
  <c r="AQ30" i="12"/>
  <c r="AO30" i="12"/>
  <c r="AU30" i="12" s="1"/>
  <c r="Z30" i="12"/>
  <c r="Y30" i="12"/>
  <c r="V30" i="12"/>
  <c r="AK30" i="12" s="1"/>
  <c r="S30" i="12"/>
  <c r="AP30" i="12" s="1"/>
  <c r="O30" i="12"/>
  <c r="E30" i="12"/>
  <c r="J30" i="12" s="1"/>
  <c r="AR29" i="12"/>
  <c r="AQ29" i="12"/>
  <c r="AP29" i="12"/>
  <c r="AO29" i="12"/>
  <c r="AU29" i="12" s="1"/>
  <c r="Z29" i="12"/>
  <c r="Y29" i="12"/>
  <c r="AD29" i="12" s="1"/>
  <c r="V29" i="12"/>
  <c r="AK29" i="12" s="1"/>
  <c r="S29" i="12"/>
  <c r="AN29" i="12" s="1"/>
  <c r="AT29" i="12" s="1"/>
  <c r="O29" i="12"/>
  <c r="E29" i="12"/>
  <c r="J29" i="12" s="1"/>
  <c r="AR28" i="12"/>
  <c r="AQ28" i="12"/>
  <c r="AP28" i="12"/>
  <c r="AO28" i="12"/>
  <c r="AU28" i="12" s="1"/>
  <c r="Z28" i="12"/>
  <c r="Y28" i="12"/>
  <c r="V28" i="12"/>
  <c r="AK28" i="12" s="1"/>
  <c r="S28" i="12"/>
  <c r="AB28" i="12" s="1"/>
  <c r="P28" i="12"/>
  <c r="O28" i="12"/>
  <c r="E28" i="12"/>
  <c r="J28" i="12" s="1"/>
  <c r="AR27" i="12"/>
  <c r="AQ27" i="12"/>
  <c r="AO27" i="12"/>
  <c r="AU27" i="12" s="1"/>
  <c r="AN27" i="12"/>
  <c r="AT27" i="12" s="1"/>
  <c r="AI27" i="12"/>
  <c r="AB27" i="12"/>
  <c r="Z27" i="12"/>
  <c r="Y27" i="12"/>
  <c r="V27" i="12"/>
  <c r="AK27" i="12" s="1"/>
  <c r="S27" i="12"/>
  <c r="AP27" i="12" s="1"/>
  <c r="O27" i="12"/>
  <c r="E27" i="12"/>
  <c r="J27" i="12" s="1"/>
  <c r="AU26" i="12"/>
  <c r="AR26" i="12"/>
  <c r="AQ26" i="12"/>
  <c r="AO26" i="12"/>
  <c r="AD26" i="12"/>
  <c r="AB26" i="12"/>
  <c r="Z26" i="12"/>
  <c r="Y26" i="12"/>
  <c r="V26" i="12"/>
  <c r="AK26" i="12" s="1"/>
  <c r="S26" i="12"/>
  <c r="AP26" i="12" s="1"/>
  <c r="O26" i="12"/>
  <c r="E26" i="12"/>
  <c r="J26" i="12" s="1"/>
  <c r="AR25" i="12"/>
  <c r="AQ25" i="12"/>
  <c r="AO25" i="12"/>
  <c r="AU25" i="12" s="1"/>
  <c r="Z25" i="12"/>
  <c r="Y25" i="12"/>
  <c r="V25" i="12"/>
  <c r="AK25" i="12" s="1"/>
  <c r="S25" i="12"/>
  <c r="AP25" i="12" s="1"/>
  <c r="P25" i="12"/>
  <c r="O25" i="12"/>
  <c r="E25" i="12"/>
  <c r="J25" i="12" s="1"/>
  <c r="AR24" i="12"/>
  <c r="AQ24" i="12"/>
  <c r="AO24" i="12"/>
  <c r="AU24" i="12" s="1"/>
  <c r="Z24" i="12"/>
  <c r="Y24" i="12"/>
  <c r="V24" i="12"/>
  <c r="AK24" i="12" s="1"/>
  <c r="S24" i="12"/>
  <c r="P24" i="12" s="1"/>
  <c r="O24" i="12"/>
  <c r="E24" i="12"/>
  <c r="J24" i="12" s="1"/>
  <c r="AR23" i="12"/>
  <c r="AQ23" i="12"/>
  <c r="AO23" i="12"/>
  <c r="AU23" i="12" s="1"/>
  <c r="AD23" i="12"/>
  <c r="Z23" i="12"/>
  <c r="Y23" i="12"/>
  <c r="V23" i="12"/>
  <c r="AK23" i="12" s="1"/>
  <c r="S23" i="12"/>
  <c r="AN23" i="12" s="1"/>
  <c r="AT23" i="12" s="1"/>
  <c r="P23" i="12"/>
  <c r="O23" i="12"/>
  <c r="E23" i="12"/>
  <c r="J23" i="12" s="1"/>
  <c r="AR22" i="12"/>
  <c r="AQ22" i="12"/>
  <c r="AO22" i="12"/>
  <c r="AU22" i="12" s="1"/>
  <c r="AN22" i="12"/>
  <c r="AT22" i="12" s="1"/>
  <c r="AI22" i="12"/>
  <c r="Z22" i="12"/>
  <c r="Y22" i="12"/>
  <c r="V22" i="12"/>
  <c r="AK22" i="12" s="1"/>
  <c r="S22" i="12"/>
  <c r="AB22" i="12" s="1"/>
  <c r="P22" i="12"/>
  <c r="O22" i="12"/>
  <c r="E22" i="12"/>
  <c r="J22" i="12" s="1"/>
  <c r="AR21" i="12"/>
  <c r="AQ21" i="12"/>
  <c r="AP21" i="12"/>
  <c r="AO21" i="12"/>
  <c r="AU21" i="12" s="1"/>
  <c r="AN21" i="12"/>
  <c r="AT21" i="12" s="1"/>
  <c r="AI21" i="12"/>
  <c r="AD21" i="12"/>
  <c r="Z21" i="12"/>
  <c r="Y21" i="12"/>
  <c r="V21" i="12"/>
  <c r="AK21" i="12" s="1"/>
  <c r="S21" i="12"/>
  <c r="AB21" i="12" s="1"/>
  <c r="P21" i="12"/>
  <c r="O21" i="12"/>
  <c r="E21" i="12"/>
  <c r="J21" i="12" s="1"/>
  <c r="AR20" i="12"/>
  <c r="AQ20" i="12"/>
  <c r="AO20" i="12"/>
  <c r="AU20" i="12" s="1"/>
  <c r="AI20" i="12"/>
  <c r="AD20" i="12"/>
  <c r="AB20" i="12"/>
  <c r="Z20" i="12"/>
  <c r="Y20" i="12"/>
  <c r="V20" i="12"/>
  <c r="AK20" i="12" s="1"/>
  <c r="S20" i="12"/>
  <c r="AP20" i="12" s="1"/>
  <c r="O20" i="12"/>
  <c r="E20" i="12"/>
  <c r="J20" i="12" s="1"/>
  <c r="AR19" i="12"/>
  <c r="AR71" i="12" s="1"/>
  <c r="AQ19" i="12"/>
  <c r="AP19" i="12"/>
  <c r="AO19" i="12"/>
  <c r="AU19" i="12" s="1"/>
  <c r="AN19" i="12"/>
  <c r="Z19" i="12"/>
  <c r="Y19" i="12"/>
  <c r="V19" i="12"/>
  <c r="AK19" i="12" s="1"/>
  <c r="S19" i="12"/>
  <c r="AB19" i="12" s="1"/>
  <c r="P19" i="12"/>
  <c r="O19" i="12"/>
  <c r="E19" i="12"/>
  <c r="AJ17" i="12"/>
  <c r="AJ74" i="12" s="1"/>
  <c r="U4" i="3" s="1"/>
  <c r="AH17" i="12"/>
  <c r="AH74" i="12" s="1"/>
  <c r="AG17" i="12"/>
  <c r="AF17" i="12"/>
  <c r="AF74" i="12" s="1"/>
  <c r="W4" i="3" s="1"/>
  <c r="AE17" i="12"/>
  <c r="AE74" i="12" s="1"/>
  <c r="AC17" i="12"/>
  <c r="AC74" i="12" s="1"/>
  <c r="R4" i="3" s="1"/>
  <c r="X17" i="12"/>
  <c r="X74" i="12" s="1"/>
  <c r="N4" i="3" s="1"/>
  <c r="W17" i="12"/>
  <c r="W74" i="12" s="1"/>
  <c r="M4" i="3" s="1"/>
  <c r="U17" i="12"/>
  <c r="U74" i="12" s="1"/>
  <c r="K4" i="3" s="1"/>
  <c r="T17" i="12"/>
  <c r="T74" i="12" s="1"/>
  <c r="J4" i="3" s="1"/>
  <c r="R17" i="12"/>
  <c r="Q17" i="12"/>
  <c r="L17" i="12"/>
  <c r="H17" i="12"/>
  <c r="H74" i="12" s="1"/>
  <c r="AI19" i="12" s="1"/>
  <c r="G17" i="12"/>
  <c r="G74" i="12" s="1"/>
  <c r="F17" i="12"/>
  <c r="F74" i="12" s="1"/>
  <c r="E17" i="12"/>
  <c r="AR15" i="12"/>
  <c r="AQ15" i="12"/>
  <c r="AP15" i="12"/>
  <c r="AO15" i="12"/>
  <c r="AN15" i="12"/>
  <c r="AT15" i="12" s="1"/>
  <c r="AK15" i="12"/>
  <c r="AB15" i="12"/>
  <c r="Z15" i="12"/>
  <c r="Y15" i="12"/>
  <c r="AD15" i="12" s="1"/>
  <c r="P15" i="12"/>
  <c r="O15" i="12"/>
  <c r="J15" i="12"/>
  <c r="AR14" i="12"/>
  <c r="AQ14" i="12"/>
  <c r="AO14" i="12"/>
  <c r="AI14" i="12"/>
  <c r="Z14" i="12"/>
  <c r="Y14" i="12"/>
  <c r="AD14" i="12" s="1"/>
  <c r="V14" i="12"/>
  <c r="AK14" i="12" s="1"/>
  <c r="AB14" i="12"/>
  <c r="O14" i="12"/>
  <c r="J14" i="12"/>
  <c r="AR13" i="12"/>
  <c r="AQ13" i="12"/>
  <c r="AO13" i="12"/>
  <c r="AB13" i="12"/>
  <c r="Z13" i="12"/>
  <c r="Y13" i="12"/>
  <c r="AD13" i="12" s="1"/>
  <c r="V13" i="12"/>
  <c r="AK13" i="12" s="1"/>
  <c r="AP13" i="12"/>
  <c r="O13" i="12"/>
  <c r="J13" i="12"/>
  <c r="AR12" i="12"/>
  <c r="AQ12" i="12"/>
  <c r="AO12" i="12"/>
  <c r="AI12" i="12"/>
  <c r="Z12" i="12"/>
  <c r="Y12" i="12"/>
  <c r="V12" i="12"/>
  <c r="AK12" i="12" s="1"/>
  <c r="AP12" i="12"/>
  <c r="O12" i="12"/>
  <c r="J12" i="12"/>
  <c r="AR11" i="12"/>
  <c r="AQ11" i="12"/>
  <c r="AO11" i="12"/>
  <c r="Z11" i="12"/>
  <c r="Y11" i="12"/>
  <c r="V11" i="12"/>
  <c r="AK11" i="12" s="1"/>
  <c r="AB11" i="12"/>
  <c r="P11" i="12"/>
  <c r="O11" i="12"/>
  <c r="J11" i="12"/>
  <c r="AR10" i="12"/>
  <c r="AQ10" i="12"/>
  <c r="AO10" i="12"/>
  <c r="AK10" i="12"/>
  <c r="AD10" i="12"/>
  <c r="Z10" i="12"/>
  <c r="Y10" i="12"/>
  <c r="V10" i="12"/>
  <c r="AB10" i="12"/>
  <c r="O10" i="12"/>
  <c r="J10" i="12"/>
  <c r="AR9" i="12"/>
  <c r="AQ9" i="12"/>
  <c r="AO9" i="12"/>
  <c r="AI9" i="12"/>
  <c r="Z9" i="12"/>
  <c r="Y9" i="12"/>
  <c r="AD9" i="12" s="1"/>
  <c r="V9" i="12"/>
  <c r="AK9" i="12" s="1"/>
  <c r="P9" i="12"/>
  <c r="O9" i="12"/>
  <c r="J9" i="12"/>
  <c r="AR8" i="12"/>
  <c r="AQ8" i="12"/>
  <c r="AO8" i="12"/>
  <c r="AI8" i="12"/>
  <c r="Z8" i="12"/>
  <c r="Y8" i="12"/>
  <c r="AD8" i="12" s="1"/>
  <c r="V8" i="12"/>
  <c r="AK8" i="12" s="1"/>
  <c r="AP8" i="12"/>
  <c r="O8" i="12"/>
  <c r="J8" i="12"/>
  <c r="AR7" i="12"/>
  <c r="AQ7" i="12"/>
  <c r="AO7" i="12"/>
  <c r="AI7" i="12"/>
  <c r="Z7" i="12"/>
  <c r="Y7" i="12"/>
  <c r="V7" i="12"/>
  <c r="AK7" i="12" s="1"/>
  <c r="AP7" i="12"/>
  <c r="O7" i="12"/>
  <c r="J7" i="12"/>
  <c r="AR6" i="12"/>
  <c r="AQ6" i="12"/>
  <c r="AO6" i="12"/>
  <c r="AI6" i="12"/>
  <c r="Z6" i="12"/>
  <c r="Y6" i="12"/>
  <c r="AN6" i="12" s="1"/>
  <c r="V6" i="12"/>
  <c r="AK6" i="12" s="1"/>
  <c r="AB6" i="12"/>
  <c r="O6" i="12"/>
  <c r="J6" i="12"/>
  <c r="AR5" i="12"/>
  <c r="AQ5" i="12"/>
  <c r="AO5" i="12"/>
  <c r="AI5" i="12"/>
  <c r="Z5" i="12"/>
  <c r="Y5" i="12"/>
  <c r="V5" i="12"/>
  <c r="AK5" i="12" s="1"/>
  <c r="AP5" i="12"/>
  <c r="O5" i="12"/>
  <c r="J5" i="12"/>
  <c r="AR4" i="12"/>
  <c r="AQ4" i="12"/>
  <c r="AO4" i="12"/>
  <c r="AI4" i="12"/>
  <c r="Z4" i="12"/>
  <c r="Y4" i="12"/>
  <c r="V4" i="12"/>
  <c r="AK4" i="12" s="1"/>
  <c r="AN4" i="12"/>
  <c r="AT4" i="12" s="1"/>
  <c r="O4" i="12"/>
  <c r="J4" i="12"/>
  <c r="AR3" i="12"/>
  <c r="AQ3" i="12"/>
  <c r="AO3" i="12"/>
  <c r="Z3" i="12"/>
  <c r="Y3" i="12"/>
  <c r="AD3" i="12" s="1"/>
  <c r="V3" i="12"/>
  <c r="AB3" i="12"/>
  <c r="O3" i="12"/>
  <c r="J3" i="12"/>
  <c r="AF75" i="11"/>
  <c r="P74" i="11"/>
  <c r="O74" i="11"/>
  <c r="N74" i="11"/>
  <c r="M74" i="11"/>
  <c r="K74" i="11"/>
  <c r="I74" i="11"/>
  <c r="AJ72" i="11"/>
  <c r="AH72" i="11"/>
  <c r="AG72" i="11"/>
  <c r="AR72" i="11" s="1"/>
  <c r="AF72" i="11"/>
  <c r="AE72" i="11"/>
  <c r="AC72" i="11"/>
  <c r="X72" i="11"/>
  <c r="W72" i="11"/>
  <c r="U72" i="11"/>
  <c r="T72" i="11"/>
  <c r="R72" i="11"/>
  <c r="Q72" i="11"/>
  <c r="L72" i="11"/>
  <c r="H72" i="11"/>
  <c r="G72" i="11"/>
  <c r="F72" i="11"/>
  <c r="AU70" i="11"/>
  <c r="AR70" i="11"/>
  <c r="AQ70" i="11"/>
  <c r="AO70" i="11"/>
  <c r="Z70" i="11"/>
  <c r="Y70" i="11"/>
  <c r="V70" i="11"/>
  <c r="AK70" i="11" s="1"/>
  <c r="S70" i="11"/>
  <c r="AN70" i="11" s="1"/>
  <c r="AT70" i="11" s="1"/>
  <c r="O70" i="11"/>
  <c r="E70" i="11"/>
  <c r="J70" i="11" s="1"/>
  <c r="AU69" i="11"/>
  <c r="AR69" i="11"/>
  <c r="AQ69" i="11"/>
  <c r="AO69" i="11"/>
  <c r="AN69" i="11"/>
  <c r="AT69" i="11" s="1"/>
  <c r="Z69" i="11"/>
  <c r="Y69" i="11"/>
  <c r="V69" i="11"/>
  <c r="AK69" i="11" s="1"/>
  <c r="S69" i="11"/>
  <c r="AB69" i="11" s="1"/>
  <c r="O69" i="11"/>
  <c r="J69" i="11"/>
  <c r="E69" i="11"/>
  <c r="AR68" i="11"/>
  <c r="AQ68" i="11"/>
  <c r="AO68" i="11"/>
  <c r="AU68" i="11" s="1"/>
  <c r="AB68" i="11"/>
  <c r="Z68" i="11"/>
  <c r="Y68" i="11"/>
  <c r="V68" i="11"/>
  <c r="AK68" i="11" s="1"/>
  <c r="S68" i="11"/>
  <c r="AN68" i="11" s="1"/>
  <c r="AT68" i="11" s="1"/>
  <c r="O68" i="11"/>
  <c r="J68" i="11"/>
  <c r="E68" i="11"/>
  <c r="AU67" i="11"/>
  <c r="AR67" i="11"/>
  <c r="AQ67" i="11"/>
  <c r="AO67" i="11"/>
  <c r="AN67" i="11"/>
  <c r="AT67" i="11" s="1"/>
  <c r="AB67" i="11"/>
  <c r="Z67" i="11"/>
  <c r="Y67" i="11"/>
  <c r="V67" i="11"/>
  <c r="AK67" i="11" s="1"/>
  <c r="S67" i="11"/>
  <c r="O67" i="11"/>
  <c r="J67" i="11"/>
  <c r="E67" i="11"/>
  <c r="AU66" i="11"/>
  <c r="AR66" i="11"/>
  <c r="AQ66" i="11"/>
  <c r="AO66" i="11"/>
  <c r="Z66" i="11"/>
  <c r="Y66" i="11"/>
  <c r="V66" i="11"/>
  <c r="AK66" i="11" s="1"/>
  <c r="S66" i="11"/>
  <c r="AN66" i="11" s="1"/>
  <c r="AT66" i="11" s="1"/>
  <c r="O66" i="11"/>
  <c r="J66" i="11"/>
  <c r="E66" i="11"/>
  <c r="AU65" i="11"/>
  <c r="AR65" i="11"/>
  <c r="AQ65" i="11"/>
  <c r="AO65" i="11"/>
  <c r="AN65" i="11"/>
  <c r="AT65" i="11" s="1"/>
  <c r="Z65" i="11"/>
  <c r="Y65" i="11"/>
  <c r="V65" i="11"/>
  <c r="AK65" i="11" s="1"/>
  <c r="S65" i="11"/>
  <c r="AB65" i="11" s="1"/>
  <c r="O65" i="11"/>
  <c r="J65" i="11"/>
  <c r="E65" i="11"/>
  <c r="AR64" i="11"/>
  <c r="AQ64" i="11"/>
  <c r="AO64" i="11"/>
  <c r="AU64" i="11" s="1"/>
  <c r="AB64" i="11"/>
  <c r="Z64" i="11"/>
  <c r="Y64" i="11"/>
  <c r="V64" i="11"/>
  <c r="AK64" i="11" s="1"/>
  <c r="S64" i="11"/>
  <c r="AN64" i="11" s="1"/>
  <c r="AT64" i="11" s="1"/>
  <c r="O64" i="11"/>
  <c r="J64" i="11"/>
  <c r="E64" i="11"/>
  <c r="AU63" i="11"/>
  <c r="AR63" i="11"/>
  <c r="AQ63" i="11"/>
  <c r="AO63" i="11"/>
  <c r="AN63" i="11"/>
  <c r="AT63" i="11" s="1"/>
  <c r="AK63" i="11"/>
  <c r="AB63" i="11"/>
  <c r="Z63" i="11"/>
  <c r="Y63" i="11"/>
  <c r="V63" i="11"/>
  <c r="S63" i="11"/>
  <c r="O63" i="11"/>
  <c r="J63" i="11"/>
  <c r="E63" i="11"/>
  <c r="AU62" i="11"/>
  <c r="AR62" i="11"/>
  <c r="AQ62" i="11"/>
  <c r="AO62" i="11"/>
  <c r="Z62" i="11"/>
  <c r="Y62" i="11"/>
  <c r="V62" i="11"/>
  <c r="AK62" i="11" s="1"/>
  <c r="S62" i="11"/>
  <c r="AN62" i="11" s="1"/>
  <c r="AT62" i="11" s="1"/>
  <c r="O62" i="11"/>
  <c r="J62" i="11"/>
  <c r="E62" i="11"/>
  <c r="AU61" i="11"/>
  <c r="AR61" i="11"/>
  <c r="AQ61" i="11"/>
  <c r="AO61" i="11"/>
  <c r="AN61" i="11"/>
  <c r="AT61" i="11" s="1"/>
  <c r="Z61" i="11"/>
  <c r="Y61" i="11"/>
  <c r="V61" i="11"/>
  <c r="AK61" i="11" s="1"/>
  <c r="S61" i="11"/>
  <c r="AB61" i="11" s="1"/>
  <c r="O61" i="11"/>
  <c r="J61" i="11"/>
  <c r="E61" i="11"/>
  <c r="AR60" i="11"/>
  <c r="AQ60" i="11"/>
  <c r="AO60" i="11"/>
  <c r="AU60" i="11" s="1"/>
  <c r="AB60" i="11"/>
  <c r="Z60" i="11"/>
  <c r="Y60" i="11"/>
  <c r="V60" i="11"/>
  <c r="AK60" i="11" s="1"/>
  <c r="S60" i="11"/>
  <c r="AN60" i="11" s="1"/>
  <c r="AT60" i="11" s="1"/>
  <c r="O60" i="11"/>
  <c r="J60" i="11"/>
  <c r="E60" i="11"/>
  <c r="AU59" i="11"/>
  <c r="AR59" i="11"/>
  <c r="AQ59" i="11"/>
  <c r="AO59" i="11"/>
  <c r="AN59" i="11"/>
  <c r="AT59" i="11" s="1"/>
  <c r="AK59" i="11"/>
  <c r="AB59" i="11"/>
  <c r="Z59" i="11"/>
  <c r="Y59" i="11"/>
  <c r="V59" i="11"/>
  <c r="S59" i="11"/>
  <c r="O59" i="11"/>
  <c r="J59" i="11"/>
  <c r="E59" i="11"/>
  <c r="AR58" i="11"/>
  <c r="AQ58" i="11"/>
  <c r="AO58" i="11"/>
  <c r="AU58" i="11" s="1"/>
  <c r="Z58" i="11"/>
  <c r="Y58" i="11"/>
  <c r="V58" i="11"/>
  <c r="AK58" i="11" s="1"/>
  <c r="S58" i="11"/>
  <c r="AN58" i="11" s="1"/>
  <c r="AT58" i="11" s="1"/>
  <c r="O58" i="11"/>
  <c r="E58" i="11"/>
  <c r="J58" i="11" s="1"/>
  <c r="AR57" i="11"/>
  <c r="AQ57" i="11"/>
  <c r="AO57" i="11"/>
  <c r="AU57" i="11" s="1"/>
  <c r="AK57" i="11"/>
  <c r="AB57" i="11"/>
  <c r="Z57" i="11"/>
  <c r="Y57" i="11"/>
  <c r="AD57" i="11" s="1"/>
  <c r="V57" i="11"/>
  <c r="S57" i="11"/>
  <c r="AN57" i="11" s="1"/>
  <c r="AT57" i="11" s="1"/>
  <c r="O57" i="11"/>
  <c r="J57" i="11"/>
  <c r="E57" i="11"/>
  <c r="AR56" i="11"/>
  <c r="AQ56" i="11"/>
  <c r="AO56" i="11"/>
  <c r="AU56" i="11" s="1"/>
  <c r="AD56" i="11"/>
  <c r="AB56" i="11"/>
  <c r="Z56" i="11"/>
  <c r="Y56" i="11"/>
  <c r="V56" i="11"/>
  <c r="AK56" i="11" s="1"/>
  <c r="S56" i="11"/>
  <c r="AN56" i="11" s="1"/>
  <c r="AT56" i="11" s="1"/>
  <c r="O56" i="11"/>
  <c r="E56" i="11"/>
  <c r="J56" i="11" s="1"/>
  <c r="AR55" i="11"/>
  <c r="AQ55" i="11"/>
  <c r="AO55" i="11"/>
  <c r="AU55" i="11" s="1"/>
  <c r="AK55" i="11"/>
  <c r="AD55" i="11"/>
  <c r="Z55" i="11"/>
  <c r="Y55" i="11"/>
  <c r="V55" i="11"/>
  <c r="S55" i="11"/>
  <c r="O55" i="11"/>
  <c r="E55" i="11"/>
  <c r="J55" i="11" s="1"/>
  <c r="AR54" i="11"/>
  <c r="AQ54" i="11"/>
  <c r="AO54" i="11"/>
  <c r="AU54" i="11" s="1"/>
  <c r="AN54" i="11"/>
  <c r="AT54" i="11" s="1"/>
  <c r="AK54" i="11"/>
  <c r="Z54" i="11"/>
  <c r="Y54" i="11"/>
  <c r="V54" i="11"/>
  <c r="S54" i="11"/>
  <c r="AB54" i="11" s="1"/>
  <c r="O54" i="11"/>
  <c r="E54" i="11"/>
  <c r="J54" i="11" s="1"/>
  <c r="AR53" i="11"/>
  <c r="AQ53" i="11"/>
  <c r="AO53" i="11"/>
  <c r="AU53" i="11" s="1"/>
  <c r="Z53" i="11"/>
  <c r="Y53" i="11"/>
  <c r="V53" i="11"/>
  <c r="AK53" i="11" s="1"/>
  <c r="S53" i="11"/>
  <c r="AN53" i="11" s="1"/>
  <c r="AT53" i="11" s="1"/>
  <c r="O53" i="11"/>
  <c r="E53" i="11"/>
  <c r="J53" i="11" s="1"/>
  <c r="AR52" i="11"/>
  <c r="AQ52" i="11"/>
  <c r="AO52" i="11"/>
  <c r="AU52" i="11" s="1"/>
  <c r="AK52" i="11"/>
  <c r="AB52" i="11"/>
  <c r="Z52" i="11"/>
  <c r="Y52" i="11"/>
  <c r="V52" i="11"/>
  <c r="S52" i="11"/>
  <c r="O52" i="11"/>
  <c r="J52" i="11"/>
  <c r="E52" i="11"/>
  <c r="AU51" i="11"/>
  <c r="AR51" i="11"/>
  <c r="AQ51" i="11"/>
  <c r="AO51" i="11"/>
  <c r="AN51" i="11"/>
  <c r="AT51" i="11" s="1"/>
  <c r="AB51" i="11"/>
  <c r="Z51" i="11"/>
  <c r="Y51" i="11"/>
  <c r="AD51" i="11" s="1"/>
  <c r="V51" i="11"/>
  <c r="AK51" i="11" s="1"/>
  <c r="S51" i="11"/>
  <c r="O51" i="11"/>
  <c r="J51" i="11"/>
  <c r="E51" i="11"/>
  <c r="AR50" i="11"/>
  <c r="AQ50" i="11"/>
  <c r="AO50" i="11"/>
  <c r="AU50" i="11" s="1"/>
  <c r="Z50" i="11"/>
  <c r="Y50" i="11"/>
  <c r="V50" i="11"/>
  <c r="AK50" i="11" s="1"/>
  <c r="S50" i="11"/>
  <c r="AN50" i="11" s="1"/>
  <c r="AT50" i="11" s="1"/>
  <c r="O50" i="11"/>
  <c r="E50" i="11"/>
  <c r="J50" i="11" s="1"/>
  <c r="AR49" i="11"/>
  <c r="AQ49" i="11"/>
  <c r="AO49" i="11"/>
  <c r="AU49" i="11" s="1"/>
  <c r="AK49" i="11"/>
  <c r="AB49" i="11"/>
  <c r="Z49" i="11"/>
  <c r="Y49" i="11"/>
  <c r="AD49" i="11" s="1"/>
  <c r="V49" i="11"/>
  <c r="S49" i="11"/>
  <c r="AN49" i="11" s="1"/>
  <c r="AT49" i="11" s="1"/>
  <c r="O49" i="11"/>
  <c r="J49" i="11"/>
  <c r="E49" i="11"/>
  <c r="AR48" i="11"/>
  <c r="AQ48" i="11"/>
  <c r="AO48" i="11"/>
  <c r="AU48" i="11" s="1"/>
  <c r="AD48" i="11"/>
  <c r="Z48" i="11"/>
  <c r="Y48" i="11"/>
  <c r="V48" i="11"/>
  <c r="AK48" i="11" s="1"/>
  <c r="S48" i="11"/>
  <c r="AN48" i="11" s="1"/>
  <c r="AT48" i="11" s="1"/>
  <c r="O48" i="11"/>
  <c r="J48" i="11"/>
  <c r="E48" i="11"/>
  <c r="AR47" i="11"/>
  <c r="AQ47" i="11"/>
  <c r="AO47" i="11"/>
  <c r="AU47" i="11" s="1"/>
  <c r="AK47" i="11"/>
  <c r="AD47" i="11"/>
  <c r="Z47" i="11"/>
  <c r="Y47" i="11"/>
  <c r="V47" i="11"/>
  <c r="S47" i="11"/>
  <c r="O47" i="11"/>
  <c r="J47" i="11"/>
  <c r="E47" i="11"/>
  <c r="AU46" i="11"/>
  <c r="AR46" i="11"/>
  <c r="AQ46" i="11"/>
  <c r="AO46" i="11"/>
  <c r="AN46" i="11"/>
  <c r="AT46" i="11" s="1"/>
  <c r="AB46" i="11"/>
  <c r="Z46" i="11"/>
  <c r="Y46" i="11"/>
  <c r="V46" i="11"/>
  <c r="AK46" i="11" s="1"/>
  <c r="S46" i="11"/>
  <c r="O46" i="11"/>
  <c r="J46" i="11"/>
  <c r="E46" i="11"/>
  <c r="AR45" i="11"/>
  <c r="AQ45" i="11"/>
  <c r="AO45" i="11"/>
  <c r="AU45" i="11" s="1"/>
  <c r="Z45" i="11"/>
  <c r="Y45" i="11"/>
  <c r="V45" i="11"/>
  <c r="AK45" i="11" s="1"/>
  <c r="S45" i="11"/>
  <c r="AP45" i="11" s="1"/>
  <c r="P45" i="11"/>
  <c r="O45" i="11"/>
  <c r="J45" i="11"/>
  <c r="E45" i="11"/>
  <c r="AR44" i="11"/>
  <c r="AQ44" i="11"/>
  <c r="AO44" i="11"/>
  <c r="AU44" i="11" s="1"/>
  <c r="AK44" i="11"/>
  <c r="Z44" i="11"/>
  <c r="Y44" i="11"/>
  <c r="V44" i="11"/>
  <c r="S44" i="11"/>
  <c r="P44" i="11" s="1"/>
  <c r="O44" i="11"/>
  <c r="J44" i="11"/>
  <c r="E44" i="11"/>
  <c r="AU43" i="11"/>
  <c r="AR43" i="11"/>
  <c r="AQ43" i="11"/>
  <c r="AO43" i="11"/>
  <c r="Z43" i="11"/>
  <c r="Y43" i="11"/>
  <c r="AD43" i="11" s="1"/>
  <c r="V43" i="11"/>
  <c r="AK43" i="11" s="1"/>
  <c r="S43" i="11"/>
  <c r="AN43" i="11" s="1"/>
  <c r="AT43" i="11" s="1"/>
  <c r="O43" i="11"/>
  <c r="J43" i="11"/>
  <c r="E43" i="11"/>
  <c r="AR42" i="11"/>
  <c r="AQ42" i="11"/>
  <c r="AO42" i="11"/>
  <c r="AU42" i="11" s="1"/>
  <c r="AN42" i="11"/>
  <c r="AT42" i="11" s="1"/>
  <c r="AD42" i="11"/>
  <c r="Z42" i="11"/>
  <c r="Y42" i="11"/>
  <c r="V42" i="11"/>
  <c r="AK42" i="11" s="1"/>
  <c r="S42" i="11"/>
  <c r="AP42" i="11" s="1"/>
  <c r="P42" i="11"/>
  <c r="O42" i="11"/>
  <c r="J42" i="11"/>
  <c r="E42" i="11"/>
  <c r="AR41" i="11"/>
  <c r="AQ41" i="11"/>
  <c r="AO41" i="11"/>
  <c r="AU41" i="11" s="1"/>
  <c r="AD41" i="11"/>
  <c r="Z41" i="11"/>
  <c r="Y41" i="11"/>
  <c r="V41" i="11"/>
  <c r="AK41" i="11" s="1"/>
  <c r="S41" i="11"/>
  <c r="AP41" i="11" s="1"/>
  <c r="P41" i="11"/>
  <c r="O41" i="11"/>
  <c r="J41" i="11"/>
  <c r="E41" i="11"/>
  <c r="AU40" i="11"/>
  <c r="AR40" i="11"/>
  <c r="AQ40" i="11"/>
  <c r="AO40" i="11"/>
  <c r="AK40" i="11"/>
  <c r="Z40" i="11"/>
  <c r="Y40" i="11"/>
  <c r="V40" i="11"/>
  <c r="S40" i="11"/>
  <c r="P40" i="11" s="1"/>
  <c r="O40" i="11"/>
  <c r="E40" i="11"/>
  <c r="J40" i="11" s="1"/>
  <c r="AU39" i="11"/>
  <c r="AR39" i="11"/>
  <c r="AQ39" i="11"/>
  <c r="AO39" i="11"/>
  <c r="AN39" i="11"/>
  <c r="AT39" i="11" s="1"/>
  <c r="Z39" i="11"/>
  <c r="Y39" i="11"/>
  <c r="AD39" i="11" s="1"/>
  <c r="V39" i="11"/>
  <c r="AK39" i="11" s="1"/>
  <c r="S39" i="11"/>
  <c r="O39" i="11"/>
  <c r="E39" i="11"/>
  <c r="J39" i="11" s="1"/>
  <c r="AR38" i="11"/>
  <c r="AQ38" i="11"/>
  <c r="AO38" i="11"/>
  <c r="AU38" i="11" s="1"/>
  <c r="AN38" i="11"/>
  <c r="AT38" i="11" s="1"/>
  <c r="AD38" i="11"/>
  <c r="Z38" i="11"/>
  <c r="Y38" i="11"/>
  <c r="V38" i="11"/>
  <c r="AK38" i="11" s="1"/>
  <c r="S38" i="11"/>
  <c r="AP38" i="11" s="1"/>
  <c r="P38" i="11"/>
  <c r="O38" i="11"/>
  <c r="J38" i="11"/>
  <c r="E38" i="11"/>
  <c r="AR37" i="11"/>
  <c r="AQ37" i="11"/>
  <c r="AP37" i="11"/>
  <c r="AO37" i="11"/>
  <c r="AU37" i="11" s="1"/>
  <c r="AD37" i="11"/>
  <c r="Z37" i="11"/>
  <c r="Y37" i="11"/>
  <c r="V37" i="11"/>
  <c r="AK37" i="11" s="1"/>
  <c r="S37" i="11"/>
  <c r="AN37" i="11" s="1"/>
  <c r="AT37" i="11" s="1"/>
  <c r="P37" i="11"/>
  <c r="O37" i="11"/>
  <c r="E37" i="11"/>
  <c r="J37" i="11" s="1"/>
  <c r="AR36" i="11"/>
  <c r="AQ36" i="11"/>
  <c r="AO36" i="11"/>
  <c r="AU36" i="11" s="1"/>
  <c r="Z36" i="11"/>
  <c r="Y36" i="11"/>
  <c r="AD36" i="11" s="1"/>
  <c r="V36" i="11"/>
  <c r="AK36" i="11" s="1"/>
  <c r="S36" i="11"/>
  <c r="AN36" i="11" s="1"/>
  <c r="AT36" i="11" s="1"/>
  <c r="O36" i="11"/>
  <c r="E36" i="11"/>
  <c r="J36" i="11" s="1"/>
  <c r="AR35" i="11"/>
  <c r="AQ35" i="11"/>
  <c r="AP35" i="11"/>
  <c r="AO35" i="11"/>
  <c r="AU35" i="11" s="1"/>
  <c r="AD35" i="11"/>
  <c r="Z35" i="11"/>
  <c r="Y35" i="11"/>
  <c r="V35" i="11"/>
  <c r="AK35" i="11" s="1"/>
  <c r="S35" i="11"/>
  <c r="AN35" i="11" s="1"/>
  <c r="AT35" i="11" s="1"/>
  <c r="P35" i="11"/>
  <c r="O35" i="11"/>
  <c r="E35" i="11"/>
  <c r="J35" i="11" s="1"/>
  <c r="AR34" i="11"/>
  <c r="AQ34" i="11"/>
  <c r="AO34" i="11"/>
  <c r="AU34" i="11" s="1"/>
  <c r="AB34" i="11"/>
  <c r="Z34" i="11"/>
  <c r="Y34" i="11"/>
  <c r="AD34" i="11" s="1"/>
  <c r="V34" i="11"/>
  <c r="AK34" i="11" s="1"/>
  <c r="S34" i="11"/>
  <c r="AN34" i="11" s="1"/>
  <c r="AT34" i="11" s="1"/>
  <c r="P34" i="11"/>
  <c r="O34" i="11"/>
  <c r="E34" i="11"/>
  <c r="J34" i="11" s="1"/>
  <c r="AR33" i="11"/>
  <c r="AQ33" i="11"/>
  <c r="AP33" i="11"/>
  <c r="AO33" i="11"/>
  <c r="AU33" i="11" s="1"/>
  <c r="Z33" i="11"/>
  <c r="Y33" i="11"/>
  <c r="AD33" i="11" s="1"/>
  <c r="V33" i="11"/>
  <c r="AK33" i="11" s="1"/>
  <c r="S33" i="11"/>
  <c r="AN33" i="11" s="1"/>
  <c r="AT33" i="11" s="1"/>
  <c r="P33" i="11"/>
  <c r="O33" i="11"/>
  <c r="E33" i="11"/>
  <c r="J33" i="11" s="1"/>
  <c r="AR32" i="11"/>
  <c r="AQ32" i="11"/>
  <c r="AO32" i="11"/>
  <c r="AU32" i="11" s="1"/>
  <c r="AB32" i="11"/>
  <c r="Z32" i="11"/>
  <c r="Y32" i="11"/>
  <c r="AD32" i="11" s="1"/>
  <c r="V32" i="11"/>
  <c r="AK32" i="11" s="1"/>
  <c r="S32" i="11"/>
  <c r="AN32" i="11" s="1"/>
  <c r="AT32" i="11" s="1"/>
  <c r="O32" i="11"/>
  <c r="E32" i="11"/>
  <c r="J32" i="11" s="1"/>
  <c r="AR31" i="11"/>
  <c r="AQ31" i="11"/>
  <c r="AO31" i="11"/>
  <c r="AU31" i="11" s="1"/>
  <c r="AD31" i="11"/>
  <c r="AB31" i="11"/>
  <c r="Z31" i="11"/>
  <c r="Y31" i="11"/>
  <c r="V31" i="11"/>
  <c r="AK31" i="11" s="1"/>
  <c r="S31" i="11"/>
  <c r="AP31" i="11" s="1"/>
  <c r="P31" i="11"/>
  <c r="O31" i="11"/>
  <c r="E31" i="11"/>
  <c r="J31" i="11" s="1"/>
  <c r="AR30" i="11"/>
  <c r="AQ30" i="11"/>
  <c r="AO30" i="11"/>
  <c r="AU30" i="11" s="1"/>
  <c r="AN30" i="11"/>
  <c r="AT30" i="11" s="1"/>
  <c r="AB30" i="11"/>
  <c r="Z30" i="11"/>
  <c r="Y30" i="11"/>
  <c r="AD30" i="11" s="1"/>
  <c r="V30" i="11"/>
  <c r="AK30" i="11" s="1"/>
  <c r="S30" i="11"/>
  <c r="AP30" i="11" s="1"/>
  <c r="O30" i="11"/>
  <c r="E30" i="11"/>
  <c r="J30" i="11" s="1"/>
  <c r="AR29" i="11"/>
  <c r="AQ29" i="11"/>
  <c r="AO29" i="11"/>
  <c r="AU29" i="11" s="1"/>
  <c r="AD29" i="11"/>
  <c r="Z29" i="11"/>
  <c r="Y29" i="11"/>
  <c r="V29" i="11"/>
  <c r="AK29" i="11" s="1"/>
  <c r="S29" i="11"/>
  <c r="AP29" i="11" s="1"/>
  <c r="O29" i="11"/>
  <c r="E29" i="11"/>
  <c r="J29" i="11" s="1"/>
  <c r="AR28" i="11"/>
  <c r="AQ28" i="11"/>
  <c r="AP28" i="11"/>
  <c r="AO28" i="11"/>
  <c r="AU28" i="11" s="1"/>
  <c r="Z28" i="11"/>
  <c r="Y28" i="11"/>
  <c r="AD28" i="11" s="1"/>
  <c r="V28" i="11"/>
  <c r="AK28" i="11" s="1"/>
  <c r="S28" i="11"/>
  <c r="P28" i="11" s="1"/>
  <c r="O28" i="11"/>
  <c r="E28" i="11"/>
  <c r="J28" i="11" s="1"/>
  <c r="AR27" i="11"/>
  <c r="AQ27" i="11"/>
  <c r="AO27" i="11"/>
  <c r="AU27" i="11" s="1"/>
  <c r="Z27" i="11"/>
  <c r="Y27" i="11"/>
  <c r="AD27" i="11" s="1"/>
  <c r="V27" i="11"/>
  <c r="AK27" i="11" s="1"/>
  <c r="S27" i="11"/>
  <c r="AN27" i="11" s="1"/>
  <c r="AT27" i="11" s="1"/>
  <c r="P27" i="11"/>
  <c r="O27" i="11"/>
  <c r="E27" i="11"/>
  <c r="J27" i="11" s="1"/>
  <c r="AR26" i="11"/>
  <c r="AQ26" i="11"/>
  <c r="AO26" i="11"/>
  <c r="AU26" i="11" s="1"/>
  <c r="AN26" i="11"/>
  <c r="AT26" i="11" s="1"/>
  <c r="Z26" i="11"/>
  <c r="Y26" i="11"/>
  <c r="AD26" i="11" s="1"/>
  <c r="V26" i="11"/>
  <c r="AK26" i="11" s="1"/>
  <c r="S26" i="11"/>
  <c r="AB26" i="11" s="1"/>
  <c r="O26" i="11"/>
  <c r="E26" i="11"/>
  <c r="J26" i="11" s="1"/>
  <c r="AR25" i="11"/>
  <c r="AQ25" i="11"/>
  <c r="AO25" i="11"/>
  <c r="AU25" i="11" s="1"/>
  <c r="AD25" i="11"/>
  <c r="Z25" i="11"/>
  <c r="Y25" i="11"/>
  <c r="V25" i="11"/>
  <c r="AK25" i="11" s="1"/>
  <c r="S25" i="11"/>
  <c r="AB25" i="11" s="1"/>
  <c r="P25" i="11"/>
  <c r="O25" i="11"/>
  <c r="E25" i="11"/>
  <c r="J25" i="11" s="1"/>
  <c r="AR24" i="11"/>
  <c r="AQ24" i="11"/>
  <c r="AO24" i="11"/>
  <c r="AU24" i="11" s="1"/>
  <c r="AD24" i="11"/>
  <c r="AB24" i="11"/>
  <c r="Z24" i="11"/>
  <c r="Y24" i="11"/>
  <c r="V24" i="11"/>
  <c r="AK24" i="11" s="1"/>
  <c r="S24" i="11"/>
  <c r="AP24" i="11" s="1"/>
  <c r="O24" i="11"/>
  <c r="E24" i="11"/>
  <c r="J24" i="11" s="1"/>
  <c r="AR23" i="11"/>
  <c r="AQ23" i="11"/>
  <c r="AO23" i="11"/>
  <c r="AU23" i="11" s="1"/>
  <c r="AD23" i="11"/>
  <c r="AB23" i="11"/>
  <c r="Z23" i="11"/>
  <c r="Y23" i="11"/>
  <c r="V23" i="11"/>
  <c r="AK23" i="11" s="1"/>
  <c r="S23" i="11"/>
  <c r="AP23" i="11" s="1"/>
  <c r="P23" i="11"/>
  <c r="O23" i="11"/>
  <c r="E23" i="11"/>
  <c r="J23" i="11" s="1"/>
  <c r="AR22" i="11"/>
  <c r="AQ22" i="11"/>
  <c r="AO22" i="11"/>
  <c r="AU22" i="11" s="1"/>
  <c r="AN22" i="11"/>
  <c r="AT22" i="11" s="1"/>
  <c r="AB22" i="11"/>
  <c r="Z22" i="11"/>
  <c r="Y22" i="11"/>
  <c r="AD22" i="11" s="1"/>
  <c r="V22" i="11"/>
  <c r="AK22" i="11" s="1"/>
  <c r="S22" i="11"/>
  <c r="AP22" i="11" s="1"/>
  <c r="O22" i="11"/>
  <c r="E22" i="11"/>
  <c r="J22" i="11" s="1"/>
  <c r="AR21" i="11"/>
  <c r="AQ21" i="11"/>
  <c r="AO21" i="11"/>
  <c r="AU21" i="11" s="1"/>
  <c r="AD21" i="11"/>
  <c r="Z21" i="11"/>
  <c r="Y21" i="11"/>
  <c r="V21" i="11"/>
  <c r="AK21" i="11" s="1"/>
  <c r="S21" i="11"/>
  <c r="AP21" i="11" s="1"/>
  <c r="O21" i="11"/>
  <c r="E21" i="11"/>
  <c r="J21" i="11" s="1"/>
  <c r="AR20" i="11"/>
  <c r="AQ20" i="11"/>
  <c r="AO20" i="11"/>
  <c r="AU20" i="11" s="1"/>
  <c r="Z20" i="11"/>
  <c r="Y20" i="11"/>
  <c r="AD20" i="11" s="1"/>
  <c r="V20" i="11"/>
  <c r="AK20" i="11" s="1"/>
  <c r="S20" i="11"/>
  <c r="P20" i="11" s="1"/>
  <c r="O20" i="11"/>
  <c r="E20" i="11"/>
  <c r="J20" i="11" s="1"/>
  <c r="AR19" i="11"/>
  <c r="AQ19" i="11"/>
  <c r="AO19" i="11"/>
  <c r="Z19" i="11"/>
  <c r="Y19" i="11"/>
  <c r="AD19" i="11" s="1"/>
  <c r="V19" i="11"/>
  <c r="AK19" i="11" s="1"/>
  <c r="S19" i="11"/>
  <c r="AN19" i="11" s="1"/>
  <c r="AT19" i="11" s="1"/>
  <c r="P19" i="11"/>
  <c r="O19" i="11"/>
  <c r="E19" i="11"/>
  <c r="AJ17" i="11"/>
  <c r="AJ74" i="11" s="1"/>
  <c r="U5" i="3" s="1"/>
  <c r="AH17" i="11"/>
  <c r="AG17" i="11"/>
  <c r="AF17" i="11"/>
  <c r="AE17" i="11"/>
  <c r="AE74" i="11" s="1"/>
  <c r="Q5" i="3" s="1"/>
  <c r="AC17" i="11"/>
  <c r="AC74" i="11" s="1"/>
  <c r="R5" i="3" s="1"/>
  <c r="X17" i="11"/>
  <c r="X74" i="11" s="1"/>
  <c r="N5" i="3" s="1"/>
  <c r="W17" i="11"/>
  <c r="W74" i="11" s="1"/>
  <c r="M5" i="3" s="1"/>
  <c r="U17" i="11"/>
  <c r="U74" i="11" s="1"/>
  <c r="K5" i="3" s="1"/>
  <c r="T17" i="11"/>
  <c r="T74" i="11" s="1"/>
  <c r="J5" i="3" s="1"/>
  <c r="R17" i="11"/>
  <c r="Q17" i="11"/>
  <c r="L17" i="11"/>
  <c r="H17" i="11"/>
  <c r="H74" i="11" s="1"/>
  <c r="AI43" i="11" s="1"/>
  <c r="G17" i="11"/>
  <c r="F17" i="11"/>
  <c r="F74" i="11" s="1"/>
  <c r="E17" i="11"/>
  <c r="AR15" i="11"/>
  <c r="AQ15" i="11"/>
  <c r="AP15" i="11"/>
  <c r="AO15" i="11"/>
  <c r="AN15" i="11"/>
  <c r="AK15" i="11"/>
  <c r="AB15" i="11"/>
  <c r="Z15" i="11"/>
  <c r="Y15" i="11"/>
  <c r="AD15" i="11" s="1"/>
  <c r="P15" i="11"/>
  <c r="O15" i="11"/>
  <c r="J15" i="11"/>
  <c r="AR14" i="11"/>
  <c r="AQ14" i="11"/>
  <c r="AO14" i="11"/>
  <c r="Z14" i="11"/>
  <c r="Y14" i="11"/>
  <c r="AD14" i="11" s="1"/>
  <c r="V14" i="11"/>
  <c r="AK14" i="11" s="1"/>
  <c r="AB14" i="11"/>
  <c r="O14" i="11"/>
  <c r="J14" i="11"/>
  <c r="AR13" i="11"/>
  <c r="AQ13" i="11"/>
  <c r="AO13" i="11"/>
  <c r="Z13" i="11"/>
  <c r="Y13" i="11"/>
  <c r="AD13" i="11" s="1"/>
  <c r="V13" i="11"/>
  <c r="AK13" i="11" s="1"/>
  <c r="AB13" i="11"/>
  <c r="O13" i="11"/>
  <c r="J13" i="11"/>
  <c r="AR12" i="11"/>
  <c r="AQ12" i="11"/>
  <c r="AO12" i="11"/>
  <c r="Z12" i="11"/>
  <c r="Y12" i="11"/>
  <c r="V12" i="11"/>
  <c r="AK12" i="11" s="1"/>
  <c r="AN12" i="11"/>
  <c r="AT12" i="11" s="1"/>
  <c r="O12" i="11"/>
  <c r="J12" i="11"/>
  <c r="AR11" i="11"/>
  <c r="AQ11" i="11"/>
  <c r="AO11" i="11"/>
  <c r="Z11" i="11"/>
  <c r="Y11" i="11"/>
  <c r="AD11" i="11" s="1"/>
  <c r="V11" i="11"/>
  <c r="AK11" i="11" s="1"/>
  <c r="AN11" i="11"/>
  <c r="AT11" i="11" s="1"/>
  <c r="O11" i="11"/>
  <c r="J11" i="11"/>
  <c r="AR10" i="11"/>
  <c r="AQ10" i="11"/>
  <c r="AO10" i="11"/>
  <c r="Z10" i="11"/>
  <c r="Y10" i="11"/>
  <c r="AD10" i="11" s="1"/>
  <c r="V10" i="11"/>
  <c r="AK10" i="11" s="1"/>
  <c r="AB10" i="11"/>
  <c r="O10" i="11"/>
  <c r="J10" i="11"/>
  <c r="AR9" i="11"/>
  <c r="AQ9" i="11"/>
  <c r="AO9" i="11"/>
  <c r="Z9" i="11"/>
  <c r="Y9" i="11"/>
  <c r="AD9" i="11" s="1"/>
  <c r="V9" i="11"/>
  <c r="AK9" i="11" s="1"/>
  <c r="AP9" i="11"/>
  <c r="O9" i="11"/>
  <c r="J9" i="11"/>
  <c r="AR8" i="11"/>
  <c r="AQ8" i="11"/>
  <c r="AO8" i="11"/>
  <c r="Z8" i="11"/>
  <c r="Y8" i="11"/>
  <c r="AD8" i="11" s="1"/>
  <c r="V8" i="11"/>
  <c r="AK8" i="11" s="1"/>
  <c r="O8" i="11"/>
  <c r="J8" i="11"/>
  <c r="AR7" i="11"/>
  <c r="AQ7" i="11"/>
  <c r="AO7" i="11"/>
  <c r="Z7" i="11"/>
  <c r="Y7" i="11"/>
  <c r="V7" i="11"/>
  <c r="AK7" i="11" s="1"/>
  <c r="AP7" i="11"/>
  <c r="P7" i="11"/>
  <c r="O7" i="11"/>
  <c r="J7" i="11"/>
  <c r="AR6" i="11"/>
  <c r="AQ6" i="11"/>
  <c r="AO6" i="11"/>
  <c r="Z6" i="11"/>
  <c r="Y6" i="11"/>
  <c r="AN6" i="11" s="1"/>
  <c r="V6" i="11"/>
  <c r="AK6" i="11" s="1"/>
  <c r="AB6" i="11"/>
  <c r="O6" i="11"/>
  <c r="J6" i="11"/>
  <c r="AR5" i="11"/>
  <c r="AQ5" i="11"/>
  <c r="AO5" i="11"/>
  <c r="Z5" i="11"/>
  <c r="Y5" i="11"/>
  <c r="AD5" i="11" s="1"/>
  <c r="V5" i="11"/>
  <c r="AK5" i="11" s="1"/>
  <c r="P5" i="11"/>
  <c r="O5" i="11"/>
  <c r="J5" i="11"/>
  <c r="AR4" i="11"/>
  <c r="AQ4" i="11"/>
  <c r="AO4" i="11"/>
  <c r="AK4" i="11"/>
  <c r="Z4" i="11"/>
  <c r="Y4" i="11"/>
  <c r="V4" i="11"/>
  <c r="AN4" i="11"/>
  <c r="AT4" i="11" s="1"/>
  <c r="O4" i="11"/>
  <c r="J4" i="11"/>
  <c r="AR3" i="11"/>
  <c r="AQ3" i="11"/>
  <c r="AQ16" i="11" s="1"/>
  <c r="AO3" i="11"/>
  <c r="Z3" i="11"/>
  <c r="Y3" i="11"/>
  <c r="AD3" i="11" s="1"/>
  <c r="V3" i="11"/>
  <c r="O3" i="11"/>
  <c r="J3" i="11"/>
  <c r="AF75" i="10"/>
  <c r="P74" i="10"/>
  <c r="O74" i="10"/>
  <c r="N74" i="10"/>
  <c r="M74" i="10"/>
  <c r="K74" i="10"/>
  <c r="I74" i="10"/>
  <c r="AJ72" i="10"/>
  <c r="AH72" i="10"/>
  <c r="AG72" i="10"/>
  <c r="AF72" i="10"/>
  <c r="AR72" i="10" s="1"/>
  <c r="AE72" i="10"/>
  <c r="AC72" i="10"/>
  <c r="X72" i="10"/>
  <c r="W72" i="10"/>
  <c r="U72" i="10"/>
  <c r="T72" i="10"/>
  <c r="R72" i="10"/>
  <c r="Q72" i="10"/>
  <c r="L72" i="10"/>
  <c r="H72" i="10"/>
  <c r="G72" i="10"/>
  <c r="F72" i="10"/>
  <c r="AR70" i="10"/>
  <c r="AQ70" i="10"/>
  <c r="AO70" i="10"/>
  <c r="AU70" i="10" s="1"/>
  <c r="Z70" i="10"/>
  <c r="Y70" i="10"/>
  <c r="AD70" i="10" s="1"/>
  <c r="V70" i="10"/>
  <c r="AK70" i="10" s="1"/>
  <c r="S70" i="10"/>
  <c r="P70" i="10" s="1"/>
  <c r="O70" i="10"/>
  <c r="E70" i="10"/>
  <c r="J70" i="10" s="1"/>
  <c r="AR69" i="10"/>
  <c r="AQ69" i="10"/>
  <c r="AP69" i="10"/>
  <c r="AO69" i="10"/>
  <c r="AU69" i="10" s="1"/>
  <c r="AD69" i="10"/>
  <c r="Z69" i="10"/>
  <c r="Y69" i="10"/>
  <c r="V69" i="10"/>
  <c r="AK69" i="10" s="1"/>
  <c r="S69" i="10"/>
  <c r="AN69" i="10" s="1"/>
  <c r="AT69" i="10" s="1"/>
  <c r="P69" i="10"/>
  <c r="O69" i="10"/>
  <c r="E69" i="10"/>
  <c r="J69" i="10" s="1"/>
  <c r="AR68" i="10"/>
  <c r="AQ68" i="10"/>
  <c r="AO68" i="10"/>
  <c r="AU68" i="10" s="1"/>
  <c r="AK68" i="10"/>
  <c r="AD68" i="10"/>
  <c r="Z68" i="10"/>
  <c r="Y68" i="10"/>
  <c r="V68" i="10"/>
  <c r="S68" i="10"/>
  <c r="AN68" i="10" s="1"/>
  <c r="AT68" i="10" s="1"/>
  <c r="O68" i="10"/>
  <c r="E68" i="10"/>
  <c r="J68" i="10" s="1"/>
  <c r="AR67" i="10"/>
  <c r="AQ67" i="10"/>
  <c r="AO67" i="10"/>
  <c r="AU67" i="10" s="1"/>
  <c r="AK67" i="10"/>
  <c r="AD67" i="10"/>
  <c r="Z67" i="10"/>
  <c r="Y67" i="10"/>
  <c r="V67" i="10"/>
  <c r="S67" i="10"/>
  <c r="AN67" i="10" s="1"/>
  <c r="AT67" i="10" s="1"/>
  <c r="P67" i="10"/>
  <c r="O67" i="10"/>
  <c r="E67" i="10"/>
  <c r="J67" i="10" s="1"/>
  <c r="AU66" i="10"/>
  <c r="AR66" i="10"/>
  <c r="AQ66" i="10"/>
  <c r="AO66" i="10"/>
  <c r="AB66" i="10"/>
  <c r="Z66" i="10"/>
  <c r="Y66" i="10"/>
  <c r="AD66" i="10" s="1"/>
  <c r="V66" i="10"/>
  <c r="AK66" i="10" s="1"/>
  <c r="S66" i="10"/>
  <c r="AN66" i="10" s="1"/>
  <c r="AT66" i="10" s="1"/>
  <c r="O66" i="10"/>
  <c r="E66" i="10"/>
  <c r="J66" i="10" s="1"/>
  <c r="AU65" i="10"/>
  <c r="AR65" i="10"/>
  <c r="AQ65" i="10"/>
  <c r="AO65" i="10"/>
  <c r="Z65" i="10"/>
  <c r="Y65" i="10"/>
  <c r="AD65" i="10" s="1"/>
  <c r="V65" i="10"/>
  <c r="AK65" i="10" s="1"/>
  <c r="S65" i="10"/>
  <c r="AN65" i="10" s="1"/>
  <c r="AT65" i="10" s="1"/>
  <c r="O65" i="10"/>
  <c r="E65" i="10"/>
  <c r="J65" i="10" s="1"/>
  <c r="AR64" i="10"/>
  <c r="AQ64" i="10"/>
  <c r="AO64" i="10"/>
  <c r="AU64" i="10" s="1"/>
  <c r="Z64" i="10"/>
  <c r="Y64" i="10"/>
  <c r="AD64" i="10" s="1"/>
  <c r="V64" i="10"/>
  <c r="AK64" i="10" s="1"/>
  <c r="S64" i="10"/>
  <c r="AN64" i="10" s="1"/>
  <c r="AT64" i="10" s="1"/>
  <c r="O64" i="10"/>
  <c r="E64" i="10"/>
  <c r="J64" i="10" s="1"/>
  <c r="AR63" i="10"/>
  <c r="AQ63" i="10"/>
  <c r="AO63" i="10"/>
  <c r="AU63" i="10" s="1"/>
  <c r="AK63" i="10"/>
  <c r="Z63" i="10"/>
  <c r="Y63" i="10"/>
  <c r="AD63" i="10" s="1"/>
  <c r="V63" i="10"/>
  <c r="S63" i="10"/>
  <c r="AN63" i="10" s="1"/>
  <c r="AT63" i="10" s="1"/>
  <c r="O63" i="10"/>
  <c r="E63" i="10"/>
  <c r="J63" i="10" s="1"/>
  <c r="AR62" i="10"/>
  <c r="AQ62" i="10"/>
  <c r="AO62" i="10"/>
  <c r="AU62" i="10" s="1"/>
  <c r="AD62" i="10"/>
  <c r="AB62" i="10"/>
  <c r="Z62" i="10"/>
  <c r="Y62" i="10"/>
  <c r="V62" i="10"/>
  <c r="AK62" i="10" s="1"/>
  <c r="S62" i="10"/>
  <c r="AN62" i="10" s="1"/>
  <c r="AT62" i="10" s="1"/>
  <c r="O62" i="10"/>
  <c r="E62" i="10"/>
  <c r="J62" i="10" s="1"/>
  <c r="AU61" i="10"/>
  <c r="AR61" i="10"/>
  <c r="AQ61" i="10"/>
  <c r="AO61" i="10"/>
  <c r="Z61" i="10"/>
  <c r="Y61" i="10"/>
  <c r="AD61" i="10" s="1"/>
  <c r="V61" i="10"/>
  <c r="AK61" i="10" s="1"/>
  <c r="S61" i="10"/>
  <c r="AN61" i="10" s="1"/>
  <c r="AT61" i="10" s="1"/>
  <c r="P61" i="10"/>
  <c r="O61" i="10"/>
  <c r="E61" i="10"/>
  <c r="J61" i="10" s="1"/>
  <c r="AR60" i="10"/>
  <c r="AQ60" i="10"/>
  <c r="AO60" i="10"/>
  <c r="AU60" i="10" s="1"/>
  <c r="Z60" i="10"/>
  <c r="Y60" i="10"/>
  <c r="AD60" i="10" s="1"/>
  <c r="V60" i="10"/>
  <c r="AK60" i="10" s="1"/>
  <c r="S60" i="10"/>
  <c r="AN60" i="10" s="1"/>
  <c r="AT60" i="10" s="1"/>
  <c r="O60" i="10"/>
  <c r="E60" i="10"/>
  <c r="J60" i="10" s="1"/>
  <c r="AR59" i="10"/>
  <c r="AQ59" i="10"/>
  <c r="AP59" i="10"/>
  <c r="AO59" i="10"/>
  <c r="AU59" i="10" s="1"/>
  <c r="Z59" i="10"/>
  <c r="Y59" i="10"/>
  <c r="AD59" i="10" s="1"/>
  <c r="V59" i="10"/>
  <c r="AK59" i="10" s="1"/>
  <c r="S59" i="10"/>
  <c r="AN59" i="10" s="1"/>
  <c r="AT59" i="10" s="1"/>
  <c r="P59" i="10"/>
  <c r="O59" i="10"/>
  <c r="E59" i="10"/>
  <c r="J59" i="10" s="1"/>
  <c r="AR58" i="10"/>
  <c r="AQ58" i="10"/>
  <c r="AO58" i="10"/>
  <c r="AU58" i="10" s="1"/>
  <c r="AK58" i="10"/>
  <c r="AD58" i="10"/>
  <c r="AB58" i="10"/>
  <c r="Z58" i="10"/>
  <c r="Y58" i="10"/>
  <c r="V58" i="10"/>
  <c r="S58" i="10"/>
  <c r="AN58" i="10" s="1"/>
  <c r="AT58" i="10" s="1"/>
  <c r="O58" i="10"/>
  <c r="J58" i="10"/>
  <c r="E58" i="10"/>
  <c r="AR57" i="10"/>
  <c r="AQ57" i="10"/>
  <c r="AO57" i="10"/>
  <c r="AU57" i="10" s="1"/>
  <c r="AK57" i="10"/>
  <c r="AD57" i="10"/>
  <c r="Z57" i="10"/>
  <c r="Y57" i="10"/>
  <c r="V57" i="10"/>
  <c r="S57" i="10"/>
  <c r="AN57" i="10" s="1"/>
  <c r="AT57" i="10" s="1"/>
  <c r="O57" i="10"/>
  <c r="E57" i="10"/>
  <c r="J57" i="10" s="1"/>
  <c r="AU56" i="10"/>
  <c r="AR56" i="10"/>
  <c r="AQ56" i="10"/>
  <c r="AO56" i="10"/>
  <c r="AB56" i="10"/>
  <c r="Z56" i="10"/>
  <c r="Y56" i="10"/>
  <c r="AD56" i="10" s="1"/>
  <c r="V56" i="10"/>
  <c r="AK56" i="10" s="1"/>
  <c r="S56" i="10"/>
  <c r="AN56" i="10" s="1"/>
  <c r="AT56" i="10" s="1"/>
  <c r="O56" i="10"/>
  <c r="E56" i="10"/>
  <c r="J56" i="10" s="1"/>
  <c r="AU55" i="10"/>
  <c r="AR55" i="10"/>
  <c r="AQ55" i="10"/>
  <c r="AO55" i="10"/>
  <c r="Z55" i="10"/>
  <c r="Y55" i="10"/>
  <c r="AD55" i="10" s="1"/>
  <c r="V55" i="10"/>
  <c r="AK55" i="10" s="1"/>
  <c r="S55" i="10"/>
  <c r="AN55" i="10" s="1"/>
  <c r="AT55" i="10" s="1"/>
  <c r="O55" i="10"/>
  <c r="E55" i="10"/>
  <c r="J55" i="10" s="1"/>
  <c r="AR54" i="10"/>
  <c r="AQ54" i="10"/>
  <c r="AO54" i="10"/>
  <c r="AU54" i="10" s="1"/>
  <c r="AD54" i="10"/>
  <c r="Z54" i="10"/>
  <c r="Y54" i="10"/>
  <c r="V54" i="10"/>
  <c r="AK54" i="10" s="1"/>
  <c r="S54" i="10"/>
  <c r="AN54" i="10" s="1"/>
  <c r="AT54" i="10" s="1"/>
  <c r="O54" i="10"/>
  <c r="E54" i="10"/>
  <c r="J54" i="10" s="1"/>
  <c r="AR53" i="10"/>
  <c r="AQ53" i="10"/>
  <c r="AP53" i="10"/>
  <c r="AO53" i="10"/>
  <c r="AU53" i="10" s="1"/>
  <c r="AK53" i="10"/>
  <c r="Z53" i="10"/>
  <c r="Y53" i="10"/>
  <c r="AD53" i="10" s="1"/>
  <c r="V53" i="10"/>
  <c r="S53" i="10"/>
  <c r="AN53" i="10" s="1"/>
  <c r="AT53" i="10" s="1"/>
  <c r="P53" i="10"/>
  <c r="O53" i="10"/>
  <c r="E53" i="10"/>
  <c r="J53" i="10" s="1"/>
  <c r="AR52" i="10"/>
  <c r="AQ52" i="10"/>
  <c r="AO52" i="10"/>
  <c r="AU52" i="10" s="1"/>
  <c r="AK52" i="10"/>
  <c r="AD52" i="10"/>
  <c r="AB52" i="10"/>
  <c r="Z52" i="10"/>
  <c r="Y52" i="10"/>
  <c r="V52" i="10"/>
  <c r="S52" i="10"/>
  <c r="AN52" i="10" s="1"/>
  <c r="AT52" i="10" s="1"/>
  <c r="O52" i="10"/>
  <c r="E52" i="10"/>
  <c r="J52" i="10" s="1"/>
  <c r="AR51" i="10"/>
  <c r="AQ51" i="10"/>
  <c r="AO51" i="10"/>
  <c r="AU51" i="10" s="1"/>
  <c r="AD51" i="10"/>
  <c r="Z51" i="10"/>
  <c r="Y51" i="10"/>
  <c r="V51" i="10"/>
  <c r="AK51" i="10" s="1"/>
  <c r="S51" i="10"/>
  <c r="AN51" i="10" s="1"/>
  <c r="AT51" i="10" s="1"/>
  <c r="O51" i="10"/>
  <c r="E51" i="10"/>
  <c r="J51" i="10" s="1"/>
  <c r="AU50" i="10"/>
  <c r="AR50" i="10"/>
  <c r="AQ50" i="10"/>
  <c r="AO50" i="10"/>
  <c r="Z50" i="10"/>
  <c r="Y50" i="10"/>
  <c r="AD50" i="10" s="1"/>
  <c r="V50" i="10"/>
  <c r="AK50" i="10" s="1"/>
  <c r="S50" i="10"/>
  <c r="AN50" i="10" s="1"/>
  <c r="AT50" i="10" s="1"/>
  <c r="O50" i="10"/>
  <c r="E50" i="10"/>
  <c r="J50" i="10" s="1"/>
  <c r="AR49" i="10"/>
  <c r="AQ49" i="10"/>
  <c r="AO49" i="10"/>
  <c r="AU49" i="10" s="1"/>
  <c r="Z49" i="10"/>
  <c r="Y49" i="10"/>
  <c r="AD49" i="10" s="1"/>
  <c r="V49" i="10"/>
  <c r="AK49" i="10" s="1"/>
  <c r="S49" i="10"/>
  <c r="AN49" i="10" s="1"/>
  <c r="AT49" i="10" s="1"/>
  <c r="O49" i="10"/>
  <c r="E49" i="10"/>
  <c r="J49" i="10" s="1"/>
  <c r="AR48" i="10"/>
  <c r="AQ48" i="10"/>
  <c r="AO48" i="10"/>
  <c r="AU48" i="10" s="1"/>
  <c r="AK48" i="10"/>
  <c r="AB48" i="10"/>
  <c r="Z48" i="10"/>
  <c r="Y48" i="10"/>
  <c r="AD48" i="10" s="1"/>
  <c r="V48" i="10"/>
  <c r="S48" i="10"/>
  <c r="AN48" i="10" s="1"/>
  <c r="AT48" i="10" s="1"/>
  <c r="O48" i="10"/>
  <c r="J48" i="10"/>
  <c r="E48" i="10"/>
  <c r="AU47" i="10"/>
  <c r="AR47" i="10"/>
  <c r="AQ47" i="10"/>
  <c r="AP47" i="10"/>
  <c r="AO47" i="10"/>
  <c r="AK47" i="10"/>
  <c r="AD47" i="10"/>
  <c r="Z47" i="10"/>
  <c r="Y47" i="10"/>
  <c r="V47" i="10"/>
  <c r="S47" i="10"/>
  <c r="AN47" i="10" s="1"/>
  <c r="AT47" i="10" s="1"/>
  <c r="O47" i="10"/>
  <c r="E47" i="10"/>
  <c r="J47" i="10" s="1"/>
  <c r="AU46" i="10"/>
  <c r="AR46" i="10"/>
  <c r="AQ46" i="10"/>
  <c r="AO46" i="10"/>
  <c r="Z46" i="10"/>
  <c r="Y46" i="10"/>
  <c r="AD46" i="10" s="1"/>
  <c r="V46" i="10"/>
  <c r="AK46" i="10" s="1"/>
  <c r="S46" i="10"/>
  <c r="AN46" i="10" s="1"/>
  <c r="AT46" i="10" s="1"/>
  <c r="O46" i="10"/>
  <c r="E46" i="10"/>
  <c r="J46" i="10" s="1"/>
  <c r="AR45" i="10"/>
  <c r="AQ45" i="10"/>
  <c r="AO45" i="10"/>
  <c r="AU45" i="10" s="1"/>
  <c r="Z45" i="10"/>
  <c r="Y45" i="10"/>
  <c r="AD45" i="10" s="1"/>
  <c r="V45" i="10"/>
  <c r="AK45" i="10" s="1"/>
  <c r="S45" i="10"/>
  <c r="AN45" i="10" s="1"/>
  <c r="AT45" i="10" s="1"/>
  <c r="O45" i="10"/>
  <c r="E45" i="10"/>
  <c r="J45" i="10" s="1"/>
  <c r="AR44" i="10"/>
  <c r="AQ44" i="10"/>
  <c r="AO44" i="10"/>
  <c r="AU44" i="10" s="1"/>
  <c r="AK44" i="10"/>
  <c r="AD44" i="10"/>
  <c r="Z44" i="10"/>
  <c r="Y44" i="10"/>
  <c r="V44" i="10"/>
  <c r="S44" i="10"/>
  <c r="AN44" i="10" s="1"/>
  <c r="AT44" i="10" s="1"/>
  <c r="O44" i="10"/>
  <c r="J44" i="10"/>
  <c r="E44" i="10"/>
  <c r="AR43" i="10"/>
  <c r="AQ43" i="10"/>
  <c r="AO43" i="10"/>
  <c r="AU43" i="10" s="1"/>
  <c r="AK43" i="10"/>
  <c r="AD43" i="10"/>
  <c r="Z43" i="10"/>
  <c r="Y43" i="10"/>
  <c r="V43" i="10"/>
  <c r="S43" i="10"/>
  <c r="AN43" i="10" s="1"/>
  <c r="AT43" i="10" s="1"/>
  <c r="O43" i="10"/>
  <c r="E43" i="10"/>
  <c r="J43" i="10" s="1"/>
  <c r="AU42" i="10"/>
  <c r="AR42" i="10"/>
  <c r="AQ42" i="10"/>
  <c r="AO42" i="10"/>
  <c r="AK42" i="10"/>
  <c r="AB42" i="10"/>
  <c r="Z42" i="10"/>
  <c r="Y42" i="10"/>
  <c r="AD42" i="10" s="1"/>
  <c r="V42" i="10"/>
  <c r="S42" i="10"/>
  <c r="AN42" i="10" s="1"/>
  <c r="AT42" i="10" s="1"/>
  <c r="O42" i="10"/>
  <c r="E42" i="10"/>
  <c r="J42" i="10" s="1"/>
  <c r="AR41" i="10"/>
  <c r="AQ41" i="10"/>
  <c r="AO41" i="10"/>
  <c r="AU41" i="10" s="1"/>
  <c r="Z41" i="10"/>
  <c r="Y41" i="10"/>
  <c r="AD41" i="10" s="1"/>
  <c r="V41" i="10"/>
  <c r="AK41" i="10" s="1"/>
  <c r="S41" i="10"/>
  <c r="AN41" i="10" s="1"/>
  <c r="AT41" i="10" s="1"/>
  <c r="O41" i="10"/>
  <c r="E41" i="10"/>
  <c r="J41" i="10" s="1"/>
  <c r="AR40" i="10"/>
  <c r="AQ40" i="10"/>
  <c r="AO40" i="10"/>
  <c r="AU40" i="10" s="1"/>
  <c r="AK40" i="10"/>
  <c r="AD40" i="10"/>
  <c r="Z40" i="10"/>
  <c r="Y40" i="10"/>
  <c r="V40" i="10"/>
  <c r="S40" i="10"/>
  <c r="AN40" i="10" s="1"/>
  <c r="AT40" i="10" s="1"/>
  <c r="O40" i="10"/>
  <c r="J40" i="10"/>
  <c r="E40" i="10"/>
  <c r="AR39" i="10"/>
  <c r="AQ39" i="10"/>
  <c r="AP39" i="10"/>
  <c r="AO39" i="10"/>
  <c r="AU39" i="10" s="1"/>
  <c r="AK39" i="10"/>
  <c r="AD39" i="10"/>
  <c r="Z39" i="10"/>
  <c r="Y39" i="10"/>
  <c r="V39" i="10"/>
  <c r="S39" i="10"/>
  <c r="AN39" i="10" s="1"/>
  <c r="AT39" i="10" s="1"/>
  <c r="O39" i="10"/>
  <c r="E39" i="10"/>
  <c r="J39" i="10" s="1"/>
  <c r="AU38" i="10"/>
  <c r="AR38" i="10"/>
  <c r="AQ38" i="10"/>
  <c r="AO38" i="10"/>
  <c r="Z38" i="10"/>
  <c r="Y38" i="10"/>
  <c r="AD38" i="10" s="1"/>
  <c r="V38" i="10"/>
  <c r="AK38" i="10" s="1"/>
  <c r="S38" i="10"/>
  <c r="AN38" i="10" s="1"/>
  <c r="AT38" i="10" s="1"/>
  <c r="O38" i="10"/>
  <c r="E38" i="10"/>
  <c r="J38" i="10" s="1"/>
  <c r="AR37" i="10"/>
  <c r="AQ37" i="10"/>
  <c r="AO37" i="10"/>
  <c r="AU37" i="10" s="1"/>
  <c r="Z37" i="10"/>
  <c r="Y37" i="10"/>
  <c r="AD37" i="10" s="1"/>
  <c r="V37" i="10"/>
  <c r="AK37" i="10" s="1"/>
  <c r="S37" i="10"/>
  <c r="AN37" i="10" s="1"/>
  <c r="AT37" i="10" s="1"/>
  <c r="O37" i="10"/>
  <c r="E37" i="10"/>
  <c r="J37" i="10" s="1"/>
  <c r="AR36" i="10"/>
  <c r="AQ36" i="10"/>
  <c r="AO36" i="10"/>
  <c r="AU36" i="10" s="1"/>
  <c r="AN36" i="10"/>
  <c r="AT36" i="10" s="1"/>
  <c r="AD36" i="10"/>
  <c r="Z36" i="10"/>
  <c r="Y36" i="10"/>
  <c r="V36" i="10"/>
  <c r="AK36" i="10" s="1"/>
  <c r="S36" i="10"/>
  <c r="AB36" i="10" s="1"/>
  <c r="P36" i="10"/>
  <c r="O36" i="10"/>
  <c r="J36" i="10"/>
  <c r="E36" i="10"/>
  <c r="AR35" i="10"/>
  <c r="AQ35" i="10"/>
  <c r="AP35" i="10"/>
  <c r="AO35" i="10"/>
  <c r="AU35" i="10" s="1"/>
  <c r="Z35" i="10"/>
  <c r="Y35" i="10"/>
  <c r="AD35" i="10" s="1"/>
  <c r="V35" i="10"/>
  <c r="AK35" i="10" s="1"/>
  <c r="S35" i="10"/>
  <c r="P35" i="10"/>
  <c r="O35" i="10"/>
  <c r="E35" i="10"/>
  <c r="J35" i="10" s="1"/>
  <c r="AR34" i="10"/>
  <c r="AQ34" i="10"/>
  <c r="AO34" i="10"/>
  <c r="AU34" i="10" s="1"/>
  <c r="Z34" i="10"/>
  <c r="Y34" i="10"/>
  <c r="AD34" i="10" s="1"/>
  <c r="V34" i="10"/>
  <c r="AK34" i="10" s="1"/>
  <c r="S34" i="10"/>
  <c r="O34" i="10"/>
  <c r="E34" i="10"/>
  <c r="J34" i="10" s="1"/>
  <c r="AR33" i="10"/>
  <c r="AQ33" i="10"/>
  <c r="AO33" i="10"/>
  <c r="AU33" i="10" s="1"/>
  <c r="Z33" i="10"/>
  <c r="Y33" i="10"/>
  <c r="AD33" i="10" s="1"/>
  <c r="V33" i="10"/>
  <c r="AK33" i="10" s="1"/>
  <c r="S33" i="10"/>
  <c r="AP33" i="10" s="1"/>
  <c r="P33" i="10"/>
  <c r="O33" i="10"/>
  <c r="E33" i="10"/>
  <c r="J33" i="10" s="1"/>
  <c r="AR32" i="10"/>
  <c r="AQ32" i="10"/>
  <c r="AO32" i="10"/>
  <c r="AU32" i="10" s="1"/>
  <c r="AN32" i="10"/>
  <c r="AT32" i="10" s="1"/>
  <c r="AK32" i="10"/>
  <c r="Z32" i="10"/>
  <c r="Y32" i="10"/>
  <c r="V32" i="10"/>
  <c r="S32" i="10"/>
  <c r="AP32" i="10" s="1"/>
  <c r="O32" i="10"/>
  <c r="J32" i="10"/>
  <c r="E32" i="10"/>
  <c r="AU31" i="10"/>
  <c r="AR31" i="10"/>
  <c r="AQ31" i="10"/>
  <c r="AO31" i="10"/>
  <c r="AN31" i="10"/>
  <c r="AT31" i="10" s="1"/>
  <c r="AD31" i="10"/>
  <c r="Z31" i="10"/>
  <c r="Y31" i="10"/>
  <c r="V31" i="10"/>
  <c r="AK31" i="10" s="1"/>
  <c r="S31" i="10"/>
  <c r="AB31" i="10" s="1"/>
  <c r="P31" i="10"/>
  <c r="O31" i="10"/>
  <c r="E31" i="10"/>
  <c r="J31" i="10" s="1"/>
  <c r="AU30" i="10"/>
  <c r="AR30" i="10"/>
  <c r="AQ30" i="10"/>
  <c r="AO30" i="10"/>
  <c r="Z30" i="10"/>
  <c r="Y30" i="10"/>
  <c r="AD30" i="10" s="1"/>
  <c r="V30" i="10"/>
  <c r="AK30" i="10" s="1"/>
  <c r="S30" i="10"/>
  <c r="AB30" i="10" s="1"/>
  <c r="O30" i="10"/>
  <c r="E30" i="10"/>
  <c r="J30" i="10" s="1"/>
  <c r="AR29" i="10"/>
  <c r="AQ29" i="10"/>
  <c r="AO29" i="10"/>
  <c r="AU29" i="10" s="1"/>
  <c r="Z29" i="10"/>
  <c r="Y29" i="10"/>
  <c r="V29" i="10"/>
  <c r="AK29" i="10" s="1"/>
  <c r="S29" i="10"/>
  <c r="AB29" i="10" s="1"/>
  <c r="O29" i="10"/>
  <c r="E29" i="10"/>
  <c r="J29" i="10" s="1"/>
  <c r="AU28" i="10"/>
  <c r="AR28" i="10"/>
  <c r="AQ28" i="10"/>
  <c r="AO28" i="10"/>
  <c r="Z28" i="10"/>
  <c r="Y28" i="10"/>
  <c r="AD28" i="10" s="1"/>
  <c r="V28" i="10"/>
  <c r="AK28" i="10" s="1"/>
  <c r="S28" i="10"/>
  <c r="AN28" i="10" s="1"/>
  <c r="AT28" i="10" s="1"/>
  <c r="O28" i="10"/>
  <c r="E28" i="10"/>
  <c r="J28" i="10" s="1"/>
  <c r="AR27" i="10"/>
  <c r="AQ27" i="10"/>
  <c r="AO27" i="10"/>
  <c r="AU27" i="10" s="1"/>
  <c r="Z27" i="10"/>
  <c r="Y27" i="10"/>
  <c r="AD27" i="10" s="1"/>
  <c r="V27" i="10"/>
  <c r="AK27" i="10" s="1"/>
  <c r="S27" i="10"/>
  <c r="AN27" i="10" s="1"/>
  <c r="AT27" i="10" s="1"/>
  <c r="O27" i="10"/>
  <c r="J27" i="10"/>
  <c r="E27" i="10"/>
  <c r="AR26" i="10"/>
  <c r="AQ26" i="10"/>
  <c r="AO26" i="10"/>
  <c r="AU26" i="10" s="1"/>
  <c r="AN26" i="10"/>
  <c r="AT26" i="10" s="1"/>
  <c r="Z26" i="10"/>
  <c r="Y26" i="10"/>
  <c r="AD26" i="10" s="1"/>
  <c r="V26" i="10"/>
  <c r="AK26" i="10" s="1"/>
  <c r="S26" i="10"/>
  <c r="AB26" i="10" s="1"/>
  <c r="P26" i="10"/>
  <c r="O26" i="10"/>
  <c r="E26" i="10"/>
  <c r="J26" i="10" s="1"/>
  <c r="AR25" i="10"/>
  <c r="AQ25" i="10"/>
  <c r="AO25" i="10"/>
  <c r="AU25" i="10" s="1"/>
  <c r="Z25" i="10"/>
  <c r="Y25" i="10"/>
  <c r="AD25" i="10" s="1"/>
  <c r="V25" i="10"/>
  <c r="AK25" i="10" s="1"/>
  <c r="S25" i="10"/>
  <c r="O25" i="10"/>
  <c r="E25" i="10"/>
  <c r="J25" i="10" s="1"/>
  <c r="AR24" i="10"/>
  <c r="AQ24" i="10"/>
  <c r="AO24" i="10"/>
  <c r="AU24" i="10" s="1"/>
  <c r="Z24" i="10"/>
  <c r="Y24" i="10"/>
  <c r="V24" i="10"/>
  <c r="AK24" i="10" s="1"/>
  <c r="S24" i="10"/>
  <c r="AP24" i="10" s="1"/>
  <c r="P24" i="10"/>
  <c r="O24" i="10"/>
  <c r="E24" i="10"/>
  <c r="J24" i="10" s="1"/>
  <c r="AR23" i="10"/>
  <c r="AQ23" i="10"/>
  <c r="AP23" i="10"/>
  <c r="AO23" i="10"/>
  <c r="AU23" i="10" s="1"/>
  <c r="Z23" i="10"/>
  <c r="Y23" i="10"/>
  <c r="AD23" i="10" s="1"/>
  <c r="V23" i="10"/>
  <c r="AK23" i="10" s="1"/>
  <c r="S23" i="10"/>
  <c r="AB23" i="10" s="1"/>
  <c r="P23" i="10"/>
  <c r="O23" i="10"/>
  <c r="E23" i="10"/>
  <c r="J23" i="10" s="1"/>
  <c r="AR22" i="10"/>
  <c r="AQ22" i="10"/>
  <c r="AO22" i="10"/>
  <c r="AU22" i="10" s="1"/>
  <c r="AK22" i="10"/>
  <c r="AD22" i="10"/>
  <c r="Z22" i="10"/>
  <c r="Y22" i="10"/>
  <c r="V22" i="10"/>
  <c r="S22" i="10"/>
  <c r="O22" i="10"/>
  <c r="J22" i="10"/>
  <c r="E22" i="10"/>
  <c r="AU21" i="10"/>
  <c r="AR21" i="10"/>
  <c r="AQ21" i="10"/>
  <c r="AO21" i="10"/>
  <c r="Z21" i="10"/>
  <c r="Y21" i="10"/>
  <c r="V21" i="10"/>
  <c r="AK21" i="10" s="1"/>
  <c r="S21" i="10"/>
  <c r="AB21" i="10" s="1"/>
  <c r="O21" i="10"/>
  <c r="E21" i="10"/>
  <c r="J21" i="10" s="1"/>
  <c r="AR20" i="10"/>
  <c r="AQ20" i="10"/>
  <c r="AO20" i="10"/>
  <c r="AU20" i="10" s="1"/>
  <c r="AD20" i="10"/>
  <c r="Z20" i="10"/>
  <c r="Y20" i="10"/>
  <c r="V20" i="10"/>
  <c r="AK20" i="10" s="1"/>
  <c r="S20" i="10"/>
  <c r="AN20" i="10" s="1"/>
  <c r="AT20" i="10" s="1"/>
  <c r="P20" i="10"/>
  <c r="O20" i="10"/>
  <c r="E20" i="10"/>
  <c r="J20" i="10" s="1"/>
  <c r="AU19" i="10"/>
  <c r="AR19" i="10"/>
  <c r="AQ19" i="10"/>
  <c r="AO19" i="10"/>
  <c r="AO71" i="10" s="1"/>
  <c r="Z19" i="10"/>
  <c r="Y19" i="10"/>
  <c r="V19" i="10"/>
  <c r="AK19" i="10" s="1"/>
  <c r="S19" i="10"/>
  <c r="AB19" i="10" s="1"/>
  <c r="O19" i="10"/>
  <c r="E19" i="10"/>
  <c r="J19" i="10" s="1"/>
  <c r="AJ17" i="10"/>
  <c r="AJ74" i="10" s="1"/>
  <c r="U8" i="3" s="1"/>
  <c r="AH17" i="10"/>
  <c r="AH74" i="10" s="1"/>
  <c r="AG17" i="10"/>
  <c r="AF17" i="10"/>
  <c r="AF74" i="10" s="1"/>
  <c r="W8" i="3" s="1"/>
  <c r="AE17" i="10"/>
  <c r="AE74" i="10" s="1"/>
  <c r="Q8" i="3" s="1"/>
  <c r="AC17" i="10"/>
  <c r="AC74" i="10" s="1"/>
  <c r="R8" i="3" s="1"/>
  <c r="X17" i="10"/>
  <c r="X74" i="10" s="1"/>
  <c r="N8" i="3" s="1"/>
  <c r="W17" i="10"/>
  <c r="W74" i="10" s="1"/>
  <c r="M8" i="3" s="1"/>
  <c r="U17" i="10"/>
  <c r="U74" i="10" s="1"/>
  <c r="K8" i="3" s="1"/>
  <c r="T17" i="10"/>
  <c r="T74" i="10" s="1"/>
  <c r="J8" i="3" s="1"/>
  <c r="L8" i="3" s="1"/>
  <c r="R17" i="10"/>
  <c r="Q17" i="10"/>
  <c r="AR15" i="10"/>
  <c r="AQ15" i="10"/>
  <c r="AP15" i="10"/>
  <c r="AO15" i="10"/>
  <c r="AN15" i="10"/>
  <c r="AT15" i="10" s="1"/>
  <c r="AK15" i="10"/>
  <c r="AB15" i="10"/>
  <c r="Y15" i="10"/>
  <c r="AD15" i="10" s="1"/>
  <c r="P15" i="10"/>
  <c r="O15" i="10"/>
  <c r="Z15" i="10"/>
  <c r="J15" i="10"/>
  <c r="AR14" i="10"/>
  <c r="AQ14" i="10"/>
  <c r="AO14" i="10"/>
  <c r="AB14" i="10"/>
  <c r="Y14" i="10"/>
  <c r="AN14" i="10" s="1"/>
  <c r="V14" i="10"/>
  <c r="AK14" i="10" s="1"/>
  <c r="AP14" i="10"/>
  <c r="P14" i="10"/>
  <c r="O14" i="10"/>
  <c r="J14" i="10"/>
  <c r="AR13" i="10"/>
  <c r="AQ13" i="10"/>
  <c r="AO13" i="10"/>
  <c r="Y13" i="10"/>
  <c r="AD13" i="10" s="1"/>
  <c r="V13" i="10"/>
  <c r="AK13" i="10" s="1"/>
  <c r="AB13" i="10"/>
  <c r="O13" i="10"/>
  <c r="AR12" i="10"/>
  <c r="AQ12" i="10"/>
  <c r="AP12" i="10"/>
  <c r="AO12" i="10"/>
  <c r="Y12" i="10"/>
  <c r="AD12" i="10" s="1"/>
  <c r="V12" i="10"/>
  <c r="AK12" i="10" s="1"/>
  <c r="P12" i="10"/>
  <c r="O12" i="10"/>
  <c r="Z12" i="10"/>
  <c r="J12" i="10"/>
  <c r="AR11" i="10"/>
  <c r="AQ11" i="10"/>
  <c r="AP11" i="10"/>
  <c r="AO11" i="10"/>
  <c r="AB11" i="10"/>
  <c r="Y11" i="10"/>
  <c r="AD11" i="10" s="1"/>
  <c r="V11" i="10"/>
  <c r="AK11" i="10" s="1"/>
  <c r="P11" i="10"/>
  <c r="O11" i="10"/>
  <c r="Z11" i="10"/>
  <c r="AR10" i="10"/>
  <c r="AQ10" i="10"/>
  <c r="AO10" i="10"/>
  <c r="Z10" i="10"/>
  <c r="Y10" i="10"/>
  <c r="V10" i="10"/>
  <c r="AK10" i="10" s="1"/>
  <c r="AP10" i="10"/>
  <c r="O10" i="10"/>
  <c r="J10" i="10"/>
  <c r="AR9" i="10"/>
  <c r="AQ9" i="10"/>
  <c r="AO9" i="10"/>
  <c r="Y9" i="10"/>
  <c r="AD9" i="10" s="1"/>
  <c r="V9" i="10"/>
  <c r="AK9" i="10" s="1"/>
  <c r="O9" i="10"/>
  <c r="Z9" i="10"/>
  <c r="J9" i="10"/>
  <c r="AR8" i="10"/>
  <c r="AQ8" i="10"/>
  <c r="AP8" i="10"/>
  <c r="AO8" i="10"/>
  <c r="Y8" i="10"/>
  <c r="AD8" i="10" s="1"/>
  <c r="V8" i="10"/>
  <c r="AK8" i="10" s="1"/>
  <c r="P8" i="10"/>
  <c r="O8" i="10"/>
  <c r="Z8" i="10"/>
  <c r="J8" i="10"/>
  <c r="AR7" i="10"/>
  <c r="AQ7" i="10"/>
  <c r="AP7" i="10"/>
  <c r="AO7" i="10"/>
  <c r="AB7" i="10"/>
  <c r="Y7" i="10"/>
  <c r="AD7" i="10" s="1"/>
  <c r="V7" i="10"/>
  <c r="AK7" i="10" s="1"/>
  <c r="P7" i="10"/>
  <c r="O7" i="10"/>
  <c r="J7" i="10"/>
  <c r="AR6" i="10"/>
  <c r="AQ6" i="10"/>
  <c r="AP6" i="10"/>
  <c r="AO6" i="10"/>
  <c r="AB6" i="10"/>
  <c r="Z6" i="10"/>
  <c r="Y6" i="10"/>
  <c r="AD6" i="10" s="1"/>
  <c r="V6" i="10"/>
  <c r="AK6" i="10" s="1"/>
  <c r="P6" i="10"/>
  <c r="O6" i="10"/>
  <c r="AR5" i="10"/>
  <c r="AQ5" i="10"/>
  <c r="AO5" i="10"/>
  <c r="AB5" i="10"/>
  <c r="Y5" i="10"/>
  <c r="AN5" i="10" s="1"/>
  <c r="V5" i="10"/>
  <c r="AK5" i="10" s="1"/>
  <c r="AP5" i="10"/>
  <c r="P5" i="10"/>
  <c r="O5" i="10"/>
  <c r="J5" i="10"/>
  <c r="AR4" i="10"/>
  <c r="AQ4" i="10"/>
  <c r="AO4" i="10"/>
  <c r="Y4" i="10"/>
  <c r="AN4" i="10" s="1"/>
  <c r="V4" i="10"/>
  <c r="AK4" i="10" s="1"/>
  <c r="O4" i="10"/>
  <c r="G17" i="10"/>
  <c r="G74" i="10" s="1"/>
  <c r="J4" i="10"/>
  <c r="AR3" i="10"/>
  <c r="AQ3" i="10"/>
  <c r="AP3" i="10"/>
  <c r="AO3" i="10"/>
  <c r="AO16" i="10" s="1"/>
  <c r="AB3" i="10"/>
  <c r="Z3" i="10"/>
  <c r="Y3" i="10"/>
  <c r="AN3" i="10" s="1"/>
  <c r="V3" i="10"/>
  <c r="AK3" i="10" s="1"/>
  <c r="O3" i="10"/>
  <c r="M25" i="26" l="1"/>
  <c r="L26" i="26"/>
  <c r="F26" i="26"/>
  <c r="E27" i="26"/>
  <c r="F27" i="27"/>
  <c r="E28" i="27"/>
  <c r="M27" i="27"/>
  <c r="G27" i="27" s="1"/>
  <c r="L28" i="27"/>
  <c r="O5" i="3"/>
  <c r="AD5" i="10"/>
  <c r="AN6" i="10"/>
  <c r="AD4" i="10"/>
  <c r="AN7" i="10"/>
  <c r="AN11" i="10"/>
  <c r="AN8" i="10"/>
  <c r="AN12" i="10"/>
  <c r="O8" i="3"/>
  <c r="F8" i="3" s="1"/>
  <c r="E38" i="21"/>
  <c r="F37" i="21"/>
  <c r="M37" i="21"/>
  <c r="L38" i="21"/>
  <c r="F35" i="18"/>
  <c r="E36" i="18"/>
  <c r="M37" i="18"/>
  <c r="L38" i="18"/>
  <c r="F35" i="17"/>
  <c r="E36" i="17"/>
  <c r="M34" i="17"/>
  <c r="L35" i="17"/>
  <c r="M36" i="16"/>
  <c r="L37" i="16"/>
  <c r="F36" i="16"/>
  <c r="E37" i="16"/>
  <c r="F36" i="15"/>
  <c r="E37" i="15"/>
  <c r="M37" i="15"/>
  <c r="L38" i="15"/>
  <c r="AP24" i="12"/>
  <c r="V17" i="12"/>
  <c r="R74" i="12"/>
  <c r="I4" i="3"/>
  <c r="AG74" i="12"/>
  <c r="AP23" i="12"/>
  <c r="AI31" i="12"/>
  <c r="AP33" i="12"/>
  <c r="AI40" i="12"/>
  <c r="Q74" i="12"/>
  <c r="H4" i="3"/>
  <c r="AP34" i="12"/>
  <c r="P20" i="12"/>
  <c r="AN20" i="12"/>
  <c r="AT20" i="12" s="1"/>
  <c r="AP22" i="12"/>
  <c r="AB25" i="12"/>
  <c r="AL25" i="12" s="1"/>
  <c r="AS25" i="12" s="1" a="1"/>
  <c r="AS25" i="12" s="1"/>
  <c r="AW25" i="12" s="1"/>
  <c r="AN26" i="12"/>
  <c r="AT26" i="12" s="1"/>
  <c r="P27" i="12"/>
  <c r="AB29" i="12"/>
  <c r="AB30" i="12"/>
  <c r="P31" i="12"/>
  <c r="AN31" i="12"/>
  <c r="AT31" i="12" s="1"/>
  <c r="AI35" i="12"/>
  <c r="AN40" i="12"/>
  <c r="AT40" i="12" s="1"/>
  <c r="AP41" i="12"/>
  <c r="AB44" i="12"/>
  <c r="AP38" i="12"/>
  <c r="AO16" i="12"/>
  <c r="AB24" i="12"/>
  <c r="AI25" i="12"/>
  <c r="P26" i="12"/>
  <c r="AN30" i="12"/>
  <c r="AT30" i="12" s="1"/>
  <c r="P36" i="12"/>
  <c r="AP36" i="12"/>
  <c r="AN39" i="12"/>
  <c r="AT39" i="12" s="1"/>
  <c r="P40" i="12"/>
  <c r="AB23" i="12"/>
  <c r="AI24" i="12"/>
  <c r="AN25" i="12"/>
  <c r="AT25" i="12" s="1"/>
  <c r="AI29" i="12"/>
  <c r="AL29" i="12" s="1"/>
  <c r="AS29" i="12" s="1" a="1"/>
  <c r="AS29" i="12" s="1"/>
  <c r="AW29" i="12" s="1"/>
  <c r="AI34" i="12"/>
  <c r="AI38" i="12"/>
  <c r="AR16" i="12"/>
  <c r="AN24" i="12"/>
  <c r="AT24" i="12" s="1"/>
  <c r="AI28" i="12"/>
  <c r="P29" i="12"/>
  <c r="P30" i="12"/>
  <c r="AN34" i="12"/>
  <c r="AT34" i="12" s="1"/>
  <c r="AP35" i="12"/>
  <c r="AN38" i="12"/>
  <c r="AT38" i="12" s="1"/>
  <c r="P39" i="12"/>
  <c r="AP39" i="12"/>
  <c r="AB43" i="12"/>
  <c r="L74" i="12"/>
  <c r="G4" i="3"/>
  <c r="AN28" i="12"/>
  <c r="AT28" i="12" s="1"/>
  <c r="AI33" i="12"/>
  <c r="P34" i="12"/>
  <c r="AL36" i="12"/>
  <c r="AS36" i="12" s="1" a="1"/>
  <c r="AS36" i="12" s="1"/>
  <c r="AW36" i="12" s="1"/>
  <c r="AI37" i="12"/>
  <c r="P38" i="12"/>
  <c r="AB42" i="12"/>
  <c r="AN43" i="12"/>
  <c r="AT43" i="12" s="1"/>
  <c r="L74" i="11"/>
  <c r="G5" i="3"/>
  <c r="AP19" i="11"/>
  <c r="AN25" i="11"/>
  <c r="AT25" i="11" s="1"/>
  <c r="P26" i="11"/>
  <c r="AP27" i="11"/>
  <c r="AB37" i="11"/>
  <c r="AB41" i="11"/>
  <c r="AL41" i="11" s="1"/>
  <c r="AS41" i="11" s="1" a="1"/>
  <c r="AS41" i="11" s="1"/>
  <c r="AW41" i="11" s="1"/>
  <c r="AN24" i="11"/>
  <c r="AT24" i="11" s="1"/>
  <c r="AP26" i="11"/>
  <c r="AB21" i="11"/>
  <c r="AN23" i="11"/>
  <c r="AT23" i="11" s="1"/>
  <c r="P24" i="11"/>
  <c r="AP25" i="11"/>
  <c r="AB29" i="11"/>
  <c r="AN31" i="11"/>
  <c r="AT31" i="11" s="1"/>
  <c r="P32" i="11"/>
  <c r="AP32" i="11"/>
  <c r="AN41" i="11"/>
  <c r="AT41" i="11" s="1"/>
  <c r="J17" i="11"/>
  <c r="AB20" i="11"/>
  <c r="AB28" i="11"/>
  <c r="AB36" i="11"/>
  <c r="AB62" i="11"/>
  <c r="AB66" i="11"/>
  <c r="AB70" i="11"/>
  <c r="AP20" i="11"/>
  <c r="AB19" i="11"/>
  <c r="AN21" i="11"/>
  <c r="AT21" i="11" s="1"/>
  <c r="P22" i="11"/>
  <c r="AB27" i="11"/>
  <c r="AN29" i="11"/>
  <c r="AT29" i="11" s="1"/>
  <c r="P30" i="11"/>
  <c r="AB33" i="11"/>
  <c r="AP34" i="11"/>
  <c r="AN20" i="11"/>
  <c r="AT20" i="11" s="1"/>
  <c r="P21" i="11"/>
  <c r="AN28" i="11"/>
  <c r="AT28" i="11" s="1"/>
  <c r="P29" i="11"/>
  <c r="AB35" i="11"/>
  <c r="P36" i="11"/>
  <c r="AP36" i="11"/>
  <c r="AB38" i="11"/>
  <c r="AB42" i="11"/>
  <c r="AB45" i="11"/>
  <c r="G8" i="14"/>
  <c r="G16" i="14"/>
  <c r="G14" i="14"/>
  <c r="G15" i="14"/>
  <c r="AP64" i="10"/>
  <c r="AP54" i="10"/>
  <c r="Z72" i="10"/>
  <c r="AP20" i="10"/>
  <c r="AP26" i="10"/>
  <c r="P32" i="10"/>
  <c r="AP36" i="10"/>
  <c r="AB38" i="10"/>
  <c r="AP40" i="10"/>
  <c r="AP44" i="10"/>
  <c r="AB46" i="10"/>
  <c r="AP48" i="10"/>
  <c r="AB50" i="10"/>
  <c r="AP58" i="10"/>
  <c r="P63" i="10"/>
  <c r="AP63" i="10"/>
  <c r="Q74" i="10"/>
  <c r="H8" i="3"/>
  <c r="AP31" i="10"/>
  <c r="AP43" i="10"/>
  <c r="AP52" i="10"/>
  <c r="P57" i="10"/>
  <c r="AP57" i="10"/>
  <c r="AB60" i="10"/>
  <c r="AP68" i="10"/>
  <c r="P51" i="10"/>
  <c r="AP51" i="10"/>
  <c r="AB54" i="10"/>
  <c r="AP62" i="10"/>
  <c r="AP67" i="10"/>
  <c r="AB70" i="10"/>
  <c r="AQ16" i="10"/>
  <c r="AB24" i="10"/>
  <c r="AP28" i="10"/>
  <c r="AB33" i="10"/>
  <c r="AP56" i="10"/>
  <c r="AP61" i="10"/>
  <c r="AB64" i="10"/>
  <c r="AR16" i="10"/>
  <c r="AQ71" i="10"/>
  <c r="P28" i="10"/>
  <c r="AP38" i="10"/>
  <c r="AB40" i="10"/>
  <c r="AP42" i="10"/>
  <c r="AB44" i="10"/>
  <c r="AP46" i="10"/>
  <c r="AP50" i="10"/>
  <c r="P55" i="10"/>
  <c r="AP55" i="10"/>
  <c r="AP66" i="10"/>
  <c r="R74" i="10"/>
  <c r="I8" i="3"/>
  <c r="V17" i="10"/>
  <c r="AR71" i="10"/>
  <c r="AN23" i="10"/>
  <c r="AT23" i="10" s="1"/>
  <c r="AN24" i="10"/>
  <c r="AT24" i="10" s="1"/>
  <c r="AB32" i="10"/>
  <c r="AN33" i="10"/>
  <c r="AT33" i="10" s="1"/>
  <c r="AP37" i="10"/>
  <c r="AP41" i="10"/>
  <c r="AP45" i="10"/>
  <c r="AP49" i="10"/>
  <c r="AP60" i="10"/>
  <c r="P65" i="10"/>
  <c r="AP65" i="10"/>
  <c r="AB68" i="10"/>
  <c r="F34" i="14"/>
  <c r="E35" i="14"/>
  <c r="M34" i="14"/>
  <c r="L35" i="14"/>
  <c r="Q74" i="11"/>
  <c r="H5" i="3"/>
  <c r="R74" i="11"/>
  <c r="I5" i="3"/>
  <c r="P11" i="11"/>
  <c r="AN9" i="11"/>
  <c r="Y17" i="11"/>
  <c r="AD17" i="11" s="1"/>
  <c r="V17" i="11"/>
  <c r="P9" i="11"/>
  <c r="AN14" i="11"/>
  <c r="AP11" i="11"/>
  <c r="AP6" i="11"/>
  <c r="AN10" i="11"/>
  <c r="AT10" i="11" s="1"/>
  <c r="P6" i="11"/>
  <c r="AB12" i="11"/>
  <c r="AR16" i="11"/>
  <c r="S17" i="11"/>
  <c r="S74" i="11" s="1"/>
  <c r="AB7" i="11"/>
  <c r="AB9" i="11"/>
  <c r="AB11" i="11"/>
  <c r="P12" i="11"/>
  <c r="AP12" i="11"/>
  <c r="P14" i="11"/>
  <c r="AP14" i="11"/>
  <c r="P4" i="11"/>
  <c r="AN7" i="11"/>
  <c r="AT7" i="11" s="1"/>
  <c r="AN3" i="11"/>
  <c r="AB3" i="11"/>
  <c r="AI12" i="11"/>
  <c r="AI14" i="11"/>
  <c r="AI33" i="11"/>
  <c r="AL33" i="11" s="1"/>
  <c r="AS33" i="11" s="1" a="1"/>
  <c r="AS33" i="11" s="1"/>
  <c r="AW33" i="11" s="1"/>
  <c r="AI11" i="11"/>
  <c r="AL11" i="11" s="1"/>
  <c r="AS11" i="11" s="1" a="1"/>
  <c r="AS11" i="11" s="1"/>
  <c r="AI3" i="11"/>
  <c r="AI7" i="11"/>
  <c r="AL7" i="11" s="1"/>
  <c r="AS7" i="11" s="1" a="1"/>
  <c r="AS7" i="11" s="1"/>
  <c r="AW7" i="11" s="1"/>
  <c r="AI37" i="11"/>
  <c r="AL37" i="11" s="1"/>
  <c r="AS37" i="11" s="1" a="1"/>
  <c r="AS37" i="11" s="1"/>
  <c r="AW37" i="11" s="1"/>
  <c r="AI6" i="11"/>
  <c r="AL6" i="11" s="1"/>
  <c r="AS6" i="11" s="1" a="1"/>
  <c r="AS6" i="11" s="1"/>
  <c r="AW6" i="11" s="1"/>
  <c r="AI4" i="11"/>
  <c r="AI29" i="11"/>
  <c r="AI30" i="11"/>
  <c r="AL30" i="11" s="1"/>
  <c r="AS30" i="11" s="1" a="1"/>
  <c r="AS30" i="11" s="1"/>
  <c r="AW30" i="11" s="1"/>
  <c r="AI31" i="11"/>
  <c r="AL31" i="11" s="1"/>
  <c r="AS31" i="11" s="1" a="1"/>
  <c r="AS31" i="11" s="1"/>
  <c r="AW31" i="11" s="1"/>
  <c r="AI32" i="11"/>
  <c r="AL32" i="11" s="1"/>
  <c r="AS32" i="11" s="1" a="1"/>
  <c r="AS32" i="11" s="1"/>
  <c r="AW32" i="11" s="1"/>
  <c r="AI26" i="11"/>
  <c r="AL26" i="11" s="1"/>
  <c r="AS26" i="11" s="1" a="1"/>
  <c r="AS26" i="11" s="1"/>
  <c r="AW26" i="11" s="1"/>
  <c r="AI27" i="11"/>
  <c r="AL27" i="11" s="1"/>
  <c r="AS27" i="11" s="1" a="1"/>
  <c r="AS27" i="11" s="1"/>
  <c r="AW27" i="11" s="1"/>
  <c r="AI34" i="11"/>
  <c r="AL34" i="11" s="1"/>
  <c r="AS34" i="11" s="1" a="1"/>
  <c r="AS34" i="11" s="1"/>
  <c r="AW34" i="11" s="1"/>
  <c r="AI42" i="11"/>
  <c r="AL42" i="11" s="1"/>
  <c r="AS42" i="11" s="1" a="1"/>
  <c r="AS42" i="11" s="1"/>
  <c r="AW42" i="11" s="1"/>
  <c r="AI21" i="11"/>
  <c r="AI22" i="11"/>
  <c r="AL22" i="11" s="1"/>
  <c r="AS22" i="11" s="1" a="1"/>
  <c r="AS22" i="11" s="1"/>
  <c r="AW22" i="11" s="1"/>
  <c r="AI23" i="11"/>
  <c r="AL23" i="11" s="1"/>
  <c r="AS23" i="11" s="1" a="1"/>
  <c r="AS23" i="11" s="1"/>
  <c r="AW23" i="11" s="1"/>
  <c r="AI24" i="11"/>
  <c r="AL24" i="11" s="1"/>
  <c r="AS24" i="11" s="1" a="1"/>
  <c r="AS24" i="11" s="1"/>
  <c r="AW24" i="11" s="1"/>
  <c r="AI9" i="11"/>
  <c r="AL14" i="11"/>
  <c r="AS14" i="11" s="1" a="1"/>
  <c r="AS14" i="11" s="1"/>
  <c r="AU14" i="11" s="1"/>
  <c r="AI19" i="11"/>
  <c r="AI38" i="11"/>
  <c r="AL38" i="11" s="1"/>
  <c r="AS38" i="11" s="1" a="1"/>
  <c r="AS38" i="11" s="1"/>
  <c r="AW38" i="11" s="1"/>
  <c r="X4" i="3"/>
  <c r="AP11" i="12"/>
  <c r="P8" i="12"/>
  <c r="AP14" i="12"/>
  <c r="P14" i="12"/>
  <c r="J17" i="12"/>
  <c r="AI39" i="12"/>
  <c r="AI15" i="12"/>
  <c r="AL15" i="12" s="1"/>
  <c r="AS15" i="12" s="1" a="1"/>
  <c r="AS15" i="12" s="1"/>
  <c r="AL24" i="12"/>
  <c r="AS24" i="12" s="1" a="1"/>
  <c r="AS24" i="12" s="1"/>
  <c r="AW24" i="12" s="1"/>
  <c r="AI44" i="12"/>
  <c r="AL44" i="12" s="1"/>
  <c r="AS44" i="12" s="1" a="1"/>
  <c r="AS44" i="12" s="1"/>
  <c r="AW44" i="12" s="1"/>
  <c r="AI3" i="12"/>
  <c r="AI26" i="12"/>
  <c r="AL26" i="12" s="1"/>
  <c r="AS26" i="12" s="1" a="1"/>
  <c r="AS26" i="12" s="1"/>
  <c r="AW26" i="12" s="1"/>
  <c r="AI32" i="12"/>
  <c r="AL40" i="12"/>
  <c r="AS40" i="12" s="1" a="1"/>
  <c r="AS40" i="12" s="1"/>
  <c r="AW40" i="12" s="1"/>
  <c r="AI11" i="12"/>
  <c r="AL11" i="12" s="1"/>
  <c r="AS11" i="12" s="1" a="1"/>
  <c r="AS11" i="12" s="1"/>
  <c r="AW11" i="12" s="1"/>
  <c r="AI23" i="12"/>
  <c r="AI30" i="12"/>
  <c r="AL30" i="12" s="1"/>
  <c r="AS30" i="12" s="1" a="1"/>
  <c r="AS30" i="12" s="1"/>
  <c r="AW30" i="12" s="1"/>
  <c r="AI41" i="12"/>
  <c r="AI42" i="12"/>
  <c r="AI43" i="12"/>
  <c r="AL43" i="12" s="1"/>
  <c r="AS43" i="12" s="1" a="1"/>
  <c r="AS43" i="12" s="1"/>
  <c r="AW43" i="12" s="1"/>
  <c r="AL27" i="12"/>
  <c r="AS27" i="12" s="1" a="1"/>
  <c r="AS27" i="12" s="1"/>
  <c r="AW27" i="12" s="1"/>
  <c r="Y17" i="12"/>
  <c r="AD17" i="12" s="1"/>
  <c r="P6" i="12"/>
  <c r="AN11" i="12"/>
  <c r="AB5" i="12"/>
  <c r="AL5" i="12" s="1"/>
  <c r="AS5" i="12" s="1" a="1"/>
  <c r="AS5" i="12" s="1"/>
  <c r="S17" i="12"/>
  <c r="P7" i="12"/>
  <c r="AN14" i="12"/>
  <c r="AT14" i="12" s="1"/>
  <c r="AB12" i="12"/>
  <c r="AN5" i="12"/>
  <c r="AT5" i="12" s="1"/>
  <c r="AP6" i="12"/>
  <c r="AL6" i="12"/>
  <c r="AS6" i="12" s="1" a="1"/>
  <c r="AS6" i="12" s="1"/>
  <c r="AW6" i="12" s="1"/>
  <c r="P12" i="12"/>
  <c r="AL14" i="12"/>
  <c r="AS14" i="12" s="1" a="1"/>
  <c r="AS14" i="12" s="1"/>
  <c r="AU14" i="12" s="1"/>
  <c r="P3" i="12"/>
  <c r="AU71" i="12"/>
  <c r="AL19" i="12"/>
  <c r="Y72" i="12"/>
  <c r="AD43" i="12"/>
  <c r="AK3" i="12"/>
  <c r="AK17" i="12" s="1"/>
  <c r="AN7" i="12"/>
  <c r="AT7" i="12" s="1"/>
  <c r="AN9" i="12"/>
  <c r="AR17" i="12"/>
  <c r="Z72" i="12"/>
  <c r="AL22" i="12"/>
  <c r="AS22" i="12" s="1" a="1"/>
  <c r="AS22" i="12" s="1"/>
  <c r="AW22" i="12" s="1"/>
  <c r="AL33" i="12"/>
  <c r="AS33" i="12" s="1" a="1"/>
  <c r="AS33" i="12" s="1"/>
  <c r="AW33" i="12" s="1"/>
  <c r="AD47" i="12"/>
  <c r="AD59" i="12"/>
  <c r="AL37" i="12"/>
  <c r="AS37" i="12" s="1" a="1"/>
  <c r="AS37" i="12" s="1"/>
  <c r="AW37" i="12" s="1"/>
  <c r="AN3" i="12"/>
  <c r="AP4" i="12"/>
  <c r="AD6" i="12"/>
  <c r="AP9" i="12"/>
  <c r="AN12" i="12"/>
  <c r="AT12" i="12" s="1"/>
  <c r="E72" i="12"/>
  <c r="J19" i="12"/>
  <c r="J72" i="12" s="1"/>
  <c r="J74" i="12" s="1"/>
  <c r="AL20" i="12"/>
  <c r="AS20" i="12" s="1" a="1"/>
  <c r="AS20" i="12" s="1"/>
  <c r="AW20" i="12" s="1"/>
  <c r="AD24" i="12"/>
  <c r="AL28" i="12"/>
  <c r="AS28" i="12" s="1" a="1"/>
  <c r="AS28" i="12" s="1"/>
  <c r="AW28" i="12" s="1"/>
  <c r="AL31" i="12"/>
  <c r="AS31" i="12" s="1" a="1"/>
  <c r="AS31" i="12" s="1"/>
  <c r="AW31" i="12" s="1"/>
  <c r="AD36" i="12"/>
  <c r="AL41" i="12"/>
  <c r="AS41" i="12" s="1" a="1"/>
  <c r="AS41" i="12" s="1"/>
  <c r="AW41" i="12" s="1"/>
  <c r="AP45" i="12"/>
  <c r="AB45" i="12"/>
  <c r="AN45" i="12"/>
  <c r="AT45" i="12" s="1"/>
  <c r="P48" i="12"/>
  <c r="AP48" i="12"/>
  <c r="AB48" i="12"/>
  <c r="Z17" i="12"/>
  <c r="Z74" i="12" s="1"/>
  <c r="AB4" i="12"/>
  <c r="AL4" i="12" s="1"/>
  <c r="AS4" i="12" s="1" a="1"/>
  <c r="AS4" i="12" s="1"/>
  <c r="AD5" i="12"/>
  <c r="AB8" i="12"/>
  <c r="AL8" i="12" s="1"/>
  <c r="AS8" i="12" s="1" a="1"/>
  <c r="AS8" i="12" s="1"/>
  <c r="AW8" i="12" s="1"/>
  <c r="AN8" i="12"/>
  <c r="P10" i="12"/>
  <c r="AP10" i="12"/>
  <c r="AN10" i="12"/>
  <c r="AT10" i="12" s="1"/>
  <c r="AD11" i="12"/>
  <c r="AR74" i="12"/>
  <c r="AD19" i="12"/>
  <c r="AD27" i="12"/>
  <c r="AD30" i="12"/>
  <c r="AL34" i="12"/>
  <c r="AS34" i="12" s="1" a="1"/>
  <c r="AS34" i="12" s="1"/>
  <c r="AW34" i="12" s="1"/>
  <c r="AL38" i="12"/>
  <c r="AS38" i="12" s="1" a="1"/>
  <c r="AS38" i="12" s="1"/>
  <c r="AW38" i="12" s="1"/>
  <c r="AD40" i="12"/>
  <c r="AD52" i="12"/>
  <c r="AD63" i="12"/>
  <c r="AP3" i="12"/>
  <c r="AD4" i="12"/>
  <c r="P5" i="12"/>
  <c r="AB7" i="12"/>
  <c r="AL7" i="12" s="1"/>
  <c r="AS7" i="12" s="1" a="1"/>
  <c r="AS7" i="12" s="1"/>
  <c r="AB9" i="12"/>
  <c r="AL9" i="12" s="1"/>
  <c r="AS9" i="12" s="1" a="1"/>
  <c r="AS9" i="12" s="1"/>
  <c r="AL12" i="12"/>
  <c r="AS12" i="12" s="1" a="1"/>
  <c r="AS12" i="12" s="1"/>
  <c r="AD12" i="12"/>
  <c r="AD22" i="12"/>
  <c r="AD33" i="12"/>
  <c r="AD37" i="12"/>
  <c r="AQ16" i="12"/>
  <c r="P4" i="12"/>
  <c r="AD7" i="12"/>
  <c r="AN13" i="12"/>
  <c r="AT13" i="12" s="1"/>
  <c r="P13" i="12"/>
  <c r="AT19" i="12"/>
  <c r="AL21" i="12"/>
  <c r="AS21" i="12" s="1" a="1"/>
  <c r="AS21" i="12" s="1"/>
  <c r="AW21" i="12" s="1"/>
  <c r="AD25" i="12"/>
  <c r="AD28" i="12"/>
  <c r="AL32" i="12"/>
  <c r="AS32" i="12" s="1" a="1"/>
  <c r="AS32" i="12" s="1"/>
  <c r="AW32" i="12" s="1"/>
  <c r="AL35" i="12"/>
  <c r="AS35" i="12" s="1" a="1"/>
  <c r="AS35" i="12" s="1"/>
  <c r="AW35" i="12" s="1"/>
  <c r="AL39" i="12"/>
  <c r="AS39" i="12" s="1" a="1"/>
  <c r="AS39" i="12" s="1"/>
  <c r="AW39" i="12" s="1"/>
  <c r="E74" i="12"/>
  <c r="AK72" i="12"/>
  <c r="AO71" i="12"/>
  <c r="AL42" i="12"/>
  <c r="AS42" i="12" s="1" a="1"/>
  <c r="AS42" i="12" s="1"/>
  <c r="AW42" i="12" s="1"/>
  <c r="AD42" i="12"/>
  <c r="AD67" i="12"/>
  <c r="AD72" i="12"/>
  <c r="AD56" i="12"/>
  <c r="AD60" i="12"/>
  <c r="AD64" i="12"/>
  <c r="AD68" i="12"/>
  <c r="AI13" i="12"/>
  <c r="AL13" i="12" s="1"/>
  <c r="AS13" i="12" s="1" a="1"/>
  <c r="AS13" i="12" s="1"/>
  <c r="AQ71" i="12"/>
  <c r="AI45" i="12"/>
  <c r="P47" i="12"/>
  <c r="AP47" i="12"/>
  <c r="AN47" i="12"/>
  <c r="AT47" i="12" s="1"/>
  <c r="AI10" i="12"/>
  <c r="S72" i="12"/>
  <c r="AD46" i="12"/>
  <c r="AD58" i="12"/>
  <c r="AD62" i="12"/>
  <c r="AD66" i="12"/>
  <c r="AD70" i="12"/>
  <c r="AI70" i="12"/>
  <c r="AI69" i="12"/>
  <c r="AI68" i="12"/>
  <c r="AI67" i="12"/>
  <c r="AI66" i="12"/>
  <c r="AI65" i="12"/>
  <c r="AI64" i="12"/>
  <c r="AI63" i="12"/>
  <c r="AI62" i="12"/>
  <c r="AI61" i="12"/>
  <c r="AI60" i="12"/>
  <c r="AI59" i="12"/>
  <c r="AI58" i="12"/>
  <c r="AI57" i="12"/>
  <c r="AI56" i="12"/>
  <c r="AI55" i="12"/>
  <c r="AI54" i="12"/>
  <c r="AI53" i="12"/>
  <c r="AI52" i="12"/>
  <c r="AI51" i="12"/>
  <c r="AI50" i="12"/>
  <c r="AI49" i="12"/>
  <c r="AI48" i="12"/>
  <c r="AI47" i="12"/>
  <c r="AL47" i="12" s="1"/>
  <c r="AS47" i="12" s="1" a="1"/>
  <c r="AS47" i="12" s="1"/>
  <c r="AW47" i="12" s="1"/>
  <c r="AI46" i="12"/>
  <c r="AL46" i="12" s="1"/>
  <c r="AS46" i="12" s="1" a="1"/>
  <c r="AS46" i="12" s="1"/>
  <c r="AW46" i="12" s="1"/>
  <c r="V72" i="12"/>
  <c r="V74" i="12" s="1"/>
  <c r="P44" i="12"/>
  <c r="P49" i="12"/>
  <c r="AB49" i="12"/>
  <c r="AP49" i="12"/>
  <c r="AR72" i="12"/>
  <c r="P50" i="12"/>
  <c r="AB50" i="12"/>
  <c r="AP50" i="12"/>
  <c r="AD61" i="12"/>
  <c r="AD65" i="12"/>
  <c r="AD69" i="12"/>
  <c r="AN44" i="12"/>
  <c r="AT44" i="12" s="1"/>
  <c r="P46" i="12"/>
  <c r="AP46" i="12"/>
  <c r="AN46" i="12"/>
  <c r="AT46" i="12" s="1"/>
  <c r="P51" i="12"/>
  <c r="AB51" i="12"/>
  <c r="AL51" i="12" s="1"/>
  <c r="AS51" i="12" s="1" a="1"/>
  <c r="AS51" i="12" s="1"/>
  <c r="AW51" i="12" s="1"/>
  <c r="AP51" i="12"/>
  <c r="AP52" i="12"/>
  <c r="AP53" i="12"/>
  <c r="AP54" i="12"/>
  <c r="AP55" i="12"/>
  <c r="AP56" i="12"/>
  <c r="AP57" i="12"/>
  <c r="AP58" i="12"/>
  <c r="AP59" i="12"/>
  <c r="AP60" i="12"/>
  <c r="AP61" i="12"/>
  <c r="AP62" i="12"/>
  <c r="AP63" i="12"/>
  <c r="AP64" i="12"/>
  <c r="AP65" i="12"/>
  <c r="AP66" i="12"/>
  <c r="AP67" i="12"/>
  <c r="AP68" i="12"/>
  <c r="AP69" i="12"/>
  <c r="AP70" i="12"/>
  <c r="AB52" i="12"/>
  <c r="AB53" i="12"/>
  <c r="AL53" i="12" s="1"/>
  <c r="AS53" i="12" s="1" a="1"/>
  <c r="AS53" i="12" s="1"/>
  <c r="AW53" i="12" s="1"/>
  <c r="AB54" i="12"/>
  <c r="AB55" i="12"/>
  <c r="AL55" i="12" s="1"/>
  <c r="AS55" i="12" s="1" a="1"/>
  <c r="AS55" i="12" s="1"/>
  <c r="AW55" i="12" s="1"/>
  <c r="AB56" i="12"/>
  <c r="AL56" i="12" s="1"/>
  <c r="AS56" i="12" s="1" a="1"/>
  <c r="AS56" i="12" s="1"/>
  <c r="AW56" i="12" s="1"/>
  <c r="AB57" i="12"/>
  <c r="AB58" i="12"/>
  <c r="AB59" i="12"/>
  <c r="AB60" i="12"/>
  <c r="AB61" i="12"/>
  <c r="AL61" i="12" s="1"/>
  <c r="AS61" i="12" s="1" a="1"/>
  <c r="AS61" i="12" s="1"/>
  <c r="AW61" i="12" s="1"/>
  <c r="AB62" i="12"/>
  <c r="AB63" i="12"/>
  <c r="AL63" i="12" s="1"/>
  <c r="AS63" i="12" s="1" a="1"/>
  <c r="AS63" i="12" s="1"/>
  <c r="AW63" i="12" s="1"/>
  <c r="AB64" i="12"/>
  <c r="AL64" i="12" s="1"/>
  <c r="AS64" i="12" s="1" a="1"/>
  <c r="AS64" i="12" s="1"/>
  <c r="AW64" i="12" s="1"/>
  <c r="AB65" i="12"/>
  <c r="AB66" i="12"/>
  <c r="AB67" i="12"/>
  <c r="AB68" i="12"/>
  <c r="AB69" i="12"/>
  <c r="AL69" i="12" s="1"/>
  <c r="AS69" i="12" s="1" a="1"/>
  <c r="AS69" i="12" s="1"/>
  <c r="AW69" i="12" s="1"/>
  <c r="AB70" i="12"/>
  <c r="P52" i="12"/>
  <c r="P53" i="12"/>
  <c r="P54" i="12"/>
  <c r="P55" i="12"/>
  <c r="P56" i="12"/>
  <c r="P57" i="12"/>
  <c r="P58" i="12"/>
  <c r="P59" i="12"/>
  <c r="P60" i="12"/>
  <c r="P61" i="12"/>
  <c r="P62" i="12"/>
  <c r="P63" i="12"/>
  <c r="P64" i="12"/>
  <c r="P65" i="12"/>
  <c r="P66" i="12"/>
  <c r="P67" i="12"/>
  <c r="P68" i="12"/>
  <c r="P69" i="12"/>
  <c r="P70" i="12"/>
  <c r="Y74" i="11"/>
  <c r="AA54" i="11" s="1"/>
  <c r="AR17" i="11"/>
  <c r="AF74" i="11"/>
  <c r="W5" i="3" s="1"/>
  <c r="F5" i="3" s="1"/>
  <c r="AG74" i="11"/>
  <c r="X5" i="3" s="1"/>
  <c r="AP39" i="11"/>
  <c r="AB39" i="11"/>
  <c r="P39" i="11"/>
  <c r="AD44" i="11"/>
  <c r="AD67" i="11"/>
  <c r="Z17" i="11"/>
  <c r="AB4" i="11"/>
  <c r="P8" i="11"/>
  <c r="AB8" i="11"/>
  <c r="AN8" i="11"/>
  <c r="AI70" i="11"/>
  <c r="AL70" i="11" s="1"/>
  <c r="AS70" i="11" s="1" a="1"/>
  <c r="AS70" i="11" s="1"/>
  <c r="AW70" i="11" s="1"/>
  <c r="AI69" i="11"/>
  <c r="AI68" i="11"/>
  <c r="AL68" i="11" s="1"/>
  <c r="AS68" i="11" s="1" a="1"/>
  <c r="AS68" i="11" s="1"/>
  <c r="AW68" i="11" s="1"/>
  <c r="AI67" i="11"/>
  <c r="AL67" i="11" s="1"/>
  <c r="AS67" i="11" s="1" a="1"/>
  <c r="AS67" i="11" s="1"/>
  <c r="AW67" i="11" s="1"/>
  <c r="AI66" i="11"/>
  <c r="AI65" i="11"/>
  <c r="AL65" i="11" s="1"/>
  <c r="AS65" i="11" s="1" a="1"/>
  <c r="AS65" i="11" s="1"/>
  <c r="AW65" i="11" s="1"/>
  <c r="AI64" i="11"/>
  <c r="AL64" i="11" s="1"/>
  <c r="AS64" i="11" s="1" a="1"/>
  <c r="AS64" i="11" s="1"/>
  <c r="AW64" i="11" s="1"/>
  <c r="AI63" i="11"/>
  <c r="AL63" i="11" s="1"/>
  <c r="AS63" i="11" s="1" a="1"/>
  <c r="AS63" i="11" s="1"/>
  <c r="AW63" i="11" s="1"/>
  <c r="AI62" i="11"/>
  <c r="AI61" i="11"/>
  <c r="AI60" i="11"/>
  <c r="AL60" i="11" s="1"/>
  <c r="AS60" i="11" s="1" a="1"/>
  <c r="AS60" i="11" s="1"/>
  <c r="AW60" i="11" s="1"/>
  <c r="AI59" i="11"/>
  <c r="AL59" i="11" s="1"/>
  <c r="AS59" i="11" s="1" a="1"/>
  <c r="AS59" i="11" s="1"/>
  <c r="AW59" i="11" s="1"/>
  <c r="AI58" i="11"/>
  <c r="AI57" i="11"/>
  <c r="AI56" i="11"/>
  <c r="AL56" i="11" s="1"/>
  <c r="AS56" i="11" s="1" a="1"/>
  <c r="AS56" i="11" s="1"/>
  <c r="AW56" i="11" s="1"/>
  <c r="AI55" i="11"/>
  <c r="AI54" i="11"/>
  <c r="AL54" i="11" s="1"/>
  <c r="AS54" i="11" s="1" a="1"/>
  <c r="AS54" i="11" s="1"/>
  <c r="AW54" i="11" s="1"/>
  <c r="AI53" i="11"/>
  <c r="AI52" i="11"/>
  <c r="AL52" i="11" s="1"/>
  <c r="AS52" i="11" s="1" a="1"/>
  <c r="AS52" i="11" s="1"/>
  <c r="AW52" i="11" s="1"/>
  <c r="AI51" i="11"/>
  <c r="AL51" i="11" s="1"/>
  <c r="AS51" i="11" s="1" a="1"/>
  <c r="AS51" i="11" s="1"/>
  <c r="AW51" i="11" s="1"/>
  <c r="AI50" i="11"/>
  <c r="AI49" i="11"/>
  <c r="AI48" i="11"/>
  <c r="AI47" i="11"/>
  <c r="AL47" i="11" s="1"/>
  <c r="AS47" i="11" s="1" a="1"/>
  <c r="AS47" i="11" s="1"/>
  <c r="AW47" i="11" s="1"/>
  <c r="AI46" i="11"/>
  <c r="AL46" i="11" s="1"/>
  <c r="AS46" i="11" s="1" a="1"/>
  <c r="AS46" i="11" s="1"/>
  <c r="AW46" i="11" s="1"/>
  <c r="AI44" i="11"/>
  <c r="AI40" i="11"/>
  <c r="AI8" i="11"/>
  <c r="AI15" i="11"/>
  <c r="AL15" i="11" s="1"/>
  <c r="AS15" i="11" s="1" a="1"/>
  <c r="AS15" i="11" s="1"/>
  <c r="AT15" i="11" s="1"/>
  <c r="AI45" i="11"/>
  <c r="AL45" i="11" s="1"/>
  <c r="AS45" i="11" s="1" a="1"/>
  <c r="AS45" i="11" s="1"/>
  <c r="AW45" i="11" s="1"/>
  <c r="AI41" i="11"/>
  <c r="AI10" i="11"/>
  <c r="AL10" i="11" s="1"/>
  <c r="AS10" i="11" s="1" a="1"/>
  <c r="AS10" i="11" s="1"/>
  <c r="AI13" i="11"/>
  <c r="AL13" i="11" s="1"/>
  <c r="AS13" i="11" s="1" a="1"/>
  <c r="AS13" i="11" s="1"/>
  <c r="AI5" i="11"/>
  <c r="AK72" i="11"/>
  <c r="AU19" i="11"/>
  <c r="AU71" i="11" s="1"/>
  <c r="AO71" i="11"/>
  <c r="AI25" i="11"/>
  <c r="AL25" i="11" s="1"/>
  <c r="AS25" i="11" s="1" a="1"/>
  <c r="AS25" i="11" s="1"/>
  <c r="AW25" i="11" s="1"/>
  <c r="AI35" i="11"/>
  <c r="P47" i="11"/>
  <c r="AP47" i="11"/>
  <c r="AB47" i="11"/>
  <c r="AN47" i="11"/>
  <c r="AT47" i="11" s="1"/>
  <c r="AD54" i="11"/>
  <c r="AL66" i="11"/>
  <c r="AS66" i="11" s="1" a="1"/>
  <c r="AS66" i="11" s="1"/>
  <c r="AW66" i="11" s="1"/>
  <c r="AD66" i="11"/>
  <c r="AD70" i="11"/>
  <c r="AP4" i="11"/>
  <c r="AB5" i="11"/>
  <c r="AL5" i="11" s="1"/>
  <c r="AS5" i="11" s="1" a="1"/>
  <c r="AS5" i="11" s="1"/>
  <c r="AW5" i="11" s="1"/>
  <c r="AP3" i="11"/>
  <c r="AD4" i="11"/>
  <c r="AD6" i="11"/>
  <c r="AD7" i="11"/>
  <c r="AP8" i="11"/>
  <c r="Y72" i="11"/>
  <c r="AD72" i="11" s="1"/>
  <c r="AI20" i="11"/>
  <c r="AL20" i="11" s="1"/>
  <c r="AS20" i="11" s="1" a="1"/>
  <c r="AS20" i="11" s="1"/>
  <c r="AW20" i="11" s="1"/>
  <c r="AI28" i="11"/>
  <c r="AI36" i="11"/>
  <c r="AL36" i="11" s="1"/>
  <c r="AS36" i="11" s="1" a="1"/>
  <c r="AS36" i="11" s="1"/>
  <c r="AW36" i="11" s="1"/>
  <c r="AD45" i="11"/>
  <c r="AB48" i="11"/>
  <c r="AD50" i="11"/>
  <c r="P53" i="11"/>
  <c r="AP53" i="11"/>
  <c r="AB53" i="11"/>
  <c r="AL53" i="11" s="1"/>
  <c r="AS53" i="11" s="1" a="1"/>
  <c r="AS53" i="11" s="1"/>
  <c r="AW53" i="11" s="1"/>
  <c r="P56" i="11"/>
  <c r="AP56" i="11"/>
  <c r="AL61" i="11"/>
  <c r="AS61" i="11" s="1" a="1"/>
  <c r="AS61" i="11" s="1"/>
  <c r="AW61" i="11" s="1"/>
  <c r="AP5" i="11"/>
  <c r="AN5" i="11"/>
  <c r="AT5" i="11" s="1"/>
  <c r="AP13" i="11"/>
  <c r="AN13" i="11"/>
  <c r="P13" i="11"/>
  <c r="AO16" i="11"/>
  <c r="Z72" i="11"/>
  <c r="AP40" i="11"/>
  <c r="AB40" i="11"/>
  <c r="AN40" i="11"/>
  <c r="AT40" i="11" s="1"/>
  <c r="AP43" i="11"/>
  <c r="AB43" i="11"/>
  <c r="AL43" i="11" s="1"/>
  <c r="AS43" i="11" s="1" a="1"/>
  <c r="AS43" i="11" s="1"/>
  <c r="AW43" i="11" s="1"/>
  <c r="P43" i="11"/>
  <c r="AL69" i="11"/>
  <c r="AS69" i="11" s="1" a="1"/>
  <c r="AS69" i="11" s="1"/>
  <c r="AW69" i="11" s="1"/>
  <c r="AD69" i="11"/>
  <c r="P52" i="11"/>
  <c r="AP52" i="11"/>
  <c r="AN52" i="11"/>
  <c r="AT52" i="11" s="1"/>
  <c r="AD53" i="11"/>
  <c r="AD12" i="11"/>
  <c r="AR71" i="11"/>
  <c r="P3" i="11"/>
  <c r="P10" i="11"/>
  <c r="AP10" i="11"/>
  <c r="E72" i="11"/>
  <c r="J19" i="11"/>
  <c r="J72" i="11" s="1"/>
  <c r="AL21" i="11"/>
  <c r="AS21" i="11" s="1" a="1"/>
  <c r="AS21" i="11" s="1"/>
  <c r="AW21" i="11" s="1"/>
  <c r="AL29" i="11"/>
  <c r="AS29" i="11" s="1" a="1"/>
  <c r="AS29" i="11" s="1"/>
  <c r="AW29" i="11" s="1"/>
  <c r="AI39" i="11"/>
  <c r="AD40" i="11"/>
  <c r="AD46" i="11"/>
  <c r="P55" i="11"/>
  <c r="AP55" i="11"/>
  <c r="AB55" i="11"/>
  <c r="AN55" i="11"/>
  <c r="AT55" i="11" s="1"/>
  <c r="AD59" i="11"/>
  <c r="AD60" i="11"/>
  <c r="AD61" i="11"/>
  <c r="AD62" i="11"/>
  <c r="AD63" i="11"/>
  <c r="AD64" i="11"/>
  <c r="AD65" i="11"/>
  <c r="AD68" i="11"/>
  <c r="AK3" i="11"/>
  <c r="E74" i="11"/>
  <c r="AP44" i="11"/>
  <c r="AB44" i="11"/>
  <c r="AN44" i="11"/>
  <c r="AT44" i="11" s="1"/>
  <c r="P48" i="11"/>
  <c r="AP48" i="11"/>
  <c r="AD58" i="11"/>
  <c r="AH74" i="11"/>
  <c r="AQ71" i="11"/>
  <c r="P46" i="11"/>
  <c r="AP46" i="11"/>
  <c r="AB50" i="11"/>
  <c r="P54" i="11"/>
  <c r="AP54" i="11"/>
  <c r="AB58" i="11"/>
  <c r="G74" i="11"/>
  <c r="S72" i="11"/>
  <c r="P49" i="11"/>
  <c r="AP49" i="11"/>
  <c r="AD52" i="11"/>
  <c r="P57" i="11"/>
  <c r="AP57" i="11"/>
  <c r="V72" i="11"/>
  <c r="P50" i="11"/>
  <c r="AP50" i="11"/>
  <c r="P58" i="11"/>
  <c r="AP58" i="11"/>
  <c r="AN45" i="11"/>
  <c r="AT45" i="11" s="1"/>
  <c r="AL49" i="11"/>
  <c r="AS49" i="11" s="1" a="1"/>
  <c r="AS49" i="11" s="1"/>
  <c r="AW49" i="11" s="1"/>
  <c r="P51" i="11"/>
  <c r="AP51" i="11"/>
  <c r="AL57" i="11"/>
  <c r="AS57" i="11" s="1" a="1"/>
  <c r="AS57" i="11" s="1"/>
  <c r="AW57" i="11" s="1"/>
  <c r="AP59" i="11"/>
  <c r="AP60" i="11"/>
  <c r="AP61" i="11"/>
  <c r="AP62" i="11"/>
  <c r="AP63" i="11"/>
  <c r="AP64" i="11"/>
  <c r="AP65" i="11"/>
  <c r="AP66" i="11"/>
  <c r="AP67" i="11"/>
  <c r="AP68" i="11"/>
  <c r="AP69" i="11"/>
  <c r="AP70" i="11"/>
  <c r="P59" i="11"/>
  <c r="P60" i="11"/>
  <c r="P61" i="11"/>
  <c r="P62" i="11"/>
  <c r="P63" i="11"/>
  <c r="P64" i="11"/>
  <c r="P65" i="11"/>
  <c r="P66" i="11"/>
  <c r="P67" i="11"/>
  <c r="P68" i="11"/>
  <c r="P69" i="11"/>
  <c r="P70" i="11"/>
  <c r="O4" i="3"/>
  <c r="L4" i="3"/>
  <c r="L5" i="3"/>
  <c r="AU71" i="10"/>
  <c r="Z4" i="10"/>
  <c r="AP4" i="10"/>
  <c r="AP16" i="10" s="1"/>
  <c r="AB4" i="10"/>
  <c r="J72" i="10"/>
  <c r="AN16" i="10"/>
  <c r="P4" i="10"/>
  <c r="Z5" i="10"/>
  <c r="P10" i="10"/>
  <c r="AN10" i="10"/>
  <c r="J11" i="10"/>
  <c r="P19" i="10"/>
  <c r="S72" i="10"/>
  <c r="AP19" i="10"/>
  <c r="P21" i="10"/>
  <c r="AN21" i="10"/>
  <c r="AT21" i="10" s="1"/>
  <c r="AD24" i="10"/>
  <c r="AB34" i="10"/>
  <c r="AP34" i="10"/>
  <c r="AN34" i="10"/>
  <c r="AT34" i="10" s="1"/>
  <c r="AR17" i="10"/>
  <c r="AG74" i="10"/>
  <c r="X8" i="3" s="1"/>
  <c r="P27" i="10"/>
  <c r="AP27" i="10"/>
  <c r="P29" i="10"/>
  <c r="AN29" i="10"/>
  <c r="AT29" i="10" s="1"/>
  <c r="AD32" i="10"/>
  <c r="AP21" i="10"/>
  <c r="Y17" i="10"/>
  <c r="Y72" i="10"/>
  <c r="L17" i="10"/>
  <c r="AP9" i="10"/>
  <c r="AN9" i="10"/>
  <c r="P9" i="10"/>
  <c r="AD10" i="10"/>
  <c r="AD21" i="10"/>
  <c r="AP22" i="10"/>
  <c r="AN22" i="10"/>
  <c r="AT22" i="10" s="1"/>
  <c r="P22" i="10"/>
  <c r="AP29" i="10"/>
  <c r="H17" i="10"/>
  <c r="H74" i="10" s="1"/>
  <c r="AI11" i="10" s="1"/>
  <c r="AP13" i="10"/>
  <c r="AN13" i="10"/>
  <c r="P13" i="10"/>
  <c r="AD14" i="10"/>
  <c r="AD29" i="10"/>
  <c r="AP30" i="10"/>
  <c r="AN30" i="10"/>
  <c r="AT30" i="10" s="1"/>
  <c r="P30" i="10"/>
  <c r="AD3" i="10"/>
  <c r="AB10" i="10"/>
  <c r="Z14" i="10"/>
  <c r="E72" i="10"/>
  <c r="AD19" i="10"/>
  <c r="P25" i="10"/>
  <c r="AB25" i="10"/>
  <c r="AN25" i="10"/>
  <c r="AT25" i="10" s="1"/>
  <c r="AP25" i="10"/>
  <c r="AB27" i="10"/>
  <c r="AK17" i="10"/>
  <c r="AK72" i="10"/>
  <c r="F17" i="10"/>
  <c r="F74" i="10" s="1"/>
  <c r="P3" i="10"/>
  <c r="S17" i="10"/>
  <c r="S74" i="10" s="1"/>
  <c r="J6" i="10"/>
  <c r="Z7" i="10"/>
  <c r="AB9" i="10"/>
  <c r="J13" i="10"/>
  <c r="Z13" i="10"/>
  <c r="AN19" i="10"/>
  <c r="AB22" i="10"/>
  <c r="P34" i="10"/>
  <c r="AB8" i="10"/>
  <c r="AB12" i="10"/>
  <c r="AB20" i="10"/>
  <c r="AB28" i="10"/>
  <c r="AN35" i="10"/>
  <c r="AT35" i="10" s="1"/>
  <c r="P37" i="10"/>
  <c r="P39" i="10"/>
  <c r="P41" i="10"/>
  <c r="P43" i="10"/>
  <c r="P45" i="10"/>
  <c r="P47" i="10"/>
  <c r="P49" i="10"/>
  <c r="AB35" i="10"/>
  <c r="P38" i="10"/>
  <c r="P40" i="10"/>
  <c r="P42" i="10"/>
  <c r="P44" i="10"/>
  <c r="P46" i="10"/>
  <c r="P48" i="10"/>
  <c r="P50" i="10"/>
  <c r="P52" i="10"/>
  <c r="P54" i="10"/>
  <c r="P56" i="10"/>
  <c r="P58" i="10"/>
  <c r="P60" i="10"/>
  <c r="P62" i="10"/>
  <c r="P64" i="10"/>
  <c r="P66" i="10"/>
  <c r="P68" i="10"/>
  <c r="V72" i="10"/>
  <c r="AN70" i="10"/>
  <c r="AT70" i="10" s="1"/>
  <c r="AB37" i="10"/>
  <c r="AB39" i="10"/>
  <c r="AB41" i="10"/>
  <c r="AB43" i="10"/>
  <c r="AB45" i="10"/>
  <c r="AB47" i="10"/>
  <c r="AB49" i="10"/>
  <c r="AB51" i="10"/>
  <c r="AB53" i="10"/>
  <c r="AB55" i="10"/>
  <c r="AB57" i="10"/>
  <c r="AB59" i="10"/>
  <c r="AB61" i="10"/>
  <c r="AB63" i="10"/>
  <c r="AB65" i="10"/>
  <c r="AB67" i="10"/>
  <c r="AB69" i="10"/>
  <c r="AP70" i="10"/>
  <c r="AD72" i="10"/>
  <c r="L27" i="26" l="1"/>
  <c r="M26" i="26"/>
  <c r="E28" i="26"/>
  <c r="F27" i="26"/>
  <c r="F4" i="3"/>
  <c r="L29" i="27"/>
  <c r="M28" i="27"/>
  <c r="G28" i="27" s="1"/>
  <c r="F28" i="27"/>
  <c r="E29" i="27"/>
  <c r="V74" i="10"/>
  <c r="AR74" i="10"/>
  <c r="AI15" i="10"/>
  <c r="AI13" i="10"/>
  <c r="AL13" i="10" s="1"/>
  <c r="AS13" i="10" s="1" a="1"/>
  <c r="AS13" i="10" s="1"/>
  <c r="AT13" i="10" s="1"/>
  <c r="M38" i="21"/>
  <c r="L39" i="21"/>
  <c r="F38" i="21"/>
  <c r="E39" i="21"/>
  <c r="F36" i="18"/>
  <c r="E37" i="18"/>
  <c r="M38" i="18"/>
  <c r="L39" i="18"/>
  <c r="M35" i="17"/>
  <c r="L36" i="17"/>
  <c r="F36" i="17"/>
  <c r="E37" i="17"/>
  <c r="F37" i="16"/>
  <c r="E38" i="16"/>
  <c r="M37" i="16"/>
  <c r="L38" i="16"/>
  <c r="M38" i="15"/>
  <c r="L39" i="15"/>
  <c r="F37" i="15"/>
  <c r="E38" i="15"/>
  <c r="AN71" i="12"/>
  <c r="AK74" i="12"/>
  <c r="AP71" i="12"/>
  <c r="AI72" i="12"/>
  <c r="AL65" i="12"/>
  <c r="AS65" i="12" s="1" a="1"/>
  <c r="AS65" i="12" s="1"/>
  <c r="AW65" i="12" s="1"/>
  <c r="AL57" i="12"/>
  <c r="AS57" i="12" s="1" a="1"/>
  <c r="AS57" i="12" s="1"/>
  <c r="AW57" i="12" s="1"/>
  <c r="Z74" i="11"/>
  <c r="AL58" i="11"/>
  <c r="AS58" i="11" s="1" a="1"/>
  <c r="AS58" i="11" s="1"/>
  <c r="AW58" i="11" s="1"/>
  <c r="AL28" i="11"/>
  <c r="AS28" i="11" s="1" a="1"/>
  <c r="AS28" i="11" s="1"/>
  <c r="AW28" i="11" s="1"/>
  <c r="AL19" i="11"/>
  <c r="AL62" i="11"/>
  <c r="AS62" i="11" s="1" a="1"/>
  <c r="AS62" i="11" s="1"/>
  <c r="AW62" i="11" s="1"/>
  <c r="AA42" i="11"/>
  <c r="J74" i="11"/>
  <c r="AL35" i="11"/>
  <c r="AS35" i="11" s="1" a="1"/>
  <c r="AS35" i="11" s="1"/>
  <c r="AW35" i="11" s="1"/>
  <c r="AP71" i="11"/>
  <c r="AA66" i="11"/>
  <c r="AL11" i="10"/>
  <c r="AS11" i="10" s="1" a="1"/>
  <c r="AS11" i="10" s="1"/>
  <c r="AU11" i="10" s="1"/>
  <c r="L74" i="10"/>
  <c r="G8" i="3"/>
  <c r="AL15" i="10"/>
  <c r="AS15" i="10" s="1" a="1"/>
  <c r="AS15" i="10" s="1"/>
  <c r="AW15" i="10" s="1"/>
  <c r="M35" i="14"/>
  <c r="L36" i="14"/>
  <c r="E36" i="14"/>
  <c r="F35" i="14"/>
  <c r="AT13" i="11"/>
  <c r="AP16" i="12"/>
  <c r="AB17" i="10"/>
  <c r="V74" i="11"/>
  <c r="AL12" i="11"/>
  <c r="AS12" i="11" s="1" a="1"/>
  <c r="AS12" i="11" s="1"/>
  <c r="AW12" i="11" s="1"/>
  <c r="AR74" i="11"/>
  <c r="AL8" i="11"/>
  <c r="AS8" i="11" s="1" a="1"/>
  <c r="AS8" i="11" s="1"/>
  <c r="AT8" i="11" s="1"/>
  <c r="AL9" i="11"/>
  <c r="AS9" i="11" s="1" a="1"/>
  <c r="AS9" i="11" s="1"/>
  <c r="AT9" i="11" s="1"/>
  <c r="AL4" i="11"/>
  <c r="AS4" i="11" s="1" a="1"/>
  <c r="AS4" i="11" s="1"/>
  <c r="AW4" i="11" s="1"/>
  <c r="AL55" i="11"/>
  <c r="AS55" i="11" s="1" a="1"/>
  <c r="AS55" i="11" s="1"/>
  <c r="AW55" i="11" s="1"/>
  <c r="AL44" i="11"/>
  <c r="AS44" i="11" s="1" a="1"/>
  <c r="AS44" i="11" s="1"/>
  <c r="AW44" i="11" s="1"/>
  <c r="AT14" i="11"/>
  <c r="AA57" i="11"/>
  <c r="AA69" i="11"/>
  <c r="AA12" i="11"/>
  <c r="AA40" i="11"/>
  <c r="AT6" i="11"/>
  <c r="AU6" i="11"/>
  <c r="AW14" i="11"/>
  <c r="AB17" i="11"/>
  <c r="AW11" i="11"/>
  <c r="AU11" i="11"/>
  <c r="AL40" i="11"/>
  <c r="AS40" i="11" s="1" a="1"/>
  <c r="AS40" i="11" s="1"/>
  <c r="AW40" i="11" s="1"/>
  <c r="AI17" i="11"/>
  <c r="AI72" i="11"/>
  <c r="AT71" i="11"/>
  <c r="AL48" i="11"/>
  <c r="AS48" i="11" s="1" a="1"/>
  <c r="AS48" i="11" s="1"/>
  <c r="AW48" i="11" s="1"/>
  <c r="AL50" i="11"/>
  <c r="AS50" i="11" s="1" a="1"/>
  <c r="AS50" i="11" s="1"/>
  <c r="AW50" i="11" s="1"/>
  <c r="AW15" i="12"/>
  <c r="AU15" i="12"/>
  <c r="AL50" i="12"/>
  <c r="AS50" i="12" s="1" a="1"/>
  <c r="AS50" i="12" s="1"/>
  <c r="AW50" i="12" s="1"/>
  <c r="AL23" i="12"/>
  <c r="AS23" i="12" s="1" a="1"/>
  <c r="AS23" i="12" s="1"/>
  <c r="AW23" i="12" s="1"/>
  <c r="AL67" i="12"/>
  <c r="AS67" i="12" s="1" a="1"/>
  <c r="AS67" i="12" s="1"/>
  <c r="AW67" i="12" s="1"/>
  <c r="AL59" i="12"/>
  <c r="AS59" i="12" s="1" a="1"/>
  <c r="AS59" i="12" s="1"/>
  <c r="AW59" i="12" s="1"/>
  <c r="AI17" i="12"/>
  <c r="AL68" i="12"/>
  <c r="AS68" i="12" s="1" a="1"/>
  <c r="AS68" i="12" s="1"/>
  <c r="AW68" i="12" s="1"/>
  <c r="AL52" i="12"/>
  <c r="AS52" i="12" s="1" a="1"/>
  <c r="AS52" i="12" s="1"/>
  <c r="AW52" i="12" s="1"/>
  <c r="AL66" i="12"/>
  <c r="AS66" i="12" s="1" a="1"/>
  <c r="AS66" i="12" s="1"/>
  <c r="AW66" i="12" s="1"/>
  <c r="AL58" i="12"/>
  <c r="AS58" i="12" s="1" a="1"/>
  <c r="AS58" i="12" s="1"/>
  <c r="AW58" i="12" s="1"/>
  <c r="AL60" i="12"/>
  <c r="AS60" i="12" s="1" a="1"/>
  <c r="AS60" i="12" s="1"/>
  <c r="AW60" i="12" s="1"/>
  <c r="AT6" i="12"/>
  <c r="AT8" i="12"/>
  <c r="Y74" i="12"/>
  <c r="AA27" i="12" s="1"/>
  <c r="AT11" i="12"/>
  <c r="AT9" i="12"/>
  <c r="AW14" i="12"/>
  <c r="S74" i="12"/>
  <c r="AU11" i="12"/>
  <c r="AU6" i="12"/>
  <c r="AW13" i="12"/>
  <c r="AU13" i="12"/>
  <c r="AW9" i="12"/>
  <c r="AU9" i="12"/>
  <c r="AW7" i="12"/>
  <c r="AU7" i="12"/>
  <c r="AA15" i="12"/>
  <c r="AA12" i="12"/>
  <c r="AA5" i="12"/>
  <c r="AA39" i="12"/>
  <c r="AA35" i="12"/>
  <c r="AA32" i="12"/>
  <c r="AA21" i="12"/>
  <c r="AA37" i="12"/>
  <c r="AA63" i="12"/>
  <c r="AA38" i="12"/>
  <c r="AA64" i="12"/>
  <c r="AA31" i="12"/>
  <c r="AA54" i="12"/>
  <c r="AA57" i="12"/>
  <c r="AA56" i="12"/>
  <c r="AA59" i="12"/>
  <c r="AA33" i="12"/>
  <c r="AA23" i="12"/>
  <c r="AA45" i="12"/>
  <c r="AA69" i="12"/>
  <c r="AA9" i="12"/>
  <c r="AA52" i="12"/>
  <c r="AA10" i="12"/>
  <c r="AA67" i="12"/>
  <c r="AA68" i="12"/>
  <c r="AA66" i="12"/>
  <c r="AA36" i="12"/>
  <c r="AA25" i="12"/>
  <c r="AA20" i="12"/>
  <c r="AA41" i="12"/>
  <c r="AA61" i="12"/>
  <c r="AA60" i="12"/>
  <c r="AA51" i="12"/>
  <c r="AA65" i="12"/>
  <c r="AA14" i="12"/>
  <c r="AD74" i="12"/>
  <c r="AA47" i="12"/>
  <c r="AA40" i="12"/>
  <c r="AA7" i="12"/>
  <c r="AA22" i="12"/>
  <c r="AA34" i="12"/>
  <c r="AA44" i="12"/>
  <c r="AA53" i="12"/>
  <c r="AA70" i="12"/>
  <c r="AA3" i="12"/>
  <c r="AW4" i="12"/>
  <c r="AU4" i="12"/>
  <c r="AL49" i="12"/>
  <c r="AS49" i="12" s="1" a="1"/>
  <c r="AS49" i="12" s="1"/>
  <c r="AW49" i="12" s="1"/>
  <c r="AL45" i="12"/>
  <c r="AS45" i="12" s="1" a="1"/>
  <c r="AS45" i="12" s="1"/>
  <c r="AW45" i="12" s="1"/>
  <c r="AL70" i="12"/>
  <c r="AS70" i="12" s="1" a="1"/>
  <c r="AS70" i="12" s="1"/>
  <c r="AW70" i="12" s="1"/>
  <c r="AL62" i="12"/>
  <c r="AS62" i="12" s="1" a="1"/>
  <c r="AS62" i="12" s="1"/>
  <c r="AW62" i="12" s="1"/>
  <c r="AL54" i="12"/>
  <c r="AS54" i="12" s="1" a="1"/>
  <c r="AS54" i="12" s="1"/>
  <c r="AW54" i="12" s="1"/>
  <c r="AB72" i="12"/>
  <c r="AS19" i="12" a="1"/>
  <c r="AS19" i="12" s="1"/>
  <c r="AL48" i="12"/>
  <c r="AS48" i="12" s="1" a="1"/>
  <c r="AS48" i="12" s="1"/>
  <c r="AW48" i="12" s="1"/>
  <c r="AW5" i="12"/>
  <c r="AU5" i="12"/>
  <c r="AW12" i="12"/>
  <c r="AU12" i="12"/>
  <c r="AN16" i="12"/>
  <c r="AL10" i="12"/>
  <c r="AS10" i="12" s="1" a="1"/>
  <c r="AS10" i="12" s="1"/>
  <c r="AB17" i="12"/>
  <c r="AB74" i="12" s="1"/>
  <c r="P4" i="3" s="1"/>
  <c r="AT71" i="12"/>
  <c r="AU8" i="12"/>
  <c r="AL3" i="12"/>
  <c r="AW13" i="11"/>
  <c r="AU13" i="11"/>
  <c r="AW10" i="11"/>
  <c r="AU10" i="11"/>
  <c r="AW15" i="11"/>
  <c r="AU15" i="11"/>
  <c r="AN71" i="11"/>
  <c r="AA67" i="11"/>
  <c r="AU7" i="11"/>
  <c r="AA38" i="11"/>
  <c r="AA58" i="11"/>
  <c r="AA10" i="11"/>
  <c r="AA62" i="11"/>
  <c r="AL39" i="11"/>
  <c r="AS39" i="11" s="1" a="1"/>
  <c r="AS39" i="11" s="1"/>
  <c r="AW39" i="11" s="1"/>
  <c r="AA13" i="11"/>
  <c r="AA35" i="11"/>
  <c r="AA25" i="11"/>
  <c r="AA34" i="11"/>
  <c r="AA30" i="11"/>
  <c r="AA22" i="11"/>
  <c r="AA8" i="11"/>
  <c r="AA5" i="11"/>
  <c r="AA33" i="11"/>
  <c r="AA27" i="11"/>
  <c r="AA19" i="11"/>
  <c r="AA32" i="11"/>
  <c r="AA24" i="11"/>
  <c r="AA29" i="11"/>
  <c r="AA21" i="11"/>
  <c r="AA11" i="11"/>
  <c r="AA31" i="11"/>
  <c r="AA20" i="11"/>
  <c r="AA9" i="11"/>
  <c r="AA26" i="11"/>
  <c r="AA36" i="11"/>
  <c r="AA28" i="11"/>
  <c r="AA37" i="11"/>
  <c r="AA23" i="11"/>
  <c r="AA4" i="11"/>
  <c r="AA15" i="11"/>
  <c r="AA48" i="11"/>
  <c r="AA39" i="11"/>
  <c r="AA52" i="11"/>
  <c r="AN16" i="11"/>
  <c r="AA45" i="11"/>
  <c r="AS19" i="11" a="1"/>
  <c r="AS19" i="11" s="1"/>
  <c r="AA44" i="11"/>
  <c r="AA55" i="11"/>
  <c r="AK17" i="11"/>
  <c r="AK74" i="11" s="1"/>
  <c r="AL3" i="11"/>
  <c r="AA49" i="11"/>
  <c r="AA51" i="11"/>
  <c r="AA46" i="11"/>
  <c r="AU5" i="11"/>
  <c r="AA65" i="11"/>
  <c r="AA61" i="11"/>
  <c r="AB72" i="11"/>
  <c r="AP16" i="11"/>
  <c r="AA70" i="11"/>
  <c r="AA47" i="11"/>
  <c r="AA63" i="11"/>
  <c r="AA59" i="11"/>
  <c r="AA7" i="11"/>
  <c r="AA43" i="11"/>
  <c r="AA68" i="11"/>
  <c r="AD74" i="11"/>
  <c r="AA53" i="11"/>
  <c r="AA3" i="11"/>
  <c r="AA6" i="11"/>
  <c r="AA50" i="11"/>
  <c r="AA56" i="11"/>
  <c r="AA14" i="11"/>
  <c r="AA41" i="11"/>
  <c r="AA64" i="11"/>
  <c r="AA60" i="11"/>
  <c r="Z17" i="10"/>
  <c r="Z74" i="10" s="1"/>
  <c r="AI12" i="10"/>
  <c r="AI9" i="10"/>
  <c r="Y74" i="10"/>
  <c r="AD17" i="10"/>
  <c r="AT19" i="10"/>
  <c r="AT71" i="10" s="1"/>
  <c r="AN71" i="10"/>
  <c r="AI3" i="10"/>
  <c r="AP71" i="10"/>
  <c r="AI6" i="10"/>
  <c r="AK74" i="10"/>
  <c r="AI31" i="10"/>
  <c r="AL31" i="10" s="1"/>
  <c r="AS31" i="10" s="1" a="1"/>
  <c r="AS31" i="10" s="1"/>
  <c r="AW31" i="10" s="1"/>
  <c r="AI23" i="10"/>
  <c r="AL23" i="10" s="1"/>
  <c r="AS23" i="10" s="1" a="1"/>
  <c r="AS23" i="10" s="1"/>
  <c r="AW23" i="10" s="1"/>
  <c r="AI25" i="10"/>
  <c r="AL25" i="10" s="1"/>
  <c r="AS25" i="10" s="1" a="1"/>
  <c r="AS25" i="10" s="1"/>
  <c r="AW25" i="10" s="1"/>
  <c r="AI70" i="10"/>
  <c r="AL70" i="10" s="1"/>
  <c r="AS70" i="10" s="1" a="1"/>
  <c r="AS70" i="10" s="1"/>
  <c r="AW70" i="10" s="1"/>
  <c r="AI68" i="10"/>
  <c r="AL68" i="10" s="1"/>
  <c r="AS68" i="10" s="1" a="1"/>
  <c r="AS68" i="10" s="1"/>
  <c r="AW68" i="10" s="1"/>
  <c r="AI66" i="10"/>
  <c r="AL66" i="10" s="1"/>
  <c r="AS66" i="10" s="1" a="1"/>
  <c r="AS66" i="10" s="1"/>
  <c r="AW66" i="10" s="1"/>
  <c r="AI64" i="10"/>
  <c r="AL64" i="10" s="1"/>
  <c r="AS64" i="10" s="1" a="1"/>
  <c r="AS64" i="10" s="1"/>
  <c r="AW64" i="10" s="1"/>
  <c r="AI62" i="10"/>
  <c r="AL62" i="10" s="1"/>
  <c r="AS62" i="10" s="1" a="1"/>
  <c r="AS62" i="10" s="1"/>
  <c r="AW62" i="10" s="1"/>
  <c r="AI60" i="10"/>
  <c r="AL60" i="10" s="1"/>
  <c r="AS60" i="10" s="1" a="1"/>
  <c r="AS60" i="10" s="1"/>
  <c r="AW60" i="10" s="1"/>
  <c r="AI58" i="10"/>
  <c r="AL58" i="10" s="1"/>
  <c r="AS58" i="10" s="1" a="1"/>
  <c r="AS58" i="10" s="1"/>
  <c r="AW58" i="10" s="1"/>
  <c r="AI56" i="10"/>
  <c r="AL56" i="10" s="1"/>
  <c r="AS56" i="10" s="1" a="1"/>
  <c r="AS56" i="10" s="1"/>
  <c r="AW56" i="10" s="1"/>
  <c r="AI54" i="10"/>
  <c r="AL54" i="10" s="1"/>
  <c r="AS54" i="10" s="1" a="1"/>
  <c r="AS54" i="10" s="1"/>
  <c r="AW54" i="10" s="1"/>
  <c r="AI52" i="10"/>
  <c r="AL52" i="10" s="1"/>
  <c r="AS52" i="10" s="1" a="1"/>
  <c r="AS52" i="10" s="1"/>
  <c r="AW52" i="10" s="1"/>
  <c r="AI50" i="10"/>
  <c r="AL50" i="10" s="1"/>
  <c r="AS50" i="10" s="1" a="1"/>
  <c r="AS50" i="10" s="1"/>
  <c r="AW50" i="10" s="1"/>
  <c r="AI48" i="10"/>
  <c r="AL48" i="10" s="1"/>
  <c r="AS48" i="10" s="1" a="1"/>
  <c r="AS48" i="10" s="1"/>
  <c r="AW48" i="10" s="1"/>
  <c r="AI46" i="10"/>
  <c r="AL46" i="10" s="1"/>
  <c r="AS46" i="10" s="1" a="1"/>
  <c r="AS46" i="10" s="1"/>
  <c r="AW46" i="10" s="1"/>
  <c r="AI44" i="10"/>
  <c r="AL44" i="10" s="1"/>
  <c r="AS44" i="10" s="1" a="1"/>
  <c r="AS44" i="10" s="1"/>
  <c r="AW44" i="10" s="1"/>
  <c r="AI42" i="10"/>
  <c r="AL42" i="10" s="1"/>
  <c r="AS42" i="10" s="1" a="1"/>
  <c r="AS42" i="10" s="1"/>
  <c r="AW42" i="10" s="1"/>
  <c r="AI40" i="10"/>
  <c r="AL40" i="10" s="1"/>
  <c r="AS40" i="10" s="1" a="1"/>
  <c r="AS40" i="10" s="1"/>
  <c r="AW40" i="10" s="1"/>
  <c r="AI38" i="10"/>
  <c r="AL38" i="10" s="1"/>
  <c r="AS38" i="10" s="1" a="1"/>
  <c r="AS38" i="10" s="1"/>
  <c r="AW38" i="10" s="1"/>
  <c r="AI36" i="10"/>
  <c r="AL36" i="10" s="1"/>
  <c r="AS36" i="10" s="1" a="1"/>
  <c r="AS36" i="10" s="1"/>
  <c r="AW36" i="10" s="1"/>
  <c r="AI27" i="10"/>
  <c r="AL27" i="10" s="1"/>
  <c r="AS27" i="10" s="1" a="1"/>
  <c r="AS27" i="10" s="1"/>
  <c r="AW27" i="10" s="1"/>
  <c r="AI19" i="10"/>
  <c r="AI69" i="10"/>
  <c r="AL69" i="10" s="1"/>
  <c r="AS69" i="10" s="1" a="1"/>
  <c r="AS69" i="10" s="1"/>
  <c r="AW69" i="10" s="1"/>
  <c r="AI67" i="10"/>
  <c r="AL67" i="10" s="1"/>
  <c r="AS67" i="10" s="1" a="1"/>
  <c r="AS67" i="10" s="1"/>
  <c r="AW67" i="10" s="1"/>
  <c r="AI65" i="10"/>
  <c r="AL65" i="10" s="1"/>
  <c r="AS65" i="10" s="1" a="1"/>
  <c r="AS65" i="10" s="1"/>
  <c r="AW65" i="10" s="1"/>
  <c r="AI63" i="10"/>
  <c r="AL63" i="10" s="1"/>
  <c r="AS63" i="10" s="1" a="1"/>
  <c r="AS63" i="10" s="1"/>
  <c r="AW63" i="10" s="1"/>
  <c r="AI61" i="10"/>
  <c r="AL61" i="10" s="1"/>
  <c r="AS61" i="10" s="1" a="1"/>
  <c r="AS61" i="10" s="1"/>
  <c r="AW61" i="10" s="1"/>
  <c r="AI59" i="10"/>
  <c r="AL59" i="10" s="1"/>
  <c r="AS59" i="10" s="1" a="1"/>
  <c r="AS59" i="10" s="1"/>
  <c r="AW59" i="10" s="1"/>
  <c r="AI57" i="10"/>
  <c r="AL57" i="10" s="1"/>
  <c r="AS57" i="10" s="1" a="1"/>
  <c r="AS57" i="10" s="1"/>
  <c r="AW57" i="10" s="1"/>
  <c r="AI55" i="10"/>
  <c r="AL55" i="10" s="1"/>
  <c r="AS55" i="10" s="1" a="1"/>
  <c r="AS55" i="10" s="1"/>
  <c r="AW55" i="10" s="1"/>
  <c r="AI53" i="10"/>
  <c r="AL53" i="10" s="1"/>
  <c r="AS53" i="10" s="1" a="1"/>
  <c r="AS53" i="10" s="1"/>
  <c r="AW53" i="10" s="1"/>
  <c r="AI51" i="10"/>
  <c r="AL51" i="10" s="1"/>
  <c r="AS51" i="10" s="1" a="1"/>
  <c r="AS51" i="10" s="1"/>
  <c r="AW51" i="10" s="1"/>
  <c r="AI49" i="10"/>
  <c r="AL49" i="10" s="1"/>
  <c r="AS49" i="10" s="1" a="1"/>
  <c r="AS49" i="10" s="1"/>
  <c r="AW49" i="10" s="1"/>
  <c r="AI47" i="10"/>
  <c r="AL47" i="10" s="1"/>
  <c r="AS47" i="10" s="1" a="1"/>
  <c r="AS47" i="10" s="1"/>
  <c r="AW47" i="10" s="1"/>
  <c r="AI45" i="10"/>
  <c r="AL45" i="10" s="1"/>
  <c r="AS45" i="10" s="1" a="1"/>
  <c r="AS45" i="10" s="1"/>
  <c r="AW45" i="10" s="1"/>
  <c r="AI43" i="10"/>
  <c r="AL43" i="10" s="1"/>
  <c r="AS43" i="10" s="1" a="1"/>
  <c r="AS43" i="10" s="1"/>
  <c r="AW43" i="10" s="1"/>
  <c r="AI41" i="10"/>
  <c r="AL41" i="10" s="1"/>
  <c r="AS41" i="10" s="1" a="1"/>
  <c r="AS41" i="10" s="1"/>
  <c r="AW41" i="10" s="1"/>
  <c r="AI39" i="10"/>
  <c r="AL39" i="10" s="1"/>
  <c r="AS39" i="10" s="1" a="1"/>
  <c r="AS39" i="10" s="1"/>
  <c r="AW39" i="10" s="1"/>
  <c r="AI37" i="10"/>
  <c r="AL37" i="10" s="1"/>
  <c r="AS37" i="10" s="1" a="1"/>
  <c r="AS37" i="10" s="1"/>
  <c r="AW37" i="10" s="1"/>
  <c r="AI30" i="10"/>
  <c r="AL30" i="10" s="1"/>
  <c r="AS30" i="10" s="1" a="1"/>
  <c r="AS30" i="10" s="1"/>
  <c r="AW30" i="10" s="1"/>
  <c r="AI22" i="10"/>
  <c r="AL22" i="10" s="1"/>
  <c r="AS22" i="10" s="1" a="1"/>
  <c r="AS22" i="10" s="1"/>
  <c r="AW22" i="10" s="1"/>
  <c r="AI29" i="10"/>
  <c r="AL29" i="10" s="1"/>
  <c r="AS29" i="10" s="1" a="1"/>
  <c r="AS29" i="10" s="1"/>
  <c r="AW29" i="10" s="1"/>
  <c r="AI14" i="10"/>
  <c r="AI7" i="10"/>
  <c r="AI33" i="10"/>
  <c r="AL33" i="10" s="1"/>
  <c r="AS33" i="10" s="1" a="1"/>
  <c r="AS33" i="10" s="1"/>
  <c r="AW33" i="10" s="1"/>
  <c r="AI28" i="10"/>
  <c r="AL28" i="10" s="1"/>
  <c r="AS28" i="10" s="1" a="1"/>
  <c r="AS28" i="10" s="1"/>
  <c r="AW28" i="10" s="1"/>
  <c r="AI10" i="10"/>
  <c r="AI34" i="10"/>
  <c r="AL34" i="10" s="1"/>
  <c r="AS34" i="10" s="1" a="1"/>
  <c r="AS34" i="10" s="1"/>
  <c r="AW34" i="10" s="1"/>
  <c r="AI20" i="10"/>
  <c r="AI32" i="10"/>
  <c r="AL32" i="10" s="1"/>
  <c r="AS32" i="10" s="1" a="1"/>
  <c r="AS32" i="10" s="1"/>
  <c r="AW32" i="10" s="1"/>
  <c r="AI26" i="10"/>
  <c r="AL26" i="10" s="1"/>
  <c r="AS26" i="10" s="1" a="1"/>
  <c r="AS26" i="10" s="1"/>
  <c r="AW26" i="10" s="1"/>
  <c r="AI8" i="10"/>
  <c r="AI35" i="10"/>
  <c r="AL35" i="10" s="1"/>
  <c r="AS35" i="10" s="1" a="1"/>
  <c r="AS35" i="10" s="1"/>
  <c r="AW35" i="10" s="1"/>
  <c r="AI24" i="10"/>
  <c r="AL24" i="10" s="1"/>
  <c r="AS24" i="10" s="1" a="1"/>
  <c r="AS24" i="10" s="1"/>
  <c r="AW24" i="10" s="1"/>
  <c r="AI21" i="10"/>
  <c r="AL21" i="10" s="1"/>
  <c r="AS21" i="10" s="1" a="1"/>
  <c r="AS21" i="10" s="1"/>
  <c r="AW21" i="10" s="1"/>
  <c r="AI4" i="10"/>
  <c r="AL20" i="10"/>
  <c r="AS20" i="10" s="1" a="1"/>
  <c r="AS20" i="10" s="1"/>
  <c r="AW20" i="10" s="1"/>
  <c r="J3" i="10"/>
  <c r="J17" i="10" s="1"/>
  <c r="J74" i="10" s="1"/>
  <c r="E17" i="10"/>
  <c r="E74" i="10" s="1"/>
  <c r="AB72" i="10"/>
  <c r="AI5" i="10"/>
  <c r="J16" i="7"/>
  <c r="J73" i="7"/>
  <c r="C73" i="7"/>
  <c r="D70" i="7" s="1"/>
  <c r="K72" i="7"/>
  <c r="G72" i="7"/>
  <c r="K71" i="7"/>
  <c r="G71" i="7"/>
  <c r="K70" i="7"/>
  <c r="G70" i="7"/>
  <c r="K69" i="7"/>
  <c r="G69" i="7"/>
  <c r="D69" i="7"/>
  <c r="K68" i="7"/>
  <c r="G68" i="7"/>
  <c r="D68" i="7"/>
  <c r="K67" i="7"/>
  <c r="G67" i="7"/>
  <c r="D67" i="7"/>
  <c r="K66" i="7"/>
  <c r="G66" i="7"/>
  <c r="D66" i="7"/>
  <c r="K65" i="7"/>
  <c r="G65" i="7"/>
  <c r="D65" i="7"/>
  <c r="K64" i="7"/>
  <c r="G64" i="7"/>
  <c r="D64" i="7"/>
  <c r="K63" i="7"/>
  <c r="G63" i="7"/>
  <c r="D63" i="7"/>
  <c r="K62" i="7"/>
  <c r="G62" i="7"/>
  <c r="D62" i="7"/>
  <c r="K61" i="7"/>
  <c r="G61" i="7"/>
  <c r="D61" i="7"/>
  <c r="K60" i="7"/>
  <c r="G60" i="7"/>
  <c r="D60" i="7"/>
  <c r="K59" i="7"/>
  <c r="G59" i="7"/>
  <c r="D59" i="7"/>
  <c r="K58" i="7"/>
  <c r="G58" i="7"/>
  <c r="D58" i="7"/>
  <c r="K57" i="7"/>
  <c r="G57" i="7"/>
  <c r="D57" i="7"/>
  <c r="K56" i="7"/>
  <c r="G56" i="7"/>
  <c r="D56" i="7"/>
  <c r="K55" i="7"/>
  <c r="G55" i="7"/>
  <c r="D55" i="7"/>
  <c r="K54" i="7"/>
  <c r="G54" i="7"/>
  <c r="D54" i="7"/>
  <c r="K53" i="7"/>
  <c r="G53" i="7"/>
  <c r="D53" i="7"/>
  <c r="K52" i="7"/>
  <c r="G52" i="7"/>
  <c r="D52" i="7"/>
  <c r="K51" i="7"/>
  <c r="G51" i="7"/>
  <c r="D51" i="7"/>
  <c r="K50" i="7"/>
  <c r="G50" i="7"/>
  <c r="D50" i="7"/>
  <c r="K49" i="7"/>
  <c r="G49" i="7"/>
  <c r="D49" i="7"/>
  <c r="K48" i="7"/>
  <c r="G48" i="7"/>
  <c r="D48" i="7"/>
  <c r="K47" i="7"/>
  <c r="G47" i="7"/>
  <c r="D47" i="7"/>
  <c r="K46" i="7"/>
  <c r="G46" i="7"/>
  <c r="D46" i="7"/>
  <c r="K45" i="7"/>
  <c r="G45" i="7"/>
  <c r="D45" i="7"/>
  <c r="K44" i="7"/>
  <c r="G44" i="7"/>
  <c r="D44" i="7"/>
  <c r="K43" i="7"/>
  <c r="G43" i="7"/>
  <c r="D43" i="7"/>
  <c r="K42" i="7"/>
  <c r="G42" i="7"/>
  <c r="D42" i="7"/>
  <c r="K41" i="7"/>
  <c r="G41" i="7"/>
  <c r="D41" i="7"/>
  <c r="K40" i="7"/>
  <c r="G40" i="7"/>
  <c r="D40" i="7"/>
  <c r="K39" i="7"/>
  <c r="G39" i="7"/>
  <c r="D39" i="7"/>
  <c r="K38" i="7"/>
  <c r="G38" i="7"/>
  <c r="D38" i="7"/>
  <c r="K37" i="7"/>
  <c r="G37" i="7"/>
  <c r="D37" i="7"/>
  <c r="K36" i="7"/>
  <c r="G36" i="7"/>
  <c r="D36" i="7"/>
  <c r="K35" i="7"/>
  <c r="G35" i="7"/>
  <c r="D35" i="7"/>
  <c r="K34" i="7"/>
  <c r="G34" i="7"/>
  <c r="D34" i="7"/>
  <c r="K33" i="7"/>
  <c r="G33" i="7"/>
  <c r="D33" i="7"/>
  <c r="K32" i="7"/>
  <c r="G32" i="7"/>
  <c r="D32" i="7"/>
  <c r="K31" i="7"/>
  <c r="G31" i="7"/>
  <c r="D31" i="7"/>
  <c r="K30" i="7"/>
  <c r="G30" i="7"/>
  <c r="D30" i="7"/>
  <c r="K29" i="7"/>
  <c r="G29" i="7"/>
  <c r="D29" i="7"/>
  <c r="K28" i="7"/>
  <c r="G28" i="7"/>
  <c r="D28" i="7"/>
  <c r="K27" i="7"/>
  <c r="G27" i="7"/>
  <c r="D27" i="7"/>
  <c r="K26" i="7"/>
  <c r="G26" i="7"/>
  <c r="D26" i="7"/>
  <c r="K25" i="7"/>
  <c r="G25" i="7"/>
  <c r="D25" i="7"/>
  <c r="K24" i="7"/>
  <c r="G24" i="7"/>
  <c r="D24" i="7"/>
  <c r="K23" i="7"/>
  <c r="G23" i="7"/>
  <c r="D23" i="7"/>
  <c r="K22" i="7"/>
  <c r="G22" i="7"/>
  <c r="D22" i="7"/>
  <c r="L21" i="7"/>
  <c r="M21" i="7" s="1"/>
  <c r="K21" i="7"/>
  <c r="K73" i="7" s="1"/>
  <c r="G21" i="7"/>
  <c r="E21" i="7"/>
  <c r="F21" i="7" s="1"/>
  <c r="D21" i="7"/>
  <c r="D73" i="7" s="1"/>
  <c r="G24" i="26" l="1"/>
  <c r="M27" i="26"/>
  <c r="L28" i="26"/>
  <c r="F28" i="26"/>
  <c r="E29" i="26"/>
  <c r="F29" i="27"/>
  <c r="E30" i="27"/>
  <c r="L30" i="27"/>
  <c r="M29" i="27"/>
  <c r="G29" i="27" s="1"/>
  <c r="AT11" i="10"/>
  <c r="AU15" i="10"/>
  <c r="AW13" i="10"/>
  <c r="AU13" i="10"/>
  <c r="E40" i="21"/>
  <c r="F39" i="21"/>
  <c r="M39" i="21"/>
  <c r="L40" i="21"/>
  <c r="M39" i="18"/>
  <c r="L40" i="18"/>
  <c r="F37" i="18"/>
  <c r="E38" i="18"/>
  <c r="E38" i="17"/>
  <c r="F37" i="17"/>
  <c r="M36" i="17"/>
  <c r="L37" i="17"/>
  <c r="M38" i="16"/>
  <c r="L39" i="16"/>
  <c r="F38" i="16"/>
  <c r="E39" i="16"/>
  <c r="E39" i="15"/>
  <c r="F38" i="15"/>
  <c r="M39" i="15"/>
  <c r="L40" i="15"/>
  <c r="AB74" i="11"/>
  <c r="P5" i="3" s="1"/>
  <c r="AU12" i="11"/>
  <c r="AL12" i="10"/>
  <c r="AS12" i="10" s="1" a="1"/>
  <c r="AS12" i="10" s="1"/>
  <c r="AT12" i="10" s="1"/>
  <c r="AL8" i="10"/>
  <c r="AS8" i="10" s="1" a="1"/>
  <c r="AS8" i="10" s="1"/>
  <c r="AL7" i="10"/>
  <c r="AW11" i="10"/>
  <c r="AL14" i="10"/>
  <c r="AS14" i="10" s="1" a="1"/>
  <c r="AS14" i="10" s="1"/>
  <c r="AL6" i="10"/>
  <c r="AS6" i="10" s="1" a="1"/>
  <c r="AS6" i="10" s="1"/>
  <c r="AL5" i="10"/>
  <c r="AS5" i="10" s="1" a="1"/>
  <c r="AS5" i="10" s="1"/>
  <c r="AL4" i="10"/>
  <c r="AS4" i="10" s="1" a="1"/>
  <c r="AS4" i="10" s="1"/>
  <c r="AL10" i="10"/>
  <c r="AS10" i="10" s="1" a="1"/>
  <c r="AS10" i="10" s="1"/>
  <c r="AU10" i="10" s="1"/>
  <c r="AL9" i="10"/>
  <c r="AS9" i="10" s="1" a="1"/>
  <c r="AS9" i="10" s="1"/>
  <c r="F36" i="14"/>
  <c r="E37" i="14"/>
  <c r="M36" i="14"/>
  <c r="L37" i="14"/>
  <c r="AB74" i="10"/>
  <c r="P8" i="3" s="1"/>
  <c r="AU9" i="11"/>
  <c r="AU8" i="11"/>
  <c r="AW8" i="11"/>
  <c r="AW9" i="11"/>
  <c r="AU4" i="11"/>
  <c r="AA72" i="11"/>
  <c r="AA17" i="11"/>
  <c r="AL72" i="11"/>
  <c r="AA26" i="12"/>
  <c r="AA11" i="12"/>
  <c r="AA43" i="12"/>
  <c r="AA6" i="12"/>
  <c r="AA29" i="12"/>
  <c r="AA55" i="12"/>
  <c r="AA50" i="12"/>
  <c r="AA19" i="12"/>
  <c r="AA72" i="12" s="1"/>
  <c r="AA24" i="12"/>
  <c r="AA4" i="12"/>
  <c r="AA17" i="12" s="1"/>
  <c r="AA74" i="12" s="1"/>
  <c r="AA42" i="12"/>
  <c r="AA62" i="12"/>
  <c r="AA30" i="12"/>
  <c r="AA13" i="12"/>
  <c r="AA58" i="12"/>
  <c r="AA48" i="12"/>
  <c r="AA28" i="12"/>
  <c r="AA49" i="12"/>
  <c r="AA46" i="12"/>
  <c r="AA8" i="12"/>
  <c r="AL72" i="12"/>
  <c r="AS71" i="12"/>
  <c r="AW19" i="12"/>
  <c r="AW72" i="12" s="1"/>
  <c r="AW10" i="12"/>
  <c r="AU10" i="12"/>
  <c r="AL17" i="12"/>
  <c r="AS3" i="12"/>
  <c r="AT3" i="12" s="1"/>
  <c r="AT16" i="12" s="1"/>
  <c r="AS71" i="11"/>
  <c r="AW19" i="11"/>
  <c r="AW72" i="11" s="1"/>
  <c r="AL17" i="11"/>
  <c r="AL74" i="11" s="1"/>
  <c r="AS3" i="11"/>
  <c r="AT3" i="11" s="1"/>
  <c r="AT16" i="11" s="1"/>
  <c r="AI72" i="10"/>
  <c r="AL19" i="10"/>
  <c r="AW12" i="10"/>
  <c r="AI17" i="10"/>
  <c r="AL3" i="10"/>
  <c r="AA28" i="10"/>
  <c r="AA20" i="10"/>
  <c r="AA15" i="10"/>
  <c r="AA12" i="10"/>
  <c r="AA69" i="10"/>
  <c r="AA67" i="10"/>
  <c r="AA65" i="10"/>
  <c r="AA63" i="10"/>
  <c r="AA61" i="10"/>
  <c r="AA59" i="10"/>
  <c r="AA57" i="10"/>
  <c r="AA55" i="10"/>
  <c r="AA53" i="10"/>
  <c r="AA51" i="10"/>
  <c r="AA49" i="10"/>
  <c r="AA47" i="10"/>
  <c r="AA45" i="10"/>
  <c r="AA43" i="10"/>
  <c r="AA41" i="10"/>
  <c r="AA39" i="10"/>
  <c r="AA35" i="10"/>
  <c r="AA70" i="10"/>
  <c r="AA68" i="10"/>
  <c r="AA66" i="10"/>
  <c r="AA64" i="10"/>
  <c r="AA62" i="10"/>
  <c r="AA60" i="10"/>
  <c r="AA58" i="10"/>
  <c r="AA56" i="10"/>
  <c r="AA54" i="10"/>
  <c r="AA52" i="10"/>
  <c r="AA50" i="10"/>
  <c r="AA48" i="10"/>
  <c r="AA46" i="10"/>
  <c r="AA44" i="10"/>
  <c r="AA42" i="10"/>
  <c r="AA40" i="10"/>
  <c r="AA38" i="10"/>
  <c r="AA36" i="10"/>
  <c r="AA4" i="10"/>
  <c r="AA11" i="10"/>
  <c r="AA34" i="10"/>
  <c r="AA33" i="10"/>
  <c r="AA26" i="10"/>
  <c r="AA31" i="10"/>
  <c r="AA25" i="10"/>
  <c r="AA8" i="10"/>
  <c r="AA23" i="10"/>
  <c r="AD74" i="10"/>
  <c r="AA6" i="10"/>
  <c r="AA9" i="10"/>
  <c r="AA5" i="10"/>
  <c r="AA19" i="10"/>
  <c r="AA37" i="10"/>
  <c r="AA13" i="10"/>
  <c r="AA27" i="10"/>
  <c r="AA21" i="10"/>
  <c r="AA10" i="10"/>
  <c r="AA22" i="10"/>
  <c r="AA7" i="10"/>
  <c r="AA32" i="10"/>
  <c r="AA3" i="10"/>
  <c r="AA14" i="10"/>
  <c r="AA29" i="10"/>
  <c r="AA24" i="10"/>
  <c r="AA30" i="10"/>
  <c r="E23" i="7"/>
  <c r="F23" i="7" s="1"/>
  <c r="E24" i="7"/>
  <c r="E22" i="7"/>
  <c r="F22" i="7" s="1"/>
  <c r="L22" i="7"/>
  <c r="M22" i="7" s="1"/>
  <c r="D72" i="7"/>
  <c r="D71" i="7"/>
  <c r="G25" i="26" l="1"/>
  <c r="M28" i="26"/>
  <c r="L29" i="26"/>
  <c r="E30" i="26"/>
  <c r="F29" i="26"/>
  <c r="M30" i="27"/>
  <c r="G30" i="27" s="1"/>
  <c r="L31" i="27"/>
  <c r="F30" i="27"/>
  <c r="E31" i="27"/>
  <c r="AS7" i="10" a="1"/>
  <c r="AS7" i="10" s="1"/>
  <c r="AW7" i="10" s="1"/>
  <c r="C15" i="16"/>
  <c r="C15" i="15"/>
  <c r="AU12" i="10"/>
  <c r="AA17" i="10"/>
  <c r="AW4" i="10"/>
  <c r="AT4" i="10"/>
  <c r="AU6" i="10"/>
  <c r="AT6" i="10"/>
  <c r="AU14" i="10"/>
  <c r="AT14" i="10"/>
  <c r="AU9" i="10"/>
  <c r="AT9" i="10"/>
  <c r="AW8" i="10"/>
  <c r="AT8" i="10"/>
  <c r="AA72" i="10"/>
  <c r="AA74" i="10" s="1"/>
  <c r="AW10" i="10"/>
  <c r="AT10" i="10"/>
  <c r="AW5" i="10"/>
  <c r="AT5" i="10"/>
  <c r="AW9" i="10"/>
  <c r="AU5" i="10"/>
  <c r="AW6" i="10"/>
  <c r="AW14" i="10"/>
  <c r="AU4" i="10"/>
  <c r="M40" i="21"/>
  <c r="L41" i="21"/>
  <c r="F40" i="21"/>
  <c r="E41" i="21"/>
  <c r="F38" i="18"/>
  <c r="E39" i="18"/>
  <c r="M40" i="18"/>
  <c r="L41" i="18"/>
  <c r="M37" i="17"/>
  <c r="L38" i="17"/>
  <c r="F38" i="17"/>
  <c r="E39" i="17"/>
  <c r="F39" i="16"/>
  <c r="E40" i="16"/>
  <c r="M39" i="16"/>
  <c r="L40" i="16"/>
  <c r="M40" i="15"/>
  <c r="L41" i="15"/>
  <c r="F39" i="15"/>
  <c r="E40" i="15"/>
  <c r="AL74" i="12"/>
  <c r="AU8" i="10"/>
  <c r="M37" i="14"/>
  <c r="L38" i="14"/>
  <c r="F37" i="14"/>
  <c r="E38" i="14"/>
  <c r="AA74" i="11"/>
  <c r="AU3" i="12"/>
  <c r="AU16" i="12" s="1"/>
  <c r="AW3" i="12"/>
  <c r="AW17" i="12" s="1"/>
  <c r="AW74" i="12" s="1"/>
  <c r="AS16" i="12"/>
  <c r="AS16" i="11"/>
  <c r="AW3" i="11"/>
  <c r="AW17" i="11" s="1"/>
  <c r="AW74" i="11" s="1"/>
  <c r="AU3" i="11"/>
  <c r="AU16" i="11" s="1"/>
  <c r="AL72" i="10"/>
  <c r="AS19" i="10" a="1"/>
  <c r="AS19" i="10" s="1"/>
  <c r="AL17" i="10"/>
  <c r="AS3" i="10"/>
  <c r="AT3" i="10" s="1"/>
  <c r="F24" i="7"/>
  <c r="E25" i="7"/>
  <c r="L23" i="7"/>
  <c r="M29" i="26" l="1"/>
  <c r="L30" i="26"/>
  <c r="F30" i="26"/>
  <c r="E31" i="26"/>
  <c r="F31" i="27"/>
  <c r="E32" i="27"/>
  <c r="M31" i="27"/>
  <c r="G31" i="27" s="1"/>
  <c r="L32" i="27"/>
  <c r="AT7" i="10"/>
  <c r="AU7" i="10"/>
  <c r="C17" i="15"/>
  <c r="D15" i="15" s="1"/>
  <c r="C17" i="16"/>
  <c r="AT16" i="10"/>
  <c r="AL74" i="10"/>
  <c r="F41" i="21"/>
  <c r="E42" i="21"/>
  <c r="M41" i="21"/>
  <c r="L42" i="21"/>
  <c r="M41" i="18"/>
  <c r="L42" i="18"/>
  <c r="F39" i="18"/>
  <c r="E40" i="18"/>
  <c r="M38" i="17"/>
  <c r="L39" i="17"/>
  <c r="F39" i="17"/>
  <c r="E40" i="17"/>
  <c r="F40" i="16"/>
  <c r="E41" i="16"/>
  <c r="M40" i="16"/>
  <c r="L41" i="16"/>
  <c r="E41" i="15"/>
  <c r="F40" i="15"/>
  <c r="M41" i="15"/>
  <c r="L42" i="15"/>
  <c r="F38" i="14"/>
  <c r="E39" i="14"/>
  <c r="M38" i="14"/>
  <c r="L39" i="14"/>
  <c r="AS71" i="10"/>
  <c r="AW19" i="10"/>
  <c r="AW72" i="10" s="1"/>
  <c r="AS16" i="10"/>
  <c r="AW3" i="10"/>
  <c r="AW17" i="10" s="1"/>
  <c r="AU3" i="10"/>
  <c r="AU16" i="10" s="1"/>
  <c r="M23" i="7"/>
  <c r="L24" i="7"/>
  <c r="F25" i="7"/>
  <c r="E26" i="7"/>
  <c r="G26" i="26" l="1"/>
  <c r="L31" i="26"/>
  <c r="M30" i="26"/>
  <c r="G30" i="26" s="1"/>
  <c r="E32" i="26"/>
  <c r="F31" i="26"/>
  <c r="M32" i="27"/>
  <c r="G32" i="27" s="1"/>
  <c r="L33" i="27"/>
  <c r="E33" i="27"/>
  <c r="F32" i="27"/>
  <c r="D14" i="16"/>
  <c r="D4" i="16"/>
  <c r="E4" i="16" s="1"/>
  <c r="D12" i="16"/>
  <c r="D7" i="16"/>
  <c r="D6" i="16"/>
  <c r="D5" i="16"/>
  <c r="D9" i="16"/>
  <c r="D11" i="16"/>
  <c r="D10" i="16"/>
  <c r="D13" i="16"/>
  <c r="D8" i="16"/>
  <c r="D16" i="16"/>
  <c r="D15" i="16"/>
  <c r="D12" i="15"/>
  <c r="D4" i="15"/>
  <c r="D13" i="15"/>
  <c r="D10" i="15"/>
  <c r="D6" i="15"/>
  <c r="D7" i="15"/>
  <c r="D11" i="15"/>
  <c r="D9" i="15"/>
  <c r="D5" i="15"/>
  <c r="D16" i="15"/>
  <c r="D14" i="15"/>
  <c r="D8" i="15"/>
  <c r="AW74" i="10"/>
  <c r="M42" i="21"/>
  <c r="L43" i="21"/>
  <c r="F42" i="21"/>
  <c r="E43" i="21"/>
  <c r="F40" i="18"/>
  <c r="E41" i="18"/>
  <c r="M42" i="18"/>
  <c r="L43" i="18"/>
  <c r="F40" i="17"/>
  <c r="E41" i="17"/>
  <c r="M39" i="17"/>
  <c r="L40" i="17"/>
  <c r="L42" i="16"/>
  <c r="M41" i="16"/>
  <c r="F41" i="16"/>
  <c r="E42" i="16"/>
  <c r="M42" i="15"/>
  <c r="L43" i="15"/>
  <c r="F41" i="15"/>
  <c r="E42" i="15"/>
  <c r="L40" i="14"/>
  <c r="M39" i="14"/>
  <c r="F39" i="14"/>
  <c r="E40" i="14"/>
  <c r="F26" i="7"/>
  <c r="E27" i="7"/>
  <c r="L25" i="7"/>
  <c r="M24" i="7"/>
  <c r="M31" i="26" l="1"/>
  <c r="G31" i="26" s="1"/>
  <c r="L32" i="26"/>
  <c r="E33" i="26"/>
  <c r="F32" i="26"/>
  <c r="E34" i="27"/>
  <c r="F33" i="27"/>
  <c r="M33" i="27"/>
  <c r="G33" i="27" s="1"/>
  <c r="L34" i="27"/>
  <c r="D17" i="16"/>
  <c r="E4" i="15"/>
  <c r="D17" i="15"/>
  <c r="F4" i="16"/>
  <c r="E5" i="16"/>
  <c r="F43" i="21"/>
  <c r="E44" i="21"/>
  <c r="M43" i="21"/>
  <c r="L44" i="21"/>
  <c r="M43" i="18"/>
  <c r="L44" i="18"/>
  <c r="F41" i="18"/>
  <c r="E42" i="18"/>
  <c r="M40" i="17"/>
  <c r="L41" i="17"/>
  <c r="F41" i="17"/>
  <c r="E42" i="17"/>
  <c r="F42" i="16"/>
  <c r="E43" i="16"/>
  <c r="M42" i="16"/>
  <c r="L43" i="16"/>
  <c r="M43" i="15"/>
  <c r="L44" i="15"/>
  <c r="F42" i="15"/>
  <c r="E43" i="15"/>
  <c r="F40" i="14"/>
  <c r="E41" i="14"/>
  <c r="M40" i="14"/>
  <c r="L41" i="14"/>
  <c r="F27" i="7"/>
  <c r="E28" i="7"/>
  <c r="M25" i="7"/>
  <c r="L26" i="7"/>
  <c r="M32" i="26" l="1"/>
  <c r="L33" i="26"/>
  <c r="F33" i="26"/>
  <c r="E34" i="26"/>
  <c r="M34" i="27"/>
  <c r="G34" i="27" s="1"/>
  <c r="L35" i="27"/>
  <c r="M35" i="27" s="1"/>
  <c r="G35" i="27" s="1"/>
  <c r="E35" i="27"/>
  <c r="F35" i="27" s="1"/>
  <c r="F34" i="27"/>
  <c r="F4" i="15"/>
  <c r="E5" i="15"/>
  <c r="E6" i="16"/>
  <c r="F5" i="16"/>
  <c r="M44" i="21"/>
  <c r="L45" i="21"/>
  <c r="F44" i="21"/>
  <c r="E45" i="21"/>
  <c r="F42" i="18"/>
  <c r="E43" i="18"/>
  <c r="M44" i="18"/>
  <c r="L45" i="18"/>
  <c r="M41" i="17"/>
  <c r="L42" i="17"/>
  <c r="F42" i="17"/>
  <c r="E43" i="17"/>
  <c r="M43" i="16"/>
  <c r="L44" i="16"/>
  <c r="F43" i="16"/>
  <c r="E44" i="16"/>
  <c r="F43" i="15"/>
  <c r="E44" i="15"/>
  <c r="L45" i="15"/>
  <c r="M44" i="15"/>
  <c r="M41" i="14"/>
  <c r="L42" i="14"/>
  <c r="F41" i="14"/>
  <c r="E42" i="14"/>
  <c r="M26" i="7"/>
  <c r="L27" i="7"/>
  <c r="E29" i="7"/>
  <c r="F28" i="7"/>
  <c r="G27" i="26" l="1"/>
  <c r="M33" i="26"/>
  <c r="G33" i="26" s="1"/>
  <c r="L34" i="26"/>
  <c r="F34" i="26"/>
  <c r="E35" i="26"/>
  <c r="F35" i="26" s="1"/>
  <c r="E7" i="16"/>
  <c r="F6" i="16"/>
  <c r="F5" i="15"/>
  <c r="E6" i="15"/>
  <c r="M45" i="21"/>
  <c r="L46" i="21"/>
  <c r="F45" i="21"/>
  <c r="E46" i="21"/>
  <c r="F43" i="18"/>
  <c r="E44" i="18"/>
  <c r="M45" i="18"/>
  <c r="L46" i="18"/>
  <c r="F43" i="17"/>
  <c r="E44" i="17"/>
  <c r="M42" i="17"/>
  <c r="L43" i="17"/>
  <c r="F44" i="16"/>
  <c r="E45" i="16"/>
  <c r="M44" i="16"/>
  <c r="L45" i="16"/>
  <c r="M45" i="15"/>
  <c r="L46" i="15"/>
  <c r="F44" i="15"/>
  <c r="E45" i="15"/>
  <c r="F42" i="14"/>
  <c r="E43" i="14"/>
  <c r="M42" i="14"/>
  <c r="L43" i="14"/>
  <c r="F29" i="7"/>
  <c r="E30" i="7"/>
  <c r="M27" i="7"/>
  <c r="L28" i="7"/>
  <c r="G32" i="26" l="1"/>
  <c r="L35" i="26"/>
  <c r="M35" i="26" s="1"/>
  <c r="M34" i="26"/>
  <c r="E7" i="15"/>
  <c r="F6" i="15"/>
  <c r="F7" i="16"/>
  <c r="E8" i="16"/>
  <c r="M46" i="21"/>
  <c r="L47" i="21"/>
  <c r="F46" i="21"/>
  <c r="E47" i="21"/>
  <c r="M46" i="18"/>
  <c r="L47" i="18"/>
  <c r="F44" i="18"/>
  <c r="E45" i="18"/>
  <c r="M43" i="17"/>
  <c r="L44" i="17"/>
  <c r="F44" i="17"/>
  <c r="E45" i="17"/>
  <c r="M45" i="16"/>
  <c r="L46" i="16"/>
  <c r="F45" i="16"/>
  <c r="E46" i="16"/>
  <c r="F45" i="15"/>
  <c r="E46" i="15"/>
  <c r="M46" i="15"/>
  <c r="L47" i="15"/>
  <c r="M43" i="14"/>
  <c r="L44" i="14"/>
  <c r="E44" i="14"/>
  <c r="F43" i="14"/>
  <c r="M28" i="7"/>
  <c r="L29" i="7"/>
  <c r="F30" i="7"/>
  <c r="E31" i="7"/>
  <c r="G34" i="26" l="1"/>
  <c r="G28" i="26"/>
  <c r="G35" i="26"/>
  <c r="G29" i="26"/>
  <c r="F8" i="16"/>
  <c r="E9" i="16"/>
  <c r="F7" i="15"/>
  <c r="E8" i="15"/>
  <c r="E48" i="21"/>
  <c r="F47" i="21"/>
  <c r="M47" i="21"/>
  <c r="L48" i="21"/>
  <c r="F45" i="18"/>
  <c r="E46" i="18"/>
  <c r="M47" i="18"/>
  <c r="L48" i="18"/>
  <c r="F45" i="17"/>
  <c r="E46" i="17"/>
  <c r="M44" i="17"/>
  <c r="L45" i="17"/>
  <c r="L47" i="16"/>
  <c r="M46" i="16"/>
  <c r="F46" i="16"/>
  <c r="E47" i="16"/>
  <c r="M47" i="15"/>
  <c r="L48" i="15"/>
  <c r="E47" i="15"/>
  <c r="F46" i="15"/>
  <c r="M44" i="14"/>
  <c r="L45" i="14"/>
  <c r="F44" i="14"/>
  <c r="E45" i="14"/>
  <c r="F31" i="7"/>
  <c r="E32" i="7"/>
  <c r="M29" i="7"/>
  <c r="L30" i="7"/>
  <c r="F8" i="15" l="1"/>
  <c r="E9" i="15"/>
  <c r="F9" i="16"/>
  <c r="E10" i="16"/>
  <c r="M48" i="21"/>
  <c r="L49" i="21"/>
  <c r="F48" i="21"/>
  <c r="E49" i="21"/>
  <c r="F46" i="18"/>
  <c r="E47" i="18"/>
  <c r="M48" i="18"/>
  <c r="L49" i="18"/>
  <c r="M45" i="17"/>
  <c r="L46" i="17"/>
  <c r="F46" i="17"/>
  <c r="E47" i="17"/>
  <c r="F47" i="16"/>
  <c r="E48" i="16"/>
  <c r="M47" i="16"/>
  <c r="L48" i="16"/>
  <c r="M48" i="15"/>
  <c r="L49" i="15"/>
  <c r="F47" i="15"/>
  <c r="E48" i="15"/>
  <c r="M45" i="14"/>
  <c r="L46" i="14"/>
  <c r="F45" i="14"/>
  <c r="E46" i="14"/>
  <c r="F32" i="7"/>
  <c r="E33" i="7"/>
  <c r="M30" i="7"/>
  <c r="L31" i="7"/>
  <c r="E11" i="16" l="1"/>
  <c r="F10" i="16"/>
  <c r="E10" i="15"/>
  <c r="F9" i="15"/>
  <c r="F49" i="21"/>
  <c r="E50" i="21"/>
  <c r="M49" i="21"/>
  <c r="L50" i="21"/>
  <c r="M49" i="18"/>
  <c r="L50" i="18"/>
  <c r="F47" i="18"/>
  <c r="E48" i="18"/>
  <c r="F47" i="17"/>
  <c r="E48" i="17"/>
  <c r="M46" i="17"/>
  <c r="L47" i="17"/>
  <c r="M48" i="16"/>
  <c r="L49" i="16"/>
  <c r="F48" i="16"/>
  <c r="E49" i="16"/>
  <c r="M49" i="15"/>
  <c r="L50" i="15"/>
  <c r="E49" i="15"/>
  <c r="F48" i="15"/>
  <c r="F46" i="14"/>
  <c r="E47" i="14"/>
  <c r="M46" i="14"/>
  <c r="L47" i="14"/>
  <c r="F33" i="7"/>
  <c r="E34" i="7"/>
  <c r="M31" i="7"/>
  <c r="L32" i="7"/>
  <c r="E11" i="15" l="1"/>
  <c r="F10" i="15"/>
  <c r="F11" i="16"/>
  <c r="E12" i="16"/>
  <c r="M50" i="21"/>
  <c r="L51" i="21"/>
  <c r="F50" i="21"/>
  <c r="E51" i="21"/>
  <c r="M50" i="18"/>
  <c r="L51" i="18"/>
  <c r="F48" i="18"/>
  <c r="E49" i="18"/>
  <c r="M47" i="17"/>
  <c r="L48" i="17"/>
  <c r="F48" i="17"/>
  <c r="E49" i="17"/>
  <c r="M49" i="16"/>
  <c r="L50" i="16"/>
  <c r="F49" i="16"/>
  <c r="E50" i="16"/>
  <c r="F49" i="15"/>
  <c r="E50" i="15"/>
  <c r="L51" i="15"/>
  <c r="M50" i="15"/>
  <c r="L48" i="14"/>
  <c r="M47" i="14"/>
  <c r="F47" i="14"/>
  <c r="E48" i="14"/>
  <c r="L33" i="7"/>
  <c r="M32" i="7"/>
  <c r="F34" i="7"/>
  <c r="E35" i="7"/>
  <c r="F12" i="16" l="1"/>
  <c r="E13" i="16"/>
  <c r="F11" i="15"/>
  <c r="E12" i="15"/>
  <c r="F51" i="21"/>
  <c r="E52" i="21"/>
  <c r="M51" i="21"/>
  <c r="L52" i="21"/>
  <c r="F49" i="18"/>
  <c r="E50" i="18"/>
  <c r="M51" i="18"/>
  <c r="L52" i="18"/>
  <c r="F49" i="17"/>
  <c r="E50" i="17"/>
  <c r="M48" i="17"/>
  <c r="L49" i="17"/>
  <c r="F50" i="16"/>
  <c r="E51" i="16"/>
  <c r="M50" i="16"/>
  <c r="L51" i="16"/>
  <c r="M51" i="15"/>
  <c r="L52" i="15"/>
  <c r="F50" i="15"/>
  <c r="E51" i="15"/>
  <c r="F48" i="14"/>
  <c r="E49" i="14"/>
  <c r="M48" i="14"/>
  <c r="L49" i="14"/>
  <c r="F35" i="7"/>
  <c r="E36" i="7"/>
  <c r="M33" i="7"/>
  <c r="L34" i="7"/>
  <c r="E13" i="15" l="1"/>
  <c r="F12" i="15"/>
  <c r="F13" i="16"/>
  <c r="E14" i="16"/>
  <c r="M52" i="21"/>
  <c r="L53" i="21"/>
  <c r="F52" i="21"/>
  <c r="E53" i="21"/>
  <c r="M52" i="18"/>
  <c r="L53" i="18"/>
  <c r="F50" i="18"/>
  <c r="E51" i="18"/>
  <c r="M49" i="17"/>
  <c r="L50" i="17"/>
  <c r="F50" i="17"/>
  <c r="E51" i="17"/>
  <c r="M51" i="16"/>
  <c r="L52" i="16"/>
  <c r="F51" i="16"/>
  <c r="E52" i="16"/>
  <c r="F51" i="15"/>
  <c r="E52" i="15"/>
  <c r="L53" i="15"/>
  <c r="M52" i="15"/>
  <c r="M49" i="14"/>
  <c r="L50" i="14"/>
  <c r="F49" i="14"/>
  <c r="E50" i="14"/>
  <c r="M34" i="7"/>
  <c r="L35" i="7"/>
  <c r="F36" i="7"/>
  <c r="E37" i="7"/>
  <c r="F14" i="16" l="1"/>
  <c r="E15" i="16"/>
  <c r="E14" i="15"/>
  <c r="F13" i="15"/>
  <c r="E54" i="21"/>
  <c r="F53" i="21"/>
  <c r="M53" i="21"/>
  <c r="L54" i="21"/>
  <c r="F51" i="18"/>
  <c r="E52" i="18"/>
  <c r="M53" i="18"/>
  <c r="L54" i="18"/>
  <c r="F51" i="17"/>
  <c r="E52" i="17"/>
  <c r="M50" i="17"/>
  <c r="L51" i="17"/>
  <c r="F52" i="16"/>
  <c r="E53" i="16"/>
  <c r="M52" i="16"/>
  <c r="L53" i="16"/>
  <c r="M53" i="15"/>
  <c r="L54" i="15"/>
  <c r="F52" i="15"/>
  <c r="E53" i="15"/>
  <c r="F50" i="14"/>
  <c r="E51" i="14"/>
  <c r="M50" i="14"/>
  <c r="L51" i="14"/>
  <c r="F37" i="7"/>
  <c r="E38" i="7"/>
  <c r="M35" i="7"/>
  <c r="L36" i="7"/>
  <c r="E15" i="15" l="1"/>
  <c r="F14" i="15"/>
  <c r="F15" i="16"/>
  <c r="E16" i="16"/>
  <c r="F16" i="16" s="1"/>
  <c r="M54" i="21"/>
  <c r="L55" i="21"/>
  <c r="F54" i="21"/>
  <c r="E55" i="21"/>
  <c r="M54" i="18"/>
  <c r="L55" i="18"/>
  <c r="F52" i="18"/>
  <c r="E53" i="18"/>
  <c r="M51" i="17"/>
  <c r="L52" i="17"/>
  <c r="F52" i="17"/>
  <c r="E53" i="17"/>
  <c r="M53" i="16"/>
  <c r="L54" i="16"/>
  <c r="F53" i="16"/>
  <c r="E54" i="16"/>
  <c r="F53" i="15"/>
  <c r="E54" i="15"/>
  <c r="M54" i="15"/>
  <c r="L55" i="15"/>
  <c r="M51" i="14"/>
  <c r="L52" i="14"/>
  <c r="F51" i="14"/>
  <c r="E52" i="14"/>
  <c r="M36" i="7"/>
  <c r="L37" i="7"/>
  <c r="F38" i="7"/>
  <c r="E39" i="7"/>
  <c r="E16" i="15" l="1"/>
  <c r="F16" i="15" s="1"/>
  <c r="F15" i="15"/>
  <c r="E56" i="21"/>
  <c r="F55" i="21"/>
  <c r="M55" i="21"/>
  <c r="L56" i="21"/>
  <c r="F53" i="18"/>
  <c r="E54" i="18"/>
  <c r="M55" i="18"/>
  <c r="L56" i="18"/>
  <c r="M52" i="17"/>
  <c r="L53" i="17"/>
  <c r="F53" i="17"/>
  <c r="E54" i="17"/>
  <c r="L55" i="16"/>
  <c r="M54" i="16"/>
  <c r="F54" i="16"/>
  <c r="E55" i="16"/>
  <c r="M55" i="15"/>
  <c r="L56" i="15"/>
  <c r="F54" i="15"/>
  <c r="E55" i="15"/>
  <c r="M52" i="14"/>
  <c r="L53" i="14"/>
  <c r="F52" i="14"/>
  <c r="E53" i="14"/>
  <c r="F39" i="7"/>
  <c r="E40" i="7"/>
  <c r="M37" i="7"/>
  <c r="L38" i="7"/>
  <c r="M56" i="21" l="1"/>
  <c r="L57" i="21"/>
  <c r="F56" i="21"/>
  <c r="E57" i="21"/>
  <c r="M56" i="18"/>
  <c r="L57" i="18"/>
  <c r="F54" i="18"/>
  <c r="E55" i="18"/>
  <c r="F54" i="17"/>
  <c r="E55" i="17"/>
  <c r="M53" i="17"/>
  <c r="L54" i="17"/>
  <c r="F55" i="16"/>
  <c r="E56" i="16"/>
  <c r="M55" i="16"/>
  <c r="L56" i="16"/>
  <c r="F55" i="15"/>
  <c r="E56" i="15"/>
  <c r="M56" i="15"/>
  <c r="L57" i="15"/>
  <c r="M53" i="14"/>
  <c r="L54" i="14"/>
  <c r="F53" i="14"/>
  <c r="E54" i="14"/>
  <c r="M38" i="7"/>
  <c r="L39" i="7"/>
  <c r="F40" i="7"/>
  <c r="E41" i="7"/>
  <c r="M57" i="21" l="1"/>
  <c r="L58" i="21"/>
  <c r="F57" i="21"/>
  <c r="E58" i="21"/>
  <c r="M57" i="18"/>
  <c r="L58" i="18"/>
  <c r="F55" i="18"/>
  <c r="E56" i="18"/>
  <c r="M54" i="17"/>
  <c r="L55" i="17"/>
  <c r="F55" i="17"/>
  <c r="E56" i="17"/>
  <c r="M56" i="16"/>
  <c r="L57" i="16"/>
  <c r="F56" i="16"/>
  <c r="E57" i="16"/>
  <c r="M57" i="15"/>
  <c r="L58" i="15"/>
  <c r="E57" i="15"/>
  <c r="F56" i="15"/>
  <c r="F54" i="14"/>
  <c r="E55" i="14"/>
  <c r="M54" i="14"/>
  <c r="L55" i="14"/>
  <c r="F41" i="7"/>
  <c r="E42" i="7"/>
  <c r="M39" i="7"/>
  <c r="L40" i="7"/>
  <c r="M58" i="21" l="1"/>
  <c r="L59" i="21"/>
  <c r="F58" i="21"/>
  <c r="E59" i="21"/>
  <c r="M58" i="18"/>
  <c r="L59" i="18"/>
  <c r="F56" i="18"/>
  <c r="E57" i="18"/>
  <c r="M55" i="17"/>
  <c r="L56" i="17"/>
  <c r="F56" i="17"/>
  <c r="E57" i="17"/>
  <c r="F57" i="16"/>
  <c r="E58" i="16"/>
  <c r="L58" i="16"/>
  <c r="M57" i="16"/>
  <c r="F57" i="15"/>
  <c r="E58" i="15"/>
  <c r="L59" i="15"/>
  <c r="M58" i="15"/>
  <c r="L56" i="14"/>
  <c r="M55" i="14"/>
  <c r="E56" i="14"/>
  <c r="F55" i="14"/>
  <c r="M40" i="7"/>
  <c r="L41" i="7"/>
  <c r="F42" i="7"/>
  <c r="E43" i="7"/>
  <c r="F59" i="21" l="1"/>
  <c r="E60" i="21"/>
  <c r="M59" i="21"/>
  <c r="L60" i="21"/>
  <c r="M59" i="18"/>
  <c r="L60" i="18"/>
  <c r="F57" i="18"/>
  <c r="E58" i="18"/>
  <c r="F57" i="17"/>
  <c r="E58" i="17"/>
  <c r="M56" i="17"/>
  <c r="L57" i="17"/>
  <c r="M58" i="16"/>
  <c r="L59" i="16"/>
  <c r="F58" i="16"/>
  <c r="E59" i="16"/>
  <c r="M59" i="15"/>
  <c r="L60" i="15"/>
  <c r="F58" i="15"/>
  <c r="E59" i="15"/>
  <c r="F56" i="14"/>
  <c r="E57" i="14"/>
  <c r="M56" i="14"/>
  <c r="L57" i="14"/>
  <c r="F43" i="7"/>
  <c r="E44" i="7"/>
  <c r="M41" i="7"/>
  <c r="L42" i="7"/>
  <c r="M60" i="21" l="1"/>
  <c r="L61" i="21"/>
  <c r="F60" i="21"/>
  <c r="E61" i="21"/>
  <c r="M60" i="18"/>
  <c r="L61" i="18"/>
  <c r="F58" i="18"/>
  <c r="E59" i="18"/>
  <c r="M57" i="17"/>
  <c r="L58" i="17"/>
  <c r="F58" i="17"/>
  <c r="E59" i="17"/>
  <c r="F59" i="16"/>
  <c r="E60" i="16"/>
  <c r="M59" i="16"/>
  <c r="L60" i="16"/>
  <c r="F59" i="15"/>
  <c r="E60" i="15"/>
  <c r="L61" i="15"/>
  <c r="M60" i="15"/>
  <c r="M57" i="14"/>
  <c r="L58" i="14"/>
  <c r="F57" i="14"/>
  <c r="E58" i="14"/>
  <c r="M42" i="7"/>
  <c r="L43" i="7"/>
  <c r="F44" i="7"/>
  <c r="E45" i="7"/>
  <c r="M61" i="21" l="1"/>
  <c r="L62" i="21"/>
  <c r="E62" i="21"/>
  <c r="F61" i="21"/>
  <c r="M61" i="18"/>
  <c r="L62" i="18"/>
  <c r="F59" i="18"/>
  <c r="E60" i="18"/>
  <c r="F59" i="17"/>
  <c r="E60" i="17"/>
  <c r="M58" i="17"/>
  <c r="L59" i="17"/>
  <c r="M60" i="16"/>
  <c r="L61" i="16"/>
  <c r="F60" i="16"/>
  <c r="E61" i="16"/>
  <c r="M61" i="15"/>
  <c r="L62" i="15"/>
  <c r="F60" i="15"/>
  <c r="E61" i="15"/>
  <c r="F58" i="14"/>
  <c r="E59" i="14"/>
  <c r="M58" i="14"/>
  <c r="L59" i="14"/>
  <c r="F45" i="7"/>
  <c r="E46" i="7"/>
  <c r="M43" i="7"/>
  <c r="L44" i="7"/>
  <c r="F62" i="21" l="1"/>
  <c r="E63" i="21"/>
  <c r="M62" i="21"/>
  <c r="L63" i="21"/>
  <c r="F60" i="18"/>
  <c r="E61" i="18"/>
  <c r="M62" i="18"/>
  <c r="L63" i="18"/>
  <c r="M59" i="17"/>
  <c r="L60" i="17"/>
  <c r="F60" i="17"/>
  <c r="E61" i="17"/>
  <c r="F61" i="16"/>
  <c r="E62" i="16"/>
  <c r="M61" i="16"/>
  <c r="L62" i="16"/>
  <c r="M62" i="15"/>
  <c r="L63" i="15"/>
  <c r="F61" i="15"/>
  <c r="E62" i="15"/>
  <c r="M59" i="14"/>
  <c r="L60" i="14"/>
  <c r="F59" i="14"/>
  <c r="E60" i="14"/>
  <c r="M44" i="7"/>
  <c r="L45" i="7"/>
  <c r="F46" i="7"/>
  <c r="E47" i="7"/>
  <c r="M63" i="21" l="1"/>
  <c r="L64" i="21"/>
  <c r="E64" i="21"/>
  <c r="F63" i="21"/>
  <c r="M63" i="18"/>
  <c r="L64" i="18"/>
  <c r="F61" i="18"/>
  <c r="E62" i="18"/>
  <c r="E62" i="17"/>
  <c r="F61" i="17"/>
  <c r="M60" i="17"/>
  <c r="L61" i="17"/>
  <c r="L63" i="16"/>
  <c r="M62" i="16"/>
  <c r="F62" i="16"/>
  <c r="E63" i="16"/>
  <c r="E63" i="15"/>
  <c r="F62" i="15"/>
  <c r="M63" i="15"/>
  <c r="L64" i="15"/>
  <c r="F60" i="14"/>
  <c r="E61" i="14"/>
  <c r="M60" i="14"/>
  <c r="L61" i="14"/>
  <c r="F47" i="7"/>
  <c r="E48" i="7"/>
  <c r="M45" i="7"/>
  <c r="L46" i="7"/>
  <c r="F64" i="21" l="1"/>
  <c r="E65" i="21"/>
  <c r="M64" i="21"/>
  <c r="L65" i="21"/>
  <c r="F62" i="18"/>
  <c r="E63" i="18"/>
  <c r="M64" i="18"/>
  <c r="L65" i="18"/>
  <c r="M61" i="17"/>
  <c r="L62" i="17"/>
  <c r="F62" i="17"/>
  <c r="E63" i="17"/>
  <c r="F63" i="16"/>
  <c r="E64" i="16"/>
  <c r="M63" i="16"/>
  <c r="L64" i="16"/>
  <c r="M64" i="15"/>
  <c r="L65" i="15"/>
  <c r="F63" i="15"/>
  <c r="E64" i="15"/>
  <c r="M61" i="14"/>
  <c r="L62" i="14"/>
  <c r="F61" i="14"/>
  <c r="E62" i="14"/>
  <c r="M46" i="7"/>
  <c r="L47" i="7"/>
  <c r="F48" i="7"/>
  <c r="E49" i="7"/>
  <c r="F65" i="21" l="1"/>
  <c r="E66" i="21"/>
  <c r="M65" i="21"/>
  <c r="L66" i="21"/>
  <c r="M65" i="18"/>
  <c r="L66" i="18"/>
  <c r="F63" i="18"/>
  <c r="E64" i="18"/>
  <c r="M62" i="17"/>
  <c r="L63" i="17"/>
  <c r="F63" i="17"/>
  <c r="E64" i="17"/>
  <c r="M64" i="16"/>
  <c r="L65" i="16"/>
  <c r="F64" i="16"/>
  <c r="E65" i="16"/>
  <c r="E65" i="15"/>
  <c r="F64" i="15"/>
  <c r="M65" i="15"/>
  <c r="L66" i="15"/>
  <c r="F62" i="14"/>
  <c r="E63" i="14"/>
  <c r="M62" i="14"/>
  <c r="L63" i="14"/>
  <c r="F49" i="7"/>
  <c r="E50" i="7"/>
  <c r="M47" i="7"/>
  <c r="L48" i="7"/>
  <c r="F66" i="21" l="1"/>
  <c r="E67" i="21"/>
  <c r="M66" i="21"/>
  <c r="L67" i="21"/>
  <c r="F64" i="18"/>
  <c r="E65" i="18"/>
  <c r="M66" i="18"/>
  <c r="L67" i="18"/>
  <c r="F64" i="17"/>
  <c r="E65" i="17"/>
  <c r="M63" i="17"/>
  <c r="L64" i="17"/>
  <c r="F65" i="16"/>
  <c r="E66" i="16"/>
  <c r="M65" i="16"/>
  <c r="L66" i="16"/>
  <c r="M66" i="15"/>
  <c r="L67" i="15"/>
  <c r="F65" i="15"/>
  <c r="E66" i="15"/>
  <c r="M63" i="14"/>
  <c r="L64" i="14"/>
  <c r="F63" i="14"/>
  <c r="E64" i="14"/>
  <c r="M48" i="7"/>
  <c r="L49" i="7"/>
  <c r="F50" i="7"/>
  <c r="E51" i="7"/>
  <c r="M67" i="21" l="1"/>
  <c r="L68" i="21"/>
  <c r="F67" i="21"/>
  <c r="E68" i="21"/>
  <c r="M67" i="18"/>
  <c r="L68" i="18"/>
  <c r="F65" i="18"/>
  <c r="E66" i="18"/>
  <c r="M64" i="17"/>
  <c r="L65" i="17"/>
  <c r="F65" i="17"/>
  <c r="E66" i="17"/>
  <c r="M66" i="16"/>
  <c r="L67" i="16"/>
  <c r="F66" i="16"/>
  <c r="E67" i="16"/>
  <c r="F66" i="15"/>
  <c r="E67" i="15"/>
  <c r="M67" i="15"/>
  <c r="L68" i="15"/>
  <c r="M64" i="14"/>
  <c r="L65" i="14"/>
  <c r="F64" i="14"/>
  <c r="E65" i="14"/>
  <c r="F51" i="7"/>
  <c r="E52" i="7"/>
  <c r="M49" i="7"/>
  <c r="L50" i="7"/>
  <c r="F68" i="21" l="1"/>
  <c r="E69" i="21"/>
  <c r="M68" i="21"/>
  <c r="L69" i="21"/>
  <c r="M68" i="18"/>
  <c r="L69" i="18"/>
  <c r="F66" i="18"/>
  <c r="E67" i="18"/>
  <c r="F66" i="17"/>
  <c r="E67" i="17"/>
  <c r="M65" i="17"/>
  <c r="L66" i="17"/>
  <c r="F67" i="16"/>
  <c r="E68" i="16"/>
  <c r="M67" i="16"/>
  <c r="L68" i="16"/>
  <c r="L69" i="15"/>
  <c r="M68" i="15"/>
  <c r="F67" i="15"/>
  <c r="E68" i="15"/>
  <c r="F65" i="14"/>
  <c r="E66" i="14"/>
  <c r="M65" i="14"/>
  <c r="L66" i="14"/>
  <c r="M50" i="7"/>
  <c r="L51" i="7"/>
  <c r="F52" i="7"/>
  <c r="E53" i="7"/>
  <c r="F69" i="21" l="1"/>
  <c r="E70" i="21"/>
  <c r="M69" i="21"/>
  <c r="L70" i="21"/>
  <c r="M69" i="18"/>
  <c r="L70" i="18"/>
  <c r="F67" i="18"/>
  <c r="E68" i="18"/>
  <c r="M66" i="17"/>
  <c r="L67" i="17"/>
  <c r="F67" i="17"/>
  <c r="E68" i="17"/>
  <c r="M68" i="16"/>
  <c r="L69" i="16"/>
  <c r="F68" i="16"/>
  <c r="E69" i="16"/>
  <c r="F68" i="15"/>
  <c r="E69" i="15"/>
  <c r="M69" i="15"/>
  <c r="L70" i="15"/>
  <c r="M66" i="14"/>
  <c r="L67" i="14"/>
  <c r="F66" i="14"/>
  <c r="E67" i="14"/>
  <c r="F53" i="7"/>
  <c r="E54" i="7"/>
  <c r="M51" i="7"/>
  <c r="L52" i="7"/>
  <c r="M70" i="21" l="1"/>
  <c r="L71" i="21"/>
  <c r="F70" i="21"/>
  <c r="E71" i="21"/>
  <c r="F68" i="18"/>
  <c r="E69" i="18"/>
  <c r="M70" i="18"/>
  <c r="L71" i="18"/>
  <c r="F68" i="17"/>
  <c r="E69" i="17"/>
  <c r="M67" i="17"/>
  <c r="L68" i="17"/>
  <c r="F69" i="16"/>
  <c r="E70" i="16"/>
  <c r="M69" i="16"/>
  <c r="L70" i="16"/>
  <c r="M70" i="15"/>
  <c r="L71" i="15"/>
  <c r="F69" i="15"/>
  <c r="E70" i="15"/>
  <c r="F67" i="14"/>
  <c r="E68" i="14"/>
  <c r="M67" i="14"/>
  <c r="L68" i="14"/>
  <c r="M52" i="7"/>
  <c r="L53" i="7"/>
  <c r="F54" i="7"/>
  <c r="E55" i="7"/>
  <c r="M71" i="21" l="1"/>
  <c r="L72" i="21"/>
  <c r="M72" i="21" s="1"/>
  <c r="F71" i="21"/>
  <c r="E72" i="21"/>
  <c r="F72" i="21" s="1"/>
  <c r="M71" i="18"/>
  <c r="L72" i="18"/>
  <c r="M72" i="18" s="1"/>
  <c r="F69" i="18"/>
  <c r="E70" i="18"/>
  <c r="M68" i="17"/>
  <c r="L69" i="17"/>
  <c r="F69" i="17"/>
  <c r="E70" i="17"/>
  <c r="L71" i="16"/>
  <c r="M70" i="16"/>
  <c r="F70" i="16"/>
  <c r="E71" i="16"/>
  <c r="F70" i="15"/>
  <c r="E71" i="15"/>
  <c r="M71" i="15"/>
  <c r="L72" i="15"/>
  <c r="M72" i="15" s="1"/>
  <c r="M68" i="14"/>
  <c r="L69" i="14"/>
  <c r="F68" i="14"/>
  <c r="E69" i="14"/>
  <c r="F55" i="7"/>
  <c r="E56" i="7"/>
  <c r="M53" i="7"/>
  <c r="L54" i="7"/>
  <c r="F70" i="18" l="1"/>
  <c r="E71" i="18"/>
  <c r="F70" i="17"/>
  <c r="E71" i="17"/>
  <c r="M69" i="17"/>
  <c r="L70" i="17"/>
  <c r="F71" i="16"/>
  <c r="E72" i="16"/>
  <c r="F72" i="16" s="1"/>
  <c r="M71" i="16"/>
  <c r="L72" i="16"/>
  <c r="M72" i="16" s="1"/>
  <c r="F71" i="15"/>
  <c r="E72" i="15"/>
  <c r="F72" i="15" s="1"/>
  <c r="M69" i="14"/>
  <c r="L70" i="14"/>
  <c r="F69" i="14"/>
  <c r="E70" i="14"/>
  <c r="M54" i="7"/>
  <c r="L55" i="7"/>
  <c r="F56" i="7"/>
  <c r="E57" i="7"/>
  <c r="F71" i="18" l="1"/>
  <c r="E72" i="18"/>
  <c r="F72" i="18" s="1"/>
  <c r="M70" i="17"/>
  <c r="L71" i="17"/>
  <c r="F71" i="17"/>
  <c r="E72" i="17"/>
  <c r="F72" i="17" s="1"/>
  <c r="F70" i="14"/>
  <c r="E71" i="14"/>
  <c r="M70" i="14"/>
  <c r="L71" i="14"/>
  <c r="F57" i="7"/>
  <c r="E58" i="7"/>
  <c r="M55" i="7"/>
  <c r="L56" i="7"/>
  <c r="M71" i="17" l="1"/>
  <c r="L72" i="17"/>
  <c r="M72" i="17" s="1"/>
  <c r="M71" i="14"/>
  <c r="L72" i="14"/>
  <c r="M72" i="14" s="1"/>
  <c r="F71" i="14"/>
  <c r="E72" i="14"/>
  <c r="F72" i="14" s="1"/>
  <c r="L57" i="7"/>
  <c r="M56" i="7"/>
  <c r="F58" i="7"/>
  <c r="E59" i="7"/>
  <c r="F59" i="7" l="1"/>
  <c r="E60" i="7"/>
  <c r="M57" i="7"/>
  <c r="L58" i="7"/>
  <c r="M58" i="7" l="1"/>
  <c r="L59" i="7"/>
  <c r="E61" i="7"/>
  <c r="F60" i="7"/>
  <c r="F61" i="7" l="1"/>
  <c r="E62" i="7"/>
  <c r="M59" i="7"/>
  <c r="L60" i="7"/>
  <c r="M60" i="7" l="1"/>
  <c r="L61" i="7"/>
  <c r="F62" i="7"/>
  <c r="E63" i="7"/>
  <c r="F63" i="7" l="1"/>
  <c r="E64" i="7"/>
  <c r="M61" i="7"/>
  <c r="L62" i="7"/>
  <c r="M62" i="7" l="1"/>
  <c r="L63" i="7"/>
  <c r="F64" i="7"/>
  <c r="E65" i="7"/>
  <c r="F65" i="7" l="1"/>
  <c r="E66" i="7"/>
  <c r="M63" i="7"/>
  <c r="L64" i="7"/>
  <c r="M64" i="7" l="1"/>
  <c r="L65" i="7"/>
  <c r="F66" i="7"/>
  <c r="E67" i="7"/>
  <c r="F67" i="7" l="1"/>
  <c r="E68" i="7"/>
  <c r="M65" i="7"/>
  <c r="L66" i="7"/>
  <c r="M66" i="7" l="1"/>
  <c r="L67" i="7"/>
  <c r="F68" i="7"/>
  <c r="E69" i="7"/>
  <c r="F69" i="7" l="1"/>
  <c r="E70" i="7"/>
  <c r="M67" i="7"/>
  <c r="L68" i="7"/>
  <c r="M68" i="7" l="1"/>
  <c r="L69" i="7"/>
  <c r="F70" i="7"/>
  <c r="E71" i="7"/>
  <c r="F71" i="7" l="1"/>
  <c r="E72" i="7"/>
  <c r="F72" i="7" s="1"/>
  <c r="M69" i="7"/>
  <c r="L70" i="7"/>
  <c r="M70" i="7" l="1"/>
  <c r="L71" i="7"/>
  <c r="M71" i="7" l="1"/>
  <c r="L72" i="7"/>
  <c r="M72" i="7" s="1"/>
  <c r="E3" i="8" l="1"/>
  <c r="AF75" i="9" l="1"/>
  <c r="P74" i="9"/>
  <c r="O74" i="9"/>
  <c r="N74" i="9"/>
  <c r="M74" i="9"/>
  <c r="K74" i="9"/>
  <c r="I74" i="9"/>
  <c r="AJ72" i="9"/>
  <c r="AH72" i="9"/>
  <c r="AG72" i="9"/>
  <c r="AF72" i="9"/>
  <c r="AE72" i="9"/>
  <c r="AC72" i="9"/>
  <c r="X72" i="9"/>
  <c r="W72" i="9"/>
  <c r="U72" i="9"/>
  <c r="T72" i="9"/>
  <c r="R72" i="9"/>
  <c r="Q72" i="9"/>
  <c r="L72" i="9"/>
  <c r="H72" i="9"/>
  <c r="G72" i="9"/>
  <c r="F72" i="9"/>
  <c r="AR70" i="9"/>
  <c r="AQ70" i="9"/>
  <c r="AO70" i="9"/>
  <c r="AU70" i="9" s="1"/>
  <c r="Z70" i="9"/>
  <c r="Y70" i="9"/>
  <c r="V70" i="9"/>
  <c r="AK70" i="9" s="1"/>
  <c r="S70" i="9"/>
  <c r="AN70" i="9" s="1"/>
  <c r="AT70" i="9" s="1"/>
  <c r="O70" i="9"/>
  <c r="E70" i="9"/>
  <c r="J70" i="9" s="1"/>
  <c r="AR69" i="9"/>
  <c r="AQ69" i="9"/>
  <c r="AO69" i="9"/>
  <c r="AU69" i="9" s="1"/>
  <c r="Z69" i="9"/>
  <c r="Y69" i="9"/>
  <c r="V69" i="9"/>
  <c r="AK69" i="9" s="1"/>
  <c r="S69" i="9"/>
  <c r="AN69" i="9" s="1"/>
  <c r="AT69" i="9" s="1"/>
  <c r="O69" i="9"/>
  <c r="E69" i="9"/>
  <c r="J69" i="9" s="1"/>
  <c r="AR68" i="9"/>
  <c r="AQ68" i="9"/>
  <c r="AO68" i="9"/>
  <c r="AU68" i="9" s="1"/>
  <c r="Z68" i="9"/>
  <c r="Y68" i="9"/>
  <c r="V68" i="9"/>
  <c r="AK68" i="9" s="1"/>
  <c r="S68" i="9"/>
  <c r="AN68" i="9" s="1"/>
  <c r="AT68" i="9" s="1"/>
  <c r="O68" i="9"/>
  <c r="E68" i="9"/>
  <c r="J68" i="9" s="1"/>
  <c r="AR67" i="9"/>
  <c r="AQ67" i="9"/>
  <c r="AO67" i="9"/>
  <c r="AU67" i="9" s="1"/>
  <c r="AK67" i="9"/>
  <c r="Z67" i="9"/>
  <c r="Y67" i="9"/>
  <c r="V67" i="9"/>
  <c r="S67" i="9"/>
  <c r="AN67" i="9" s="1"/>
  <c r="AT67" i="9" s="1"/>
  <c r="O67" i="9"/>
  <c r="E67" i="9"/>
  <c r="J67" i="9" s="1"/>
  <c r="AR66" i="9"/>
  <c r="AQ66" i="9"/>
  <c r="AO66" i="9"/>
  <c r="AU66" i="9" s="1"/>
  <c r="Z66" i="9"/>
  <c r="Y66" i="9"/>
  <c r="V66" i="9"/>
  <c r="AK66" i="9" s="1"/>
  <c r="S66" i="9"/>
  <c r="AN66" i="9" s="1"/>
  <c r="AT66" i="9" s="1"/>
  <c r="O66" i="9"/>
  <c r="E66" i="9"/>
  <c r="J66" i="9" s="1"/>
  <c r="AR65" i="9"/>
  <c r="AQ65" i="9"/>
  <c r="AO65" i="9"/>
  <c r="AU65" i="9" s="1"/>
  <c r="Z65" i="9"/>
  <c r="Y65" i="9"/>
  <c r="V65" i="9"/>
  <c r="AK65" i="9" s="1"/>
  <c r="S65" i="9"/>
  <c r="AN65" i="9" s="1"/>
  <c r="AT65" i="9" s="1"/>
  <c r="O65" i="9"/>
  <c r="E65" i="9"/>
  <c r="J65" i="9" s="1"/>
  <c r="AR64" i="9"/>
  <c r="AQ64" i="9"/>
  <c r="AO64" i="9"/>
  <c r="AU64" i="9" s="1"/>
  <c r="AK64" i="9"/>
  <c r="Z64" i="9"/>
  <c r="Y64" i="9"/>
  <c r="V64" i="9"/>
  <c r="S64" i="9"/>
  <c r="AN64" i="9" s="1"/>
  <c r="AT64" i="9" s="1"/>
  <c r="O64" i="9"/>
  <c r="E64" i="9"/>
  <c r="J64" i="9" s="1"/>
  <c r="AR63" i="9"/>
  <c r="AQ63" i="9"/>
  <c r="AO63" i="9"/>
  <c r="AU63" i="9" s="1"/>
  <c r="Z63" i="9"/>
  <c r="Y63" i="9"/>
  <c r="V63" i="9"/>
  <c r="AK63" i="9" s="1"/>
  <c r="S63" i="9"/>
  <c r="AN63" i="9" s="1"/>
  <c r="AT63" i="9" s="1"/>
  <c r="O63" i="9"/>
  <c r="E63" i="9"/>
  <c r="J63" i="9" s="1"/>
  <c r="AR62" i="9"/>
  <c r="AQ62" i="9"/>
  <c r="AO62" i="9"/>
  <c r="AU62" i="9" s="1"/>
  <c r="Z62" i="9"/>
  <c r="Y62" i="9"/>
  <c r="V62" i="9"/>
  <c r="AK62" i="9" s="1"/>
  <c r="S62" i="9"/>
  <c r="AN62" i="9" s="1"/>
  <c r="AT62" i="9" s="1"/>
  <c r="O62" i="9"/>
  <c r="E62" i="9"/>
  <c r="J62" i="9" s="1"/>
  <c r="AR61" i="9"/>
  <c r="AQ61" i="9"/>
  <c r="AO61" i="9"/>
  <c r="AU61" i="9" s="1"/>
  <c r="AK61" i="9"/>
  <c r="Z61" i="9"/>
  <c r="Y61" i="9"/>
  <c r="V61" i="9"/>
  <c r="S61" i="9"/>
  <c r="AN61" i="9" s="1"/>
  <c r="AT61" i="9" s="1"/>
  <c r="O61" i="9"/>
  <c r="E61" i="9"/>
  <c r="J61" i="9" s="1"/>
  <c r="AR60" i="9"/>
  <c r="AQ60" i="9"/>
  <c r="AO60" i="9"/>
  <c r="AU60" i="9" s="1"/>
  <c r="Z60" i="9"/>
  <c r="Y60" i="9"/>
  <c r="V60" i="9"/>
  <c r="AK60" i="9" s="1"/>
  <c r="S60" i="9"/>
  <c r="AN60" i="9" s="1"/>
  <c r="AT60" i="9" s="1"/>
  <c r="O60" i="9"/>
  <c r="E60" i="9"/>
  <c r="J60" i="9" s="1"/>
  <c r="AR59" i="9"/>
  <c r="AQ59" i="9"/>
  <c r="AO59" i="9"/>
  <c r="AU59" i="9" s="1"/>
  <c r="AK59" i="9"/>
  <c r="Z59" i="9"/>
  <c r="Y59" i="9"/>
  <c r="V59" i="9"/>
  <c r="S59" i="9"/>
  <c r="AN59" i="9" s="1"/>
  <c r="AT59" i="9" s="1"/>
  <c r="O59" i="9"/>
  <c r="E59" i="9"/>
  <c r="J59" i="9" s="1"/>
  <c r="AR58" i="9"/>
  <c r="AQ58" i="9"/>
  <c r="AO58" i="9"/>
  <c r="AU58" i="9" s="1"/>
  <c r="Z58" i="9"/>
  <c r="Y58" i="9"/>
  <c r="AD58" i="9" s="1"/>
  <c r="V58" i="9"/>
  <c r="AK58" i="9" s="1"/>
  <c r="S58" i="9"/>
  <c r="AN58" i="9" s="1"/>
  <c r="AT58" i="9" s="1"/>
  <c r="O58" i="9"/>
  <c r="E58" i="9"/>
  <c r="J58" i="9" s="1"/>
  <c r="AR57" i="9"/>
  <c r="AQ57" i="9"/>
  <c r="AO57" i="9"/>
  <c r="AU57" i="9" s="1"/>
  <c r="Z57" i="9"/>
  <c r="Y57" i="9"/>
  <c r="AD57" i="9" s="1"/>
  <c r="V57" i="9"/>
  <c r="AK57" i="9" s="1"/>
  <c r="S57" i="9"/>
  <c r="AN57" i="9" s="1"/>
  <c r="AT57" i="9" s="1"/>
  <c r="O57" i="9"/>
  <c r="E57" i="9"/>
  <c r="J57" i="9" s="1"/>
  <c r="AR56" i="9"/>
  <c r="AQ56" i="9"/>
  <c r="AO56" i="9"/>
  <c r="AU56" i="9" s="1"/>
  <c r="Z56" i="9"/>
  <c r="Y56" i="9"/>
  <c r="AD56" i="9" s="1"/>
  <c r="V56" i="9"/>
  <c r="AK56" i="9" s="1"/>
  <c r="S56" i="9"/>
  <c r="AN56" i="9" s="1"/>
  <c r="AT56" i="9" s="1"/>
  <c r="O56" i="9"/>
  <c r="E56" i="9"/>
  <c r="J56" i="9" s="1"/>
  <c r="AR55" i="9"/>
  <c r="AQ55" i="9"/>
  <c r="AO55" i="9"/>
  <c r="AU55" i="9" s="1"/>
  <c r="Z55" i="9"/>
  <c r="Y55" i="9"/>
  <c r="AD55" i="9" s="1"/>
  <c r="V55" i="9"/>
  <c r="AK55" i="9" s="1"/>
  <c r="S55" i="9"/>
  <c r="AN55" i="9" s="1"/>
  <c r="AT55" i="9" s="1"/>
  <c r="O55" i="9"/>
  <c r="E55" i="9"/>
  <c r="J55" i="9" s="1"/>
  <c r="AR54" i="9"/>
  <c r="AQ54" i="9"/>
  <c r="AO54" i="9"/>
  <c r="AU54" i="9" s="1"/>
  <c r="Z54" i="9"/>
  <c r="Y54" i="9"/>
  <c r="AD54" i="9" s="1"/>
  <c r="V54" i="9"/>
  <c r="AK54" i="9" s="1"/>
  <c r="S54" i="9"/>
  <c r="AN54" i="9" s="1"/>
  <c r="AT54" i="9" s="1"/>
  <c r="O54" i="9"/>
  <c r="E54" i="9"/>
  <c r="J54" i="9" s="1"/>
  <c r="AR53" i="9"/>
  <c r="AQ53" i="9"/>
  <c r="AO53" i="9"/>
  <c r="AU53" i="9" s="1"/>
  <c r="Z53" i="9"/>
  <c r="Y53" i="9"/>
  <c r="V53" i="9"/>
  <c r="AK53" i="9" s="1"/>
  <c r="S53" i="9"/>
  <c r="AN53" i="9" s="1"/>
  <c r="AT53" i="9" s="1"/>
  <c r="O53" i="9"/>
  <c r="E53" i="9"/>
  <c r="J53" i="9" s="1"/>
  <c r="AR52" i="9"/>
  <c r="AQ52" i="9"/>
  <c r="AO52" i="9"/>
  <c r="AU52" i="9" s="1"/>
  <c r="AK52" i="9"/>
  <c r="Z52" i="9"/>
  <c r="Y52" i="9"/>
  <c r="AD52" i="9" s="1"/>
  <c r="V52" i="9"/>
  <c r="S52" i="9"/>
  <c r="AN52" i="9" s="1"/>
  <c r="AT52" i="9" s="1"/>
  <c r="O52" i="9"/>
  <c r="E52" i="9"/>
  <c r="J52" i="9" s="1"/>
  <c r="AR51" i="9"/>
  <c r="AQ51" i="9"/>
  <c r="AO51" i="9"/>
  <c r="AU51" i="9" s="1"/>
  <c r="Z51" i="9"/>
  <c r="Y51" i="9"/>
  <c r="V51" i="9"/>
  <c r="AK51" i="9" s="1"/>
  <c r="S51" i="9"/>
  <c r="O51" i="9"/>
  <c r="E51" i="9"/>
  <c r="J51" i="9" s="1"/>
  <c r="AR50" i="9"/>
  <c r="AQ50" i="9"/>
  <c r="AO50" i="9"/>
  <c r="AU50" i="9" s="1"/>
  <c r="Z50" i="9"/>
  <c r="Y50" i="9"/>
  <c r="AD50" i="9" s="1"/>
  <c r="V50" i="9"/>
  <c r="AK50" i="9" s="1"/>
  <c r="S50" i="9"/>
  <c r="AN50" i="9" s="1"/>
  <c r="AT50" i="9" s="1"/>
  <c r="O50" i="9"/>
  <c r="E50" i="9"/>
  <c r="J50" i="9" s="1"/>
  <c r="AR49" i="9"/>
  <c r="AQ49" i="9"/>
  <c r="AO49" i="9"/>
  <c r="AU49" i="9" s="1"/>
  <c r="AD49" i="9"/>
  <c r="Z49" i="9"/>
  <c r="Y49" i="9"/>
  <c r="V49" i="9"/>
  <c r="AK49" i="9" s="1"/>
  <c r="S49" i="9"/>
  <c r="AN49" i="9" s="1"/>
  <c r="AT49" i="9" s="1"/>
  <c r="O49" i="9"/>
  <c r="E49" i="9"/>
  <c r="J49" i="9" s="1"/>
  <c r="AU48" i="9"/>
  <c r="AR48" i="9"/>
  <c r="AQ48" i="9"/>
  <c r="AO48" i="9"/>
  <c r="Z48" i="9"/>
  <c r="Y48" i="9"/>
  <c r="AD48" i="9" s="1"/>
  <c r="V48" i="9"/>
  <c r="AK48" i="9" s="1"/>
  <c r="S48" i="9"/>
  <c r="AN48" i="9" s="1"/>
  <c r="AT48" i="9" s="1"/>
  <c r="O48" i="9"/>
  <c r="E48" i="9"/>
  <c r="J48" i="9" s="1"/>
  <c r="AR47" i="9"/>
  <c r="AQ47" i="9"/>
  <c r="AO47" i="9"/>
  <c r="AU47" i="9" s="1"/>
  <c r="AK47" i="9"/>
  <c r="Z47" i="9"/>
  <c r="Y47" i="9"/>
  <c r="AD47" i="9" s="1"/>
  <c r="V47" i="9"/>
  <c r="S47" i="9"/>
  <c r="AN47" i="9" s="1"/>
  <c r="AT47" i="9" s="1"/>
  <c r="O47" i="9"/>
  <c r="E47" i="9"/>
  <c r="J47" i="9" s="1"/>
  <c r="AR46" i="9"/>
  <c r="AQ46" i="9"/>
  <c r="AO46" i="9"/>
  <c r="AU46" i="9" s="1"/>
  <c r="Z46" i="9"/>
  <c r="Y46" i="9"/>
  <c r="V46" i="9"/>
  <c r="AK46" i="9" s="1"/>
  <c r="S46" i="9"/>
  <c r="AN46" i="9" s="1"/>
  <c r="AT46" i="9" s="1"/>
  <c r="O46" i="9"/>
  <c r="E46" i="9"/>
  <c r="J46" i="9" s="1"/>
  <c r="AR45" i="9"/>
  <c r="AQ45" i="9"/>
  <c r="AO45" i="9"/>
  <c r="AU45" i="9" s="1"/>
  <c r="Z45" i="9"/>
  <c r="Y45" i="9"/>
  <c r="V45" i="9"/>
  <c r="AK45" i="9" s="1"/>
  <c r="S45" i="9"/>
  <c r="AN45" i="9" s="1"/>
  <c r="AT45" i="9" s="1"/>
  <c r="O45" i="9"/>
  <c r="E45" i="9"/>
  <c r="J45" i="9" s="1"/>
  <c r="AR44" i="9"/>
  <c r="AQ44" i="9"/>
  <c r="AO44" i="9"/>
  <c r="AU44" i="9" s="1"/>
  <c r="Z44" i="9"/>
  <c r="Y44" i="9"/>
  <c r="V44" i="9"/>
  <c r="AK44" i="9" s="1"/>
  <c r="S44" i="9"/>
  <c r="AP44" i="9" s="1"/>
  <c r="O44" i="9"/>
  <c r="E44" i="9"/>
  <c r="J44" i="9" s="1"/>
  <c r="AR43" i="9"/>
  <c r="AQ43" i="9"/>
  <c r="AO43" i="9"/>
  <c r="AU43" i="9" s="1"/>
  <c r="Z43" i="9"/>
  <c r="Y43" i="9"/>
  <c r="AD43" i="9" s="1"/>
  <c r="V43" i="9"/>
  <c r="AK43" i="9" s="1"/>
  <c r="S43" i="9"/>
  <c r="AB43" i="9" s="1"/>
  <c r="O43" i="9"/>
  <c r="E43" i="9"/>
  <c r="J43" i="9" s="1"/>
  <c r="AR42" i="9"/>
  <c r="AQ42" i="9"/>
  <c r="AO42" i="9"/>
  <c r="AU42" i="9" s="1"/>
  <c r="Z42" i="9"/>
  <c r="Y42" i="9"/>
  <c r="AD42" i="9" s="1"/>
  <c r="V42" i="9"/>
  <c r="AK42" i="9" s="1"/>
  <c r="S42" i="9"/>
  <c r="AB42" i="9" s="1"/>
  <c r="O42" i="9"/>
  <c r="E42" i="9"/>
  <c r="J42" i="9" s="1"/>
  <c r="AR41" i="9"/>
  <c r="AQ41" i="9"/>
  <c r="AO41" i="9"/>
  <c r="AU41" i="9" s="1"/>
  <c r="Z41" i="9"/>
  <c r="Y41" i="9"/>
  <c r="AD41" i="9" s="1"/>
  <c r="V41" i="9"/>
  <c r="AK41" i="9" s="1"/>
  <c r="S41" i="9"/>
  <c r="AB41" i="9" s="1"/>
  <c r="O41" i="9"/>
  <c r="E41" i="9"/>
  <c r="J41" i="9" s="1"/>
  <c r="AR40" i="9"/>
  <c r="AQ40" i="9"/>
  <c r="AO40" i="9"/>
  <c r="AU40" i="9" s="1"/>
  <c r="AK40" i="9"/>
  <c r="Z40" i="9"/>
  <c r="Y40" i="9"/>
  <c r="AD40" i="9" s="1"/>
  <c r="V40" i="9"/>
  <c r="S40" i="9"/>
  <c r="AB40" i="9" s="1"/>
  <c r="O40" i="9"/>
  <c r="E40" i="9"/>
  <c r="J40" i="9" s="1"/>
  <c r="AR39" i="9"/>
  <c r="AQ39" i="9"/>
  <c r="AO39" i="9"/>
  <c r="AU39" i="9" s="1"/>
  <c r="Z39" i="9"/>
  <c r="Y39" i="9"/>
  <c r="AD39" i="9" s="1"/>
  <c r="V39" i="9"/>
  <c r="AK39" i="9" s="1"/>
  <c r="S39" i="9"/>
  <c r="AB39" i="9" s="1"/>
  <c r="O39" i="9"/>
  <c r="E39" i="9"/>
  <c r="J39" i="9" s="1"/>
  <c r="AR38" i="9"/>
  <c r="AQ38" i="9"/>
  <c r="AO38" i="9"/>
  <c r="AU38" i="9" s="1"/>
  <c r="Z38" i="9"/>
  <c r="Y38" i="9"/>
  <c r="AD38" i="9" s="1"/>
  <c r="V38" i="9"/>
  <c r="AK38" i="9" s="1"/>
  <c r="S38" i="9"/>
  <c r="AB38" i="9" s="1"/>
  <c r="O38" i="9"/>
  <c r="E38" i="9"/>
  <c r="J38" i="9" s="1"/>
  <c r="AR37" i="9"/>
  <c r="AQ37" i="9"/>
  <c r="AO37" i="9"/>
  <c r="AU37" i="9" s="1"/>
  <c r="Z37" i="9"/>
  <c r="Y37" i="9"/>
  <c r="AD37" i="9" s="1"/>
  <c r="V37" i="9"/>
  <c r="AK37" i="9" s="1"/>
  <c r="S37" i="9"/>
  <c r="AB37" i="9" s="1"/>
  <c r="P37" i="9"/>
  <c r="O37" i="9"/>
  <c r="E37" i="9"/>
  <c r="J37" i="9" s="1"/>
  <c r="AR36" i="9"/>
  <c r="AQ36" i="9"/>
  <c r="AO36" i="9"/>
  <c r="AU36" i="9" s="1"/>
  <c r="Z36" i="9"/>
  <c r="Y36" i="9"/>
  <c r="AD36" i="9" s="1"/>
  <c r="V36" i="9"/>
  <c r="AK36" i="9" s="1"/>
  <c r="S36" i="9"/>
  <c r="AB36" i="9" s="1"/>
  <c r="O36" i="9"/>
  <c r="E36" i="9"/>
  <c r="J36" i="9" s="1"/>
  <c r="AR35" i="9"/>
  <c r="AQ35" i="9"/>
  <c r="AO35" i="9"/>
  <c r="AU35" i="9" s="1"/>
  <c r="Z35" i="9"/>
  <c r="Y35" i="9"/>
  <c r="AD35" i="9" s="1"/>
  <c r="V35" i="9"/>
  <c r="AK35" i="9" s="1"/>
  <c r="S35" i="9"/>
  <c r="AB35" i="9" s="1"/>
  <c r="O35" i="9"/>
  <c r="E35" i="9"/>
  <c r="J35" i="9" s="1"/>
  <c r="AR34" i="9"/>
  <c r="AQ34" i="9"/>
  <c r="AO34" i="9"/>
  <c r="AU34" i="9" s="1"/>
  <c r="Z34" i="9"/>
  <c r="Y34" i="9"/>
  <c r="AD34" i="9" s="1"/>
  <c r="V34" i="9"/>
  <c r="AK34" i="9" s="1"/>
  <c r="S34" i="9"/>
  <c r="AB34" i="9" s="1"/>
  <c r="O34" i="9"/>
  <c r="E34" i="9"/>
  <c r="J34" i="9" s="1"/>
  <c r="AR33" i="9"/>
  <c r="AQ33" i="9"/>
  <c r="AO33" i="9"/>
  <c r="AU33" i="9" s="1"/>
  <c r="AK33" i="9"/>
  <c r="Z33" i="9"/>
  <c r="Y33" i="9"/>
  <c r="AD33" i="9" s="1"/>
  <c r="V33" i="9"/>
  <c r="S33" i="9"/>
  <c r="AB33" i="9" s="1"/>
  <c r="O33" i="9"/>
  <c r="E33" i="9"/>
  <c r="J33" i="9" s="1"/>
  <c r="AR32" i="9"/>
  <c r="AQ32" i="9"/>
  <c r="AO32" i="9"/>
  <c r="AU32" i="9" s="1"/>
  <c r="Z32" i="9"/>
  <c r="Y32" i="9"/>
  <c r="AD32" i="9" s="1"/>
  <c r="V32" i="9"/>
  <c r="AK32" i="9" s="1"/>
  <c r="S32" i="9"/>
  <c r="AB32" i="9" s="1"/>
  <c r="O32" i="9"/>
  <c r="E32" i="9"/>
  <c r="J32" i="9" s="1"/>
  <c r="AR31" i="9"/>
  <c r="AQ31" i="9"/>
  <c r="AO31" i="9"/>
  <c r="AU31" i="9" s="1"/>
  <c r="Z31" i="9"/>
  <c r="Y31" i="9"/>
  <c r="AD31" i="9" s="1"/>
  <c r="V31" i="9"/>
  <c r="AK31" i="9" s="1"/>
  <c r="S31" i="9"/>
  <c r="AB31" i="9" s="1"/>
  <c r="O31" i="9"/>
  <c r="E31" i="9"/>
  <c r="J31" i="9" s="1"/>
  <c r="AR30" i="9"/>
  <c r="AQ30" i="9"/>
  <c r="AO30" i="9"/>
  <c r="AU30" i="9" s="1"/>
  <c r="Z30" i="9"/>
  <c r="Y30" i="9"/>
  <c r="AD30" i="9" s="1"/>
  <c r="V30" i="9"/>
  <c r="AK30" i="9" s="1"/>
  <c r="S30" i="9"/>
  <c r="AB30" i="9" s="1"/>
  <c r="O30" i="9"/>
  <c r="E30" i="9"/>
  <c r="J30" i="9" s="1"/>
  <c r="AR29" i="9"/>
  <c r="AQ29" i="9"/>
  <c r="AO29" i="9"/>
  <c r="AU29" i="9" s="1"/>
  <c r="Z29" i="9"/>
  <c r="Y29" i="9"/>
  <c r="AD29" i="9" s="1"/>
  <c r="V29" i="9"/>
  <c r="AK29" i="9" s="1"/>
  <c r="S29" i="9"/>
  <c r="AB29" i="9" s="1"/>
  <c r="O29" i="9"/>
  <c r="E29" i="9"/>
  <c r="J29" i="9" s="1"/>
  <c r="AR28" i="9"/>
  <c r="AQ28" i="9"/>
  <c r="AO28" i="9"/>
  <c r="AU28" i="9" s="1"/>
  <c r="Z28" i="9"/>
  <c r="Y28" i="9"/>
  <c r="AD28" i="9" s="1"/>
  <c r="V28" i="9"/>
  <c r="AK28" i="9" s="1"/>
  <c r="S28" i="9"/>
  <c r="AB28" i="9" s="1"/>
  <c r="O28" i="9"/>
  <c r="E28" i="9"/>
  <c r="J28" i="9" s="1"/>
  <c r="AR27" i="9"/>
  <c r="AQ27" i="9"/>
  <c r="AO27" i="9"/>
  <c r="AU27" i="9" s="1"/>
  <c r="Z27" i="9"/>
  <c r="Y27" i="9"/>
  <c r="AD27" i="9" s="1"/>
  <c r="V27" i="9"/>
  <c r="AK27" i="9" s="1"/>
  <c r="S27" i="9"/>
  <c r="AB27" i="9" s="1"/>
  <c r="O27" i="9"/>
  <c r="E27" i="9"/>
  <c r="J27" i="9" s="1"/>
  <c r="AR26" i="9"/>
  <c r="AQ26" i="9"/>
  <c r="AO26" i="9"/>
  <c r="AU26" i="9" s="1"/>
  <c r="Z26" i="9"/>
  <c r="Y26" i="9"/>
  <c r="AD26" i="9" s="1"/>
  <c r="V26" i="9"/>
  <c r="AK26" i="9" s="1"/>
  <c r="S26" i="9"/>
  <c r="AB26" i="9" s="1"/>
  <c r="P26" i="9"/>
  <c r="O26" i="9"/>
  <c r="E26" i="9"/>
  <c r="J26" i="9" s="1"/>
  <c r="AR25" i="9"/>
  <c r="AQ25" i="9"/>
  <c r="AO25" i="9"/>
  <c r="AU25" i="9" s="1"/>
  <c r="Z25" i="9"/>
  <c r="Y25" i="9"/>
  <c r="AD25" i="9" s="1"/>
  <c r="V25" i="9"/>
  <c r="AK25" i="9" s="1"/>
  <c r="S25" i="9"/>
  <c r="AB25" i="9" s="1"/>
  <c r="O25" i="9"/>
  <c r="E25" i="9"/>
  <c r="J25" i="9" s="1"/>
  <c r="AR24" i="9"/>
  <c r="AQ24" i="9"/>
  <c r="AO24" i="9"/>
  <c r="AU24" i="9" s="1"/>
  <c r="Z24" i="9"/>
  <c r="Y24" i="9"/>
  <c r="AD24" i="9" s="1"/>
  <c r="V24" i="9"/>
  <c r="AK24" i="9" s="1"/>
  <c r="S24" i="9"/>
  <c r="AB24" i="9" s="1"/>
  <c r="O24" i="9"/>
  <c r="E24" i="9"/>
  <c r="J24" i="9" s="1"/>
  <c r="AR23" i="9"/>
  <c r="AQ23" i="9"/>
  <c r="AO23" i="9"/>
  <c r="AU23" i="9" s="1"/>
  <c r="Z23" i="9"/>
  <c r="Y23" i="9"/>
  <c r="AD23" i="9" s="1"/>
  <c r="V23" i="9"/>
  <c r="AK23" i="9" s="1"/>
  <c r="S23" i="9"/>
  <c r="AB23" i="9" s="1"/>
  <c r="O23" i="9"/>
  <c r="E23" i="9"/>
  <c r="J23" i="9" s="1"/>
  <c r="AR22" i="9"/>
  <c r="AQ22" i="9"/>
  <c r="AO22" i="9"/>
  <c r="AU22" i="9" s="1"/>
  <c r="Z22" i="9"/>
  <c r="Y22" i="9"/>
  <c r="AD22" i="9" s="1"/>
  <c r="V22" i="9"/>
  <c r="AK22" i="9" s="1"/>
  <c r="S22" i="9"/>
  <c r="AB22" i="9" s="1"/>
  <c r="O22" i="9"/>
  <c r="E22" i="9"/>
  <c r="J22" i="9" s="1"/>
  <c r="AR21" i="9"/>
  <c r="AQ21" i="9"/>
  <c r="AO21" i="9"/>
  <c r="AU21" i="9" s="1"/>
  <c r="Z21" i="9"/>
  <c r="Y21" i="9"/>
  <c r="AD21" i="9" s="1"/>
  <c r="V21" i="9"/>
  <c r="AK21" i="9" s="1"/>
  <c r="S21" i="9"/>
  <c r="AB21" i="9" s="1"/>
  <c r="O21" i="9"/>
  <c r="E21" i="9"/>
  <c r="J21" i="9" s="1"/>
  <c r="AR20" i="9"/>
  <c r="AQ20" i="9"/>
  <c r="AO20" i="9"/>
  <c r="AU20" i="9" s="1"/>
  <c r="Z20" i="9"/>
  <c r="Y20" i="9"/>
  <c r="AD20" i="9" s="1"/>
  <c r="V20" i="9"/>
  <c r="AK20" i="9" s="1"/>
  <c r="S20" i="9"/>
  <c r="AB20" i="9" s="1"/>
  <c r="O20" i="9"/>
  <c r="E20" i="9"/>
  <c r="J20" i="9" s="1"/>
  <c r="AR19" i="9"/>
  <c r="AQ19" i="9"/>
  <c r="AO19" i="9"/>
  <c r="Z19" i="9"/>
  <c r="Y19" i="9"/>
  <c r="V19" i="9"/>
  <c r="AK19" i="9" s="1"/>
  <c r="S19" i="9"/>
  <c r="P19" i="9" s="1"/>
  <c r="O19" i="9"/>
  <c r="E19" i="9"/>
  <c r="AJ17" i="9"/>
  <c r="AJ74" i="9" s="1"/>
  <c r="U7" i="3" s="1"/>
  <c r="AH17" i="9"/>
  <c r="AG17" i="9"/>
  <c r="AG74" i="9" s="1"/>
  <c r="X7" i="3" s="1"/>
  <c r="AF17" i="9"/>
  <c r="AE17" i="9"/>
  <c r="AC17" i="9"/>
  <c r="AC74" i="9" s="1"/>
  <c r="R7" i="3" s="1"/>
  <c r="X17" i="9"/>
  <c r="X74" i="9" s="1"/>
  <c r="N7" i="3" s="1"/>
  <c r="W17" i="9"/>
  <c r="W74" i="9" s="1"/>
  <c r="M7" i="3" s="1"/>
  <c r="U17" i="9"/>
  <c r="U74" i="9" s="1"/>
  <c r="K7" i="3" s="1"/>
  <c r="T17" i="9"/>
  <c r="R17" i="9"/>
  <c r="I7" i="3" s="1"/>
  <c r="Q17" i="9"/>
  <c r="H7" i="3" s="1"/>
  <c r="H17" i="9"/>
  <c r="H74" i="9" s="1"/>
  <c r="AI43" i="9" s="1"/>
  <c r="G17" i="9"/>
  <c r="G74" i="9" s="1"/>
  <c r="F17" i="9"/>
  <c r="F74" i="9" s="1"/>
  <c r="AR15" i="9"/>
  <c r="AQ15" i="9"/>
  <c r="AP15" i="9"/>
  <c r="AO15" i="9"/>
  <c r="AK15" i="9"/>
  <c r="AB15" i="9"/>
  <c r="Z15" i="9"/>
  <c r="Y15" i="9"/>
  <c r="AD15" i="9" s="1"/>
  <c r="P15" i="9"/>
  <c r="O15" i="9"/>
  <c r="E15" i="9"/>
  <c r="J15" i="9" s="1"/>
  <c r="AR14" i="9"/>
  <c r="AQ14" i="9"/>
  <c r="AO14" i="9"/>
  <c r="Y14" i="9"/>
  <c r="AD14" i="9" s="1"/>
  <c r="V14" i="9"/>
  <c r="AK14" i="9" s="1"/>
  <c r="O14" i="9"/>
  <c r="E14" i="9"/>
  <c r="J14" i="9" s="1"/>
  <c r="AR13" i="9"/>
  <c r="AQ13" i="9"/>
  <c r="AO13" i="9"/>
  <c r="Z13" i="9"/>
  <c r="Y13" i="9"/>
  <c r="V13" i="9"/>
  <c r="AK13" i="9" s="1"/>
  <c r="AB13" i="9"/>
  <c r="O13" i="9"/>
  <c r="E13" i="9"/>
  <c r="J13" i="9" s="1"/>
  <c r="AR12" i="9"/>
  <c r="AQ12" i="9"/>
  <c r="AO12" i="9"/>
  <c r="Y12" i="9"/>
  <c r="AD12" i="9" s="1"/>
  <c r="V12" i="9"/>
  <c r="AK12" i="9" s="1"/>
  <c r="AB12" i="9"/>
  <c r="O12" i="9"/>
  <c r="Z12" i="9"/>
  <c r="E12" i="9"/>
  <c r="J12" i="9" s="1"/>
  <c r="AR11" i="9"/>
  <c r="AQ11" i="9"/>
  <c r="AO11" i="9"/>
  <c r="Y11" i="9"/>
  <c r="AD11" i="9" s="1"/>
  <c r="V11" i="9"/>
  <c r="AK11" i="9" s="1"/>
  <c r="AB11" i="9"/>
  <c r="O11" i="9"/>
  <c r="E11" i="9"/>
  <c r="J11" i="9" s="1"/>
  <c r="AR10" i="9"/>
  <c r="AQ10" i="9"/>
  <c r="AO10" i="9"/>
  <c r="Y10" i="9"/>
  <c r="AD10" i="9" s="1"/>
  <c r="V10" i="9"/>
  <c r="AK10" i="9" s="1"/>
  <c r="O10" i="9"/>
  <c r="E10" i="9"/>
  <c r="J10" i="9" s="1"/>
  <c r="AR9" i="9"/>
  <c r="AQ9" i="9"/>
  <c r="AO9" i="9"/>
  <c r="Z9" i="9"/>
  <c r="Y9" i="9"/>
  <c r="AD9" i="9" s="1"/>
  <c r="V9" i="9"/>
  <c r="AK9" i="9" s="1"/>
  <c r="AP9" i="9"/>
  <c r="O9" i="9"/>
  <c r="E9" i="9"/>
  <c r="J9" i="9" s="1"/>
  <c r="AR8" i="9"/>
  <c r="AQ8" i="9"/>
  <c r="AO8" i="9"/>
  <c r="AK8" i="9"/>
  <c r="Y8" i="9"/>
  <c r="V8" i="9"/>
  <c r="AP8" i="9"/>
  <c r="O8" i="9"/>
  <c r="Z8" i="9"/>
  <c r="E8" i="9"/>
  <c r="J8" i="9" s="1"/>
  <c r="AR7" i="9"/>
  <c r="AQ7" i="9"/>
  <c r="AO7" i="9"/>
  <c r="Y7" i="9"/>
  <c r="AD7" i="9" s="1"/>
  <c r="V7" i="9"/>
  <c r="AK7" i="9" s="1"/>
  <c r="AP7" i="9"/>
  <c r="E7" i="9"/>
  <c r="J7" i="9" s="1"/>
  <c r="AR6" i="9"/>
  <c r="AQ6" i="9"/>
  <c r="AO6" i="9"/>
  <c r="Y6" i="9"/>
  <c r="AD6" i="9" s="1"/>
  <c r="V6" i="9"/>
  <c r="AK6" i="9" s="1"/>
  <c r="AP6" i="9"/>
  <c r="O6" i="9"/>
  <c r="Z6" i="9"/>
  <c r="E6" i="9"/>
  <c r="J6" i="9" s="1"/>
  <c r="AR5" i="9"/>
  <c r="AQ5" i="9"/>
  <c r="AO5" i="9"/>
  <c r="Z5" i="9"/>
  <c r="Y5" i="9"/>
  <c r="AD5" i="9" s="1"/>
  <c r="V5" i="9"/>
  <c r="AK5" i="9" s="1"/>
  <c r="AN5" i="9"/>
  <c r="AT5" i="9" s="1"/>
  <c r="O5" i="9"/>
  <c r="E5" i="9"/>
  <c r="J5" i="9" s="1"/>
  <c r="AR4" i="9"/>
  <c r="AQ4" i="9"/>
  <c r="AO4" i="9"/>
  <c r="Y4" i="9"/>
  <c r="AD4" i="9" s="1"/>
  <c r="V4" i="9"/>
  <c r="AK4" i="9" s="1"/>
  <c r="AB4" i="9"/>
  <c r="O4" i="9"/>
  <c r="Z4" i="9"/>
  <c r="E4" i="9"/>
  <c r="J4" i="9" s="1"/>
  <c r="AR3" i="9"/>
  <c r="AQ3" i="9"/>
  <c r="AO3" i="9"/>
  <c r="AO16" i="9" s="1"/>
  <c r="Y3" i="9"/>
  <c r="AD3" i="9" s="1"/>
  <c r="V3" i="9"/>
  <c r="AK3" i="9" s="1"/>
  <c r="AP3" i="9"/>
  <c r="O3" i="9"/>
  <c r="E3" i="9"/>
  <c r="J3" i="9" s="1"/>
  <c r="O7" i="3" l="1"/>
  <c r="AR72" i="9"/>
  <c r="P33" i="9"/>
  <c r="AN34" i="9"/>
  <c r="AT34" i="9" s="1"/>
  <c r="AN15" i="9"/>
  <c r="AN22" i="9"/>
  <c r="AT22" i="9" s="1"/>
  <c r="P25" i="9"/>
  <c r="AB7" i="9"/>
  <c r="P13" i="9"/>
  <c r="AQ16" i="9"/>
  <c r="AE74" i="9"/>
  <c r="Q7" i="3" s="1"/>
  <c r="AN26" i="9"/>
  <c r="AT26" i="9" s="1"/>
  <c r="P36" i="9"/>
  <c r="P7" i="9"/>
  <c r="P11" i="9"/>
  <c r="Q74" i="9"/>
  <c r="AR16" i="9"/>
  <c r="AB5" i="9"/>
  <c r="AB9" i="9"/>
  <c r="P28" i="9"/>
  <c r="P32" i="9"/>
  <c r="AN35" i="9"/>
  <c r="AT35" i="9" s="1"/>
  <c r="AN13" i="9"/>
  <c r="P20" i="9"/>
  <c r="P24" i="9"/>
  <c r="AN27" i="9"/>
  <c r="AT27" i="9" s="1"/>
  <c r="AN30" i="9"/>
  <c r="AT30" i="9" s="1"/>
  <c r="AN38" i="9"/>
  <c r="AT38" i="9" s="1"/>
  <c r="AN19" i="9"/>
  <c r="AT19" i="9" s="1"/>
  <c r="AN25" i="9"/>
  <c r="AT25" i="9" s="1"/>
  <c r="AN33" i="9"/>
  <c r="AT33" i="9" s="1"/>
  <c r="P9" i="9"/>
  <c r="E72" i="9"/>
  <c r="J19" i="9"/>
  <c r="J72" i="9" s="1"/>
  <c r="P5" i="9"/>
  <c r="AN8" i="9"/>
  <c r="AN12" i="9"/>
  <c r="P22" i="9"/>
  <c r="AN24" i="9"/>
  <c r="AT24" i="9" s="1"/>
  <c r="P30" i="9"/>
  <c r="AN32" i="9"/>
  <c r="AT32" i="9" s="1"/>
  <c r="P38" i="9"/>
  <c r="AN21" i="9"/>
  <c r="AT21" i="9" s="1"/>
  <c r="P27" i="9"/>
  <c r="AN29" i="9"/>
  <c r="AT29" i="9" s="1"/>
  <c r="P35" i="9"/>
  <c r="AN37" i="9"/>
  <c r="AT37" i="9" s="1"/>
  <c r="P40" i="9"/>
  <c r="P42" i="9"/>
  <c r="P44" i="9"/>
  <c r="AN4" i="9"/>
  <c r="AT4" i="9" s="1"/>
  <c r="R74" i="9"/>
  <c r="V72" i="9"/>
  <c r="P21" i="9"/>
  <c r="AN23" i="9"/>
  <c r="AT23" i="9" s="1"/>
  <c r="P29" i="9"/>
  <c r="AN31" i="9"/>
  <c r="AT31" i="9" s="1"/>
  <c r="T74" i="9"/>
  <c r="J7" i="3" s="1"/>
  <c r="L7" i="3" s="1"/>
  <c r="AH74" i="9"/>
  <c r="AN20" i="9"/>
  <c r="AT20" i="9" s="1"/>
  <c r="AN28" i="9"/>
  <c r="AT28" i="9" s="1"/>
  <c r="P34" i="9"/>
  <c r="AN36" i="9"/>
  <c r="AT36" i="9" s="1"/>
  <c r="E17" i="9"/>
  <c r="P23" i="9"/>
  <c r="P31" i="9"/>
  <c r="P39" i="9"/>
  <c r="P41" i="9"/>
  <c r="P43" i="9"/>
  <c r="AD45" i="9"/>
  <c r="J17" i="9"/>
  <c r="AI40" i="9"/>
  <c r="AL40" i="9" s="1"/>
  <c r="AS40" i="9" s="1" a="1"/>
  <c r="AS40" i="9" s="1"/>
  <c r="AW40" i="9" s="1"/>
  <c r="Z3" i="9"/>
  <c r="AK17" i="9"/>
  <c r="Z7" i="9"/>
  <c r="AI19" i="9"/>
  <c r="AI20" i="9"/>
  <c r="AI21" i="9"/>
  <c r="AL21" i="9" s="1"/>
  <c r="AS21" i="9" s="1" a="1"/>
  <c r="AS21" i="9" s="1"/>
  <c r="AW21" i="9" s="1"/>
  <c r="AI22" i="9"/>
  <c r="AL22" i="9" s="1"/>
  <c r="AS22" i="9" s="1" a="1"/>
  <c r="AS22" i="9" s="1"/>
  <c r="AW22" i="9" s="1"/>
  <c r="AI23" i="9"/>
  <c r="AL23" i="9" s="1"/>
  <c r="AS23" i="9" s="1" a="1"/>
  <c r="AS23" i="9" s="1"/>
  <c r="AW23" i="9" s="1"/>
  <c r="AI24" i="9"/>
  <c r="AL24" i="9" s="1"/>
  <c r="AS24" i="9" s="1" a="1"/>
  <c r="AS24" i="9" s="1"/>
  <c r="AW24" i="9" s="1"/>
  <c r="AI25" i="9"/>
  <c r="AL25" i="9" s="1"/>
  <c r="AS25" i="9" s="1" a="1"/>
  <c r="AS25" i="9" s="1"/>
  <c r="AW25" i="9" s="1"/>
  <c r="AI26" i="9"/>
  <c r="AL26" i="9" s="1"/>
  <c r="AS26" i="9" s="1" a="1"/>
  <c r="AS26" i="9" s="1"/>
  <c r="AW26" i="9" s="1"/>
  <c r="AI27" i="9"/>
  <c r="AI28" i="9"/>
  <c r="AI29" i="9"/>
  <c r="AI30" i="9"/>
  <c r="AL30" i="9" s="1"/>
  <c r="AS30" i="9" s="1" a="1"/>
  <c r="AS30" i="9" s="1"/>
  <c r="AW30" i="9" s="1"/>
  <c r="AI31" i="9"/>
  <c r="AL31" i="9" s="1"/>
  <c r="AS31" i="9" s="1" a="1"/>
  <c r="AS31" i="9" s="1"/>
  <c r="AW31" i="9" s="1"/>
  <c r="AI32" i="9"/>
  <c r="AL32" i="9" s="1"/>
  <c r="AS32" i="9" s="1" a="1"/>
  <c r="AS32" i="9" s="1"/>
  <c r="AW32" i="9" s="1"/>
  <c r="AI33" i="9"/>
  <c r="AL33" i="9" s="1"/>
  <c r="AS33" i="9" s="1" a="1"/>
  <c r="AS33" i="9" s="1"/>
  <c r="AW33" i="9" s="1"/>
  <c r="AI34" i="9"/>
  <c r="AL34" i="9" s="1"/>
  <c r="AS34" i="9" s="1" a="1"/>
  <c r="AS34" i="9" s="1"/>
  <c r="AW34" i="9" s="1"/>
  <c r="AI35" i="9"/>
  <c r="AI36" i="9"/>
  <c r="AI37" i="9"/>
  <c r="AI38" i="9"/>
  <c r="AL38" i="9" s="1"/>
  <c r="AS38" i="9" s="1" a="1"/>
  <c r="AS38" i="9" s="1"/>
  <c r="AW38" i="9" s="1"/>
  <c r="AI39" i="9"/>
  <c r="AL39" i="9" s="1"/>
  <c r="AS39" i="9" s="1" a="1"/>
  <c r="AS39" i="9" s="1"/>
  <c r="AW39" i="9" s="1"/>
  <c r="AI9" i="9"/>
  <c r="Z10" i="9"/>
  <c r="AI13" i="9"/>
  <c r="Z14" i="9"/>
  <c r="AD46" i="9"/>
  <c r="P14" i="9"/>
  <c r="AB14" i="9"/>
  <c r="AN14" i="9"/>
  <c r="AT14" i="9" s="1"/>
  <c r="AF74" i="9"/>
  <c r="AR17" i="9"/>
  <c r="AO71" i="9"/>
  <c r="AU19" i="9"/>
  <c r="AU71" i="9" s="1"/>
  <c r="AD8" i="9"/>
  <c r="Z72" i="9"/>
  <c r="AI15" i="9"/>
  <c r="L17" i="9"/>
  <c r="S17" i="9"/>
  <c r="P3" i="9"/>
  <c r="AB3" i="9"/>
  <c r="AN3" i="9"/>
  <c r="AN10" i="9"/>
  <c r="AT10" i="9" s="1"/>
  <c r="P10" i="9"/>
  <c r="AB10" i="9"/>
  <c r="AI70" i="9"/>
  <c r="AI69" i="9"/>
  <c r="AI68" i="9"/>
  <c r="AI67" i="9"/>
  <c r="AI66" i="9"/>
  <c r="AI65" i="9"/>
  <c r="AI64" i="9"/>
  <c r="AI63" i="9"/>
  <c r="AI62" i="9"/>
  <c r="AI61" i="9"/>
  <c r="AI60" i="9"/>
  <c r="AI59" i="9"/>
  <c r="AI58" i="9"/>
  <c r="AI57" i="9"/>
  <c r="AI56" i="9"/>
  <c r="AI55" i="9"/>
  <c r="AI54" i="9"/>
  <c r="AI53" i="9"/>
  <c r="AI52" i="9"/>
  <c r="AI51" i="9"/>
  <c r="AI50" i="9"/>
  <c r="AI49" i="9"/>
  <c r="AI48" i="9"/>
  <c r="AI47" i="9"/>
  <c r="AI46" i="9"/>
  <c r="AI45" i="9"/>
  <c r="AI44" i="9"/>
  <c r="AI14" i="9"/>
  <c r="AI6" i="9"/>
  <c r="AI3" i="9"/>
  <c r="AI11" i="9"/>
  <c r="AI8" i="9"/>
  <c r="AI10" i="9"/>
  <c r="AI7" i="9"/>
  <c r="AI12" i="9"/>
  <c r="AI4" i="9"/>
  <c r="AI41" i="9"/>
  <c r="AL41" i="9" s="1"/>
  <c r="AS41" i="9" s="1" a="1"/>
  <c r="AS41" i="9" s="1"/>
  <c r="AW41" i="9" s="1"/>
  <c r="AI5" i="9"/>
  <c r="V17" i="9"/>
  <c r="V74" i="9" s="1"/>
  <c r="P6" i="9"/>
  <c r="AB6" i="9"/>
  <c r="AL6" i="9" s="1"/>
  <c r="AS6" i="9" s="1" a="1"/>
  <c r="AS6" i="9" s="1"/>
  <c r="AN6" i="9"/>
  <c r="AP10" i="9"/>
  <c r="AP14" i="9"/>
  <c r="AI42" i="9"/>
  <c r="P4" i="9"/>
  <c r="AP5" i="9"/>
  <c r="O7" i="9"/>
  <c r="AN11" i="9"/>
  <c r="AT11" i="9" s="1"/>
  <c r="P12" i="9"/>
  <c r="AP13" i="9"/>
  <c r="S72" i="9"/>
  <c r="AK72" i="9"/>
  <c r="P51" i="9"/>
  <c r="AB51" i="9"/>
  <c r="AL51" i="9" s="1"/>
  <c r="AS51" i="9" s="1" a="1"/>
  <c r="AS51" i="9" s="1"/>
  <c r="AW51" i="9" s="1"/>
  <c r="AP51" i="9"/>
  <c r="AD60" i="9"/>
  <c r="AD68" i="9"/>
  <c r="Z11" i="9"/>
  <c r="AL20" i="9"/>
  <c r="AS20" i="9" s="1" a="1"/>
  <c r="AS20" i="9" s="1"/>
  <c r="AW20" i="9" s="1"/>
  <c r="AL27" i="9"/>
  <c r="AS27" i="9" s="1" a="1"/>
  <c r="AS27" i="9" s="1"/>
  <c r="AW27" i="9" s="1"/>
  <c r="AL28" i="9"/>
  <c r="AS28" i="9" s="1" a="1"/>
  <c r="AS28" i="9" s="1"/>
  <c r="AW28" i="9" s="1"/>
  <c r="AL29" i="9"/>
  <c r="AS29" i="9" s="1" a="1"/>
  <c r="AS29" i="9" s="1"/>
  <c r="AW29" i="9" s="1"/>
  <c r="AL35" i="9"/>
  <c r="AS35" i="9" s="1" a="1"/>
  <c r="AS35" i="9" s="1"/>
  <c r="AW35" i="9" s="1"/>
  <c r="AL36" i="9"/>
  <c r="AS36" i="9" s="1" a="1"/>
  <c r="AS36" i="9" s="1"/>
  <c r="AW36" i="9" s="1"/>
  <c r="AL37" i="9"/>
  <c r="AS37" i="9" s="1" a="1"/>
  <c r="AS37" i="9" s="1"/>
  <c r="AW37" i="9" s="1"/>
  <c r="AL42" i="9"/>
  <c r="AS42" i="9" s="1" a="1"/>
  <c r="AS42" i="9" s="1"/>
  <c r="AW42" i="9" s="1"/>
  <c r="AL43" i="9"/>
  <c r="AS43" i="9" s="1" a="1"/>
  <c r="AS43" i="9" s="1"/>
  <c r="AW43" i="9" s="1"/>
  <c r="AN44" i="9"/>
  <c r="AT44" i="9" s="1"/>
  <c r="AB45" i="9"/>
  <c r="P50" i="9"/>
  <c r="AB50" i="9"/>
  <c r="AL50" i="9" s="1"/>
  <c r="AS50" i="9" s="1" a="1"/>
  <c r="AS50" i="9" s="1"/>
  <c r="AW50" i="9" s="1"/>
  <c r="AP50" i="9"/>
  <c r="AD53" i="9"/>
  <c r="AD65" i="9"/>
  <c r="AD63" i="9"/>
  <c r="AB8" i="9"/>
  <c r="AN9" i="9"/>
  <c r="AP11" i="9"/>
  <c r="AD13" i="9"/>
  <c r="Y72" i="9"/>
  <c r="AD72" i="9" s="1"/>
  <c r="AN39" i="9"/>
  <c r="AT39" i="9" s="1"/>
  <c r="AN40" i="9"/>
  <c r="AT40" i="9" s="1"/>
  <c r="AN41" i="9"/>
  <c r="AT41" i="9" s="1"/>
  <c r="AN42" i="9"/>
  <c r="AT42" i="9" s="1"/>
  <c r="AN43" i="9"/>
  <c r="AT43" i="9" s="1"/>
  <c r="P49" i="9"/>
  <c r="AB49" i="9"/>
  <c r="AL49" i="9" s="1"/>
  <c r="AS49" i="9" s="1" a="1"/>
  <c r="AS49" i="9" s="1"/>
  <c r="AW49" i="9" s="1"/>
  <c r="AP49" i="9"/>
  <c r="AD62" i="9"/>
  <c r="AD70" i="9"/>
  <c r="P48" i="9"/>
  <c r="AB48" i="9"/>
  <c r="AL48" i="9" s="1"/>
  <c r="AS48" i="9" s="1" a="1"/>
  <c r="AS48" i="9" s="1"/>
  <c r="AW48" i="9" s="1"/>
  <c r="AP48" i="9"/>
  <c r="AD59" i="9"/>
  <c r="AN7" i="9"/>
  <c r="AT7" i="9" s="1"/>
  <c r="P8" i="9"/>
  <c r="Y17" i="9"/>
  <c r="AP19" i="9"/>
  <c r="AP20" i="9"/>
  <c r="AP21" i="9"/>
  <c r="AP22" i="9"/>
  <c r="AP23" i="9"/>
  <c r="AP24" i="9"/>
  <c r="AP25" i="9"/>
  <c r="AP26" i="9"/>
  <c r="AP27" i="9"/>
  <c r="AP28" i="9"/>
  <c r="AP29" i="9"/>
  <c r="AP30" i="9"/>
  <c r="AP31" i="9"/>
  <c r="AP32" i="9"/>
  <c r="AP33" i="9"/>
  <c r="AP34" i="9"/>
  <c r="AP35" i="9"/>
  <c r="AP36" i="9"/>
  <c r="AP37" i="9"/>
  <c r="AP38" i="9"/>
  <c r="AP39" i="9"/>
  <c r="AP40" i="9"/>
  <c r="AP41" i="9"/>
  <c r="AP42" i="9"/>
  <c r="AP43" i="9"/>
  <c r="AB44" i="9"/>
  <c r="P45" i="9"/>
  <c r="P47" i="9"/>
  <c r="AB47" i="9"/>
  <c r="AP47" i="9"/>
  <c r="AD51" i="9"/>
  <c r="AD64" i="9"/>
  <c r="AD67" i="9"/>
  <c r="AP4" i="9"/>
  <c r="AP12" i="9"/>
  <c r="AB19" i="9"/>
  <c r="AL19" i="9" s="1"/>
  <c r="AQ71" i="9"/>
  <c r="AD44" i="9"/>
  <c r="AP45" i="9"/>
  <c r="P46" i="9"/>
  <c r="AB46" i="9"/>
  <c r="AP46" i="9"/>
  <c r="AD61" i="9"/>
  <c r="AD69" i="9"/>
  <c r="AD19" i="9"/>
  <c r="AR71" i="9"/>
  <c r="AN51" i="9"/>
  <c r="AT51" i="9" s="1"/>
  <c r="AD66" i="9"/>
  <c r="AP52" i="9"/>
  <c r="AP53" i="9"/>
  <c r="AP54" i="9"/>
  <c r="AP55" i="9"/>
  <c r="AP56" i="9"/>
  <c r="AP57" i="9"/>
  <c r="AP58" i="9"/>
  <c r="AP59" i="9"/>
  <c r="AP60" i="9"/>
  <c r="AP61" i="9"/>
  <c r="AP62" i="9"/>
  <c r="AP63" i="9"/>
  <c r="AP64" i="9"/>
  <c r="AP65" i="9"/>
  <c r="AP66" i="9"/>
  <c r="AP67" i="9"/>
  <c r="AP68" i="9"/>
  <c r="AP69" i="9"/>
  <c r="AP70" i="9"/>
  <c r="AB52" i="9"/>
  <c r="AB53" i="9"/>
  <c r="AB54" i="9"/>
  <c r="AB55" i="9"/>
  <c r="AB56" i="9"/>
  <c r="AL56" i="9" s="1"/>
  <c r="AS56" i="9" s="1" a="1"/>
  <c r="AS56" i="9" s="1"/>
  <c r="AW56" i="9" s="1"/>
  <c r="AB57" i="9"/>
  <c r="AL57" i="9" s="1"/>
  <c r="AS57" i="9" s="1" a="1"/>
  <c r="AS57" i="9" s="1"/>
  <c r="AW57" i="9" s="1"/>
  <c r="AB58" i="9"/>
  <c r="AL58" i="9" s="1"/>
  <c r="AS58" i="9" s="1" a="1"/>
  <c r="AS58" i="9" s="1"/>
  <c r="AW58" i="9" s="1"/>
  <c r="AB59" i="9"/>
  <c r="AB60" i="9"/>
  <c r="AB61" i="9"/>
  <c r="AB62" i="9"/>
  <c r="AB63" i="9"/>
  <c r="AB64" i="9"/>
  <c r="AL64" i="9" s="1"/>
  <c r="AS64" i="9" s="1" a="1"/>
  <c r="AS64" i="9" s="1"/>
  <c r="AW64" i="9" s="1"/>
  <c r="AB65" i="9"/>
  <c r="AL65" i="9" s="1"/>
  <c r="AS65" i="9" s="1" a="1"/>
  <c r="AS65" i="9" s="1"/>
  <c r="AW65" i="9" s="1"/>
  <c r="AB66" i="9"/>
  <c r="AL66" i="9" s="1"/>
  <c r="AS66" i="9" s="1" a="1"/>
  <c r="AS66" i="9" s="1"/>
  <c r="AW66" i="9" s="1"/>
  <c r="AB67" i="9"/>
  <c r="AB68" i="9"/>
  <c r="AB69" i="9"/>
  <c r="AB70" i="9"/>
  <c r="P52" i="9"/>
  <c r="P53" i="9"/>
  <c r="P54" i="9"/>
  <c r="P55" i="9"/>
  <c r="P56" i="9"/>
  <c r="P57" i="9"/>
  <c r="P58" i="9"/>
  <c r="P59" i="9"/>
  <c r="P60" i="9"/>
  <c r="P61" i="9"/>
  <c r="P62" i="9"/>
  <c r="P63" i="9"/>
  <c r="P64" i="9"/>
  <c r="P65" i="9"/>
  <c r="P66" i="9"/>
  <c r="P67" i="9"/>
  <c r="P68" i="9"/>
  <c r="P69" i="9"/>
  <c r="P70" i="9"/>
  <c r="AL54" i="9" l="1"/>
  <c r="AS54" i="9" s="1" a="1"/>
  <c r="AS54" i="9" s="1"/>
  <c r="AW54" i="9" s="1"/>
  <c r="L74" i="9"/>
  <c r="G7" i="3"/>
  <c r="AL15" i="9"/>
  <c r="AS15" i="9" s="1" a="1"/>
  <c r="AS15" i="9" s="1"/>
  <c r="AT15" i="9" s="1"/>
  <c r="AL11" i="9"/>
  <c r="AS11" i="9" s="1" a="1"/>
  <c r="AS11" i="9" s="1"/>
  <c r="AL4" i="9"/>
  <c r="AS4" i="9" s="1" a="1"/>
  <c r="AS4" i="9" s="1"/>
  <c r="AL13" i="9"/>
  <c r="AS13" i="9" s="1" a="1"/>
  <c r="AS13" i="9" s="1"/>
  <c r="AW13" i="9" s="1"/>
  <c r="AL12" i="9"/>
  <c r="AS12" i="9" s="1" a="1"/>
  <c r="AS12" i="9" s="1"/>
  <c r="AT12" i="9" s="1"/>
  <c r="AL7" i="9"/>
  <c r="AS7" i="9" s="1" a="1"/>
  <c r="AS7" i="9" s="1"/>
  <c r="AR74" i="9"/>
  <c r="W7" i="3"/>
  <c r="AH7" i="3" s="1"/>
  <c r="AL9" i="9"/>
  <c r="AS9" i="9" s="1" a="1"/>
  <c r="AS9" i="9" s="1"/>
  <c r="AW9" i="9" s="1"/>
  <c r="AT13" i="9"/>
  <c r="AT6" i="9"/>
  <c r="AP16" i="9"/>
  <c r="AL10" i="9"/>
  <c r="AS10" i="9" s="1" a="1"/>
  <c r="AS10" i="9" s="1"/>
  <c r="AU10" i="9" s="1"/>
  <c r="AL45" i="9"/>
  <c r="AS45" i="9" s="1" a="1"/>
  <c r="AS45" i="9" s="1"/>
  <c r="AW45" i="9" s="1"/>
  <c r="AL70" i="9"/>
  <c r="AS70" i="9" s="1" a="1"/>
  <c r="AS70" i="9" s="1"/>
  <c r="AW70" i="9" s="1"/>
  <c r="AL62" i="9"/>
  <c r="AS62" i="9" s="1" a="1"/>
  <c r="AS62" i="9" s="1"/>
  <c r="AW62" i="9" s="1"/>
  <c r="AL63" i="9"/>
  <c r="AS63" i="9" s="1" a="1"/>
  <c r="AS63" i="9" s="1"/>
  <c r="AW63" i="9" s="1"/>
  <c r="AL46" i="9"/>
  <c r="AS46" i="9" s="1" a="1"/>
  <c r="AS46" i="9" s="1"/>
  <c r="AW46" i="9" s="1"/>
  <c r="AI72" i="9"/>
  <c r="AL44" i="9"/>
  <c r="AS44" i="9" s="1" a="1"/>
  <c r="AS44" i="9" s="1"/>
  <c r="AW44" i="9" s="1"/>
  <c r="E74" i="9"/>
  <c r="AL53" i="9"/>
  <c r="AS53" i="9" s="1" a="1"/>
  <c r="AS53" i="9" s="1"/>
  <c r="AW53" i="9" s="1"/>
  <c r="AL68" i="9"/>
  <c r="AS68" i="9" s="1" a="1"/>
  <c r="AS68" i="9" s="1"/>
  <c r="AW68" i="9" s="1"/>
  <c r="AL60" i="9"/>
  <c r="AS60" i="9" s="1" a="1"/>
  <c r="AS60" i="9" s="1"/>
  <c r="AW60" i="9" s="1"/>
  <c r="AL52" i="9"/>
  <c r="AS52" i="9" s="1" a="1"/>
  <c r="AS52" i="9" s="1"/>
  <c r="AW52" i="9" s="1"/>
  <c r="AL69" i="9"/>
  <c r="AS69" i="9" s="1" a="1"/>
  <c r="AS69" i="9" s="1"/>
  <c r="AW69" i="9" s="1"/>
  <c r="AL67" i="9"/>
  <c r="AS67" i="9" s="1" a="1"/>
  <c r="AS67" i="9" s="1"/>
  <c r="AW67" i="9" s="1"/>
  <c r="AL59" i="9"/>
  <c r="AS59" i="9" s="1" a="1"/>
  <c r="AS59" i="9" s="1"/>
  <c r="AW59" i="9" s="1"/>
  <c r="AL5" i="9"/>
  <c r="AS5" i="9" s="1" a="1"/>
  <c r="AS5" i="9" s="1"/>
  <c r="AU5" i="9" s="1"/>
  <c r="AL61" i="9"/>
  <c r="AS61" i="9" s="1" a="1"/>
  <c r="AS61" i="9" s="1"/>
  <c r="AW61" i="9" s="1"/>
  <c r="J74" i="9"/>
  <c r="AL8" i="9"/>
  <c r="AS8" i="9" s="1" a="1"/>
  <c r="AS8" i="9" s="1"/>
  <c r="AU8" i="9" s="1"/>
  <c r="AL55" i="9"/>
  <c r="AS55" i="9" s="1" a="1"/>
  <c r="AS55" i="9" s="1"/>
  <c r="AW55" i="9" s="1"/>
  <c r="AL47" i="9"/>
  <c r="AS47" i="9" s="1" a="1"/>
  <c r="AS47" i="9" s="1"/>
  <c r="AW47" i="9" s="1"/>
  <c r="AT71" i="9"/>
  <c r="AW4" i="9"/>
  <c r="AU4" i="9"/>
  <c r="AS19" i="9" a="1"/>
  <c r="AS19" i="9" s="1"/>
  <c r="AW12" i="9"/>
  <c r="AU12" i="9"/>
  <c r="AW7" i="9"/>
  <c r="AU7" i="9"/>
  <c r="AW6" i="9"/>
  <c r="AU6" i="9"/>
  <c r="AW15" i="9"/>
  <c r="AU15" i="9"/>
  <c r="AW11" i="9"/>
  <c r="AU11" i="9"/>
  <c r="Y74" i="9"/>
  <c r="AN71" i="9"/>
  <c r="Z17" i="9"/>
  <c r="Z74" i="9" s="1"/>
  <c r="AB72" i="9"/>
  <c r="AI17" i="9"/>
  <c r="AB17" i="9"/>
  <c r="AL14" i="9"/>
  <c r="AS14" i="9" s="1" a="1"/>
  <c r="AS14" i="9" s="1"/>
  <c r="AL3" i="9"/>
  <c r="S74" i="9"/>
  <c r="AP71" i="9"/>
  <c r="AD17" i="9"/>
  <c r="AU13" i="9"/>
  <c r="AN16" i="9"/>
  <c r="AK74" i="9"/>
  <c r="F7" i="3" l="1"/>
  <c r="AU9" i="9"/>
  <c r="AT9" i="9"/>
  <c r="AT8" i="9"/>
  <c r="AW10" i="9"/>
  <c r="AW5" i="9"/>
  <c r="AW8" i="9"/>
  <c r="AL72" i="9"/>
  <c r="AA7" i="9"/>
  <c r="AA3" i="9"/>
  <c r="AA14" i="9"/>
  <c r="AA10" i="9"/>
  <c r="AA6" i="9"/>
  <c r="AA60" i="9"/>
  <c r="AA63" i="9"/>
  <c r="AA19" i="9"/>
  <c r="AA23" i="9"/>
  <c r="AA27" i="9"/>
  <c r="AA31" i="9"/>
  <c r="AA35" i="9"/>
  <c r="AA39" i="9"/>
  <c r="AA43" i="9"/>
  <c r="AA47" i="9"/>
  <c r="AA46" i="9"/>
  <c r="AA8" i="9"/>
  <c r="AA5" i="9"/>
  <c r="AA52" i="9"/>
  <c r="AA65" i="9"/>
  <c r="AA49" i="9"/>
  <c r="AA48" i="9"/>
  <c r="AA50" i="9"/>
  <c r="AA55" i="9"/>
  <c r="AA69" i="9"/>
  <c r="AA53" i="9"/>
  <c r="AA70" i="9"/>
  <c r="AA20" i="9"/>
  <c r="AA24" i="9"/>
  <c r="AA28" i="9"/>
  <c r="AA32" i="9"/>
  <c r="AA36" i="9"/>
  <c r="AA40" i="9"/>
  <c r="AA67" i="9"/>
  <c r="AA61" i="9"/>
  <c r="AA9" i="9"/>
  <c r="AA26" i="9"/>
  <c r="AA45" i="9"/>
  <c r="AA11" i="9"/>
  <c r="AA51" i="9"/>
  <c r="AA59" i="9"/>
  <c r="AA12" i="9"/>
  <c r="AA4" i="9"/>
  <c r="AA68" i="9"/>
  <c r="AA21" i="9"/>
  <c r="AA25" i="9"/>
  <c r="AA29" i="9"/>
  <c r="AA33" i="9"/>
  <c r="AA37" i="9"/>
  <c r="AA41" i="9"/>
  <c r="AA54" i="9"/>
  <c r="AA62" i="9"/>
  <c r="AA15" i="9"/>
  <c r="AA30" i="9"/>
  <c r="AA42" i="9"/>
  <c r="AA13" i="9"/>
  <c r="AA56" i="9"/>
  <c r="AA57" i="9"/>
  <c r="AA44" i="9"/>
  <c r="AA64" i="9"/>
  <c r="AA66" i="9"/>
  <c r="AD74" i="9"/>
  <c r="AA58" i="9"/>
  <c r="AA22" i="9"/>
  <c r="AA34" i="9"/>
  <c r="AA38" i="9"/>
  <c r="AL17" i="9"/>
  <c r="AL74" i="9" s="1"/>
  <c r="AS3" i="9"/>
  <c r="AT3" i="9" s="1"/>
  <c r="AT16" i="9" s="1"/>
  <c r="AS71" i="9"/>
  <c r="AW19" i="9"/>
  <c r="AW72" i="9" s="1"/>
  <c r="AW14" i="9"/>
  <c r="AU14" i="9"/>
  <c r="AB74" i="9"/>
  <c r="P7" i="3" s="1"/>
  <c r="AE7" i="3" l="1"/>
  <c r="AA72" i="9"/>
  <c r="AA74" i="9" s="1"/>
  <c r="AA17" i="9"/>
  <c r="AS16" i="9"/>
  <c r="AW3" i="9"/>
  <c r="AU3" i="9"/>
  <c r="AU16" i="9" s="1"/>
  <c r="AF7" i="3" l="1"/>
  <c r="AG7" i="3"/>
  <c r="AW17" i="9"/>
  <c r="AW74" i="9" s="1"/>
  <c r="P74" i="8"/>
  <c r="O74" i="8"/>
  <c r="N74" i="8"/>
  <c r="M74" i="8"/>
  <c r="K74" i="8"/>
  <c r="I74" i="8"/>
  <c r="AJ72" i="8"/>
  <c r="AH72" i="8"/>
  <c r="AG72" i="8"/>
  <c r="AF72" i="8"/>
  <c r="AR72" i="8" s="1"/>
  <c r="AE72" i="8"/>
  <c r="AC72" i="8"/>
  <c r="X72" i="8"/>
  <c r="W72" i="8"/>
  <c r="U72" i="8"/>
  <c r="T72" i="8"/>
  <c r="R72" i="8"/>
  <c r="Q72" i="8"/>
  <c r="L72" i="8"/>
  <c r="H72" i="8"/>
  <c r="G72" i="8"/>
  <c r="F72" i="8"/>
  <c r="AR70" i="8"/>
  <c r="AQ70" i="8"/>
  <c r="AO70" i="8"/>
  <c r="AU70" i="8" s="1"/>
  <c r="Z70" i="8"/>
  <c r="Y70" i="8"/>
  <c r="V70" i="8"/>
  <c r="AK70" i="8" s="1"/>
  <c r="S70" i="8"/>
  <c r="AN70" i="8" s="1"/>
  <c r="AT70" i="8" s="1"/>
  <c r="O70" i="8"/>
  <c r="E70" i="8"/>
  <c r="J70" i="8" s="1"/>
  <c r="AR69" i="8"/>
  <c r="AQ69" i="8"/>
  <c r="AO69" i="8"/>
  <c r="AU69" i="8" s="1"/>
  <c r="Z69" i="8"/>
  <c r="Y69" i="8"/>
  <c r="V69" i="8"/>
  <c r="AK69" i="8" s="1"/>
  <c r="S69" i="8"/>
  <c r="AN69" i="8" s="1"/>
  <c r="AT69" i="8" s="1"/>
  <c r="O69" i="8"/>
  <c r="E69" i="8"/>
  <c r="J69" i="8" s="1"/>
  <c r="AR68" i="8"/>
  <c r="AQ68" i="8"/>
  <c r="AO68" i="8"/>
  <c r="AU68" i="8" s="1"/>
  <c r="Z68" i="8"/>
  <c r="Y68" i="8"/>
  <c r="V68" i="8"/>
  <c r="AK68" i="8" s="1"/>
  <c r="S68" i="8"/>
  <c r="AN68" i="8" s="1"/>
  <c r="AT68" i="8" s="1"/>
  <c r="O68" i="8"/>
  <c r="E68" i="8"/>
  <c r="J68" i="8" s="1"/>
  <c r="AR67" i="8"/>
  <c r="AQ67" i="8"/>
  <c r="AO67" i="8"/>
  <c r="AU67" i="8" s="1"/>
  <c r="Z67" i="8"/>
  <c r="Y67" i="8"/>
  <c r="V67" i="8"/>
  <c r="AK67" i="8" s="1"/>
  <c r="S67" i="8"/>
  <c r="AN67" i="8" s="1"/>
  <c r="AT67" i="8" s="1"/>
  <c r="O67" i="8"/>
  <c r="E67" i="8"/>
  <c r="J67" i="8" s="1"/>
  <c r="AR66" i="8"/>
  <c r="AQ66" i="8"/>
  <c r="AO66" i="8"/>
  <c r="AU66" i="8" s="1"/>
  <c r="Z66" i="8"/>
  <c r="Y66" i="8"/>
  <c r="V66" i="8"/>
  <c r="AK66" i="8" s="1"/>
  <c r="S66" i="8"/>
  <c r="AN66" i="8" s="1"/>
  <c r="AT66" i="8" s="1"/>
  <c r="O66" i="8"/>
  <c r="E66" i="8"/>
  <c r="J66" i="8" s="1"/>
  <c r="AR65" i="8"/>
  <c r="AQ65" i="8"/>
  <c r="AO65" i="8"/>
  <c r="AU65" i="8" s="1"/>
  <c r="Z65" i="8"/>
  <c r="Y65" i="8"/>
  <c r="V65" i="8"/>
  <c r="AK65" i="8" s="1"/>
  <c r="S65" i="8"/>
  <c r="AN65" i="8" s="1"/>
  <c r="AT65" i="8" s="1"/>
  <c r="O65" i="8"/>
  <c r="E65" i="8"/>
  <c r="J65" i="8" s="1"/>
  <c r="AR64" i="8"/>
  <c r="AQ64" i="8"/>
  <c r="AO64" i="8"/>
  <c r="AU64" i="8" s="1"/>
  <c r="Z64" i="8"/>
  <c r="Y64" i="8"/>
  <c r="V64" i="8"/>
  <c r="AK64" i="8" s="1"/>
  <c r="S64" i="8"/>
  <c r="AN64" i="8" s="1"/>
  <c r="AT64" i="8" s="1"/>
  <c r="O64" i="8"/>
  <c r="E64" i="8"/>
  <c r="J64" i="8" s="1"/>
  <c r="AR63" i="8"/>
  <c r="AQ63" i="8"/>
  <c r="AO63" i="8"/>
  <c r="AU63" i="8" s="1"/>
  <c r="Z63" i="8"/>
  <c r="Y63" i="8"/>
  <c r="V63" i="8"/>
  <c r="AK63" i="8" s="1"/>
  <c r="S63" i="8"/>
  <c r="AN63" i="8" s="1"/>
  <c r="AT63" i="8" s="1"/>
  <c r="O63" i="8"/>
  <c r="E63" i="8"/>
  <c r="J63" i="8" s="1"/>
  <c r="AR62" i="8"/>
  <c r="AQ62" i="8"/>
  <c r="AO62" i="8"/>
  <c r="AU62" i="8" s="1"/>
  <c r="Z62" i="8"/>
  <c r="Y62" i="8"/>
  <c r="V62" i="8"/>
  <c r="AK62" i="8" s="1"/>
  <c r="S62" i="8"/>
  <c r="AN62" i="8" s="1"/>
  <c r="AT62" i="8" s="1"/>
  <c r="O62" i="8"/>
  <c r="E62" i="8"/>
  <c r="J62" i="8" s="1"/>
  <c r="AR61" i="8"/>
  <c r="AQ61" i="8"/>
  <c r="AO61" i="8"/>
  <c r="AU61" i="8" s="1"/>
  <c r="Z61" i="8"/>
  <c r="Y61" i="8"/>
  <c r="V61" i="8"/>
  <c r="AK61" i="8" s="1"/>
  <c r="S61" i="8"/>
  <c r="AN61" i="8" s="1"/>
  <c r="AT61" i="8" s="1"/>
  <c r="O61" i="8"/>
  <c r="E61" i="8"/>
  <c r="J61" i="8" s="1"/>
  <c r="AR60" i="8"/>
  <c r="AQ60" i="8"/>
  <c r="AO60" i="8"/>
  <c r="AU60" i="8" s="1"/>
  <c r="Z60" i="8"/>
  <c r="Y60" i="8"/>
  <c r="V60" i="8"/>
  <c r="AK60" i="8" s="1"/>
  <c r="S60" i="8"/>
  <c r="AN60" i="8" s="1"/>
  <c r="AT60" i="8" s="1"/>
  <c r="O60" i="8"/>
  <c r="E60" i="8"/>
  <c r="J60" i="8" s="1"/>
  <c r="AR59" i="8"/>
  <c r="AQ59" i="8"/>
  <c r="AO59" i="8"/>
  <c r="AU59" i="8" s="1"/>
  <c r="Z59" i="8"/>
  <c r="Y59" i="8"/>
  <c r="V59" i="8"/>
  <c r="AK59" i="8" s="1"/>
  <c r="S59" i="8"/>
  <c r="AN59" i="8" s="1"/>
  <c r="AT59" i="8" s="1"/>
  <c r="O59" i="8"/>
  <c r="E59" i="8"/>
  <c r="J59" i="8" s="1"/>
  <c r="AR58" i="8"/>
  <c r="AQ58" i="8"/>
  <c r="AO58" i="8"/>
  <c r="AU58" i="8" s="1"/>
  <c r="Z58" i="8"/>
  <c r="Y58" i="8"/>
  <c r="V58" i="8"/>
  <c r="AK58" i="8" s="1"/>
  <c r="S58" i="8"/>
  <c r="AN58" i="8" s="1"/>
  <c r="AT58" i="8" s="1"/>
  <c r="O58" i="8"/>
  <c r="E58" i="8"/>
  <c r="J58" i="8" s="1"/>
  <c r="AR57" i="8"/>
  <c r="AQ57" i="8"/>
  <c r="AO57" i="8"/>
  <c r="AU57" i="8" s="1"/>
  <c r="Z57" i="8"/>
  <c r="Y57" i="8"/>
  <c r="V57" i="8"/>
  <c r="AK57" i="8" s="1"/>
  <c r="S57" i="8"/>
  <c r="AN57" i="8" s="1"/>
  <c r="AT57" i="8" s="1"/>
  <c r="O57" i="8"/>
  <c r="E57" i="8"/>
  <c r="J57" i="8" s="1"/>
  <c r="AR56" i="8"/>
  <c r="AQ56" i="8"/>
  <c r="AO56" i="8"/>
  <c r="AU56" i="8" s="1"/>
  <c r="Z56" i="8"/>
  <c r="Y56" i="8"/>
  <c r="V56" i="8"/>
  <c r="AK56" i="8" s="1"/>
  <c r="S56" i="8"/>
  <c r="AN56" i="8" s="1"/>
  <c r="AT56" i="8" s="1"/>
  <c r="O56" i="8"/>
  <c r="E56" i="8"/>
  <c r="J56" i="8" s="1"/>
  <c r="AR55" i="8"/>
  <c r="AQ55" i="8"/>
  <c r="AO55" i="8"/>
  <c r="AU55" i="8" s="1"/>
  <c r="Z55" i="8"/>
  <c r="Y55" i="8"/>
  <c r="AD55" i="8" s="1"/>
  <c r="V55" i="8"/>
  <c r="AK55" i="8" s="1"/>
  <c r="S55" i="8"/>
  <c r="AN55" i="8" s="1"/>
  <c r="AT55" i="8" s="1"/>
  <c r="O55" i="8"/>
  <c r="E55" i="8"/>
  <c r="J55" i="8" s="1"/>
  <c r="AR54" i="8"/>
  <c r="AQ54" i="8"/>
  <c r="AO54" i="8"/>
  <c r="AU54" i="8" s="1"/>
  <c r="Z54" i="8"/>
  <c r="Y54" i="8"/>
  <c r="V54" i="8"/>
  <c r="AK54" i="8" s="1"/>
  <c r="S54" i="8"/>
  <c r="AN54" i="8" s="1"/>
  <c r="AT54" i="8" s="1"/>
  <c r="O54" i="8"/>
  <c r="E54" i="8"/>
  <c r="J54" i="8" s="1"/>
  <c r="AU53" i="8"/>
  <c r="AR53" i="8"/>
  <c r="AQ53" i="8"/>
  <c r="AO53" i="8"/>
  <c r="Z53" i="8"/>
  <c r="Y53" i="8"/>
  <c r="V53" i="8"/>
  <c r="AK53" i="8" s="1"/>
  <c r="S53" i="8"/>
  <c r="AN53" i="8" s="1"/>
  <c r="AT53" i="8" s="1"/>
  <c r="O53" i="8"/>
  <c r="E53" i="8"/>
  <c r="J53" i="8" s="1"/>
  <c r="AR52" i="8"/>
  <c r="AQ52" i="8"/>
  <c r="AO52" i="8"/>
  <c r="AU52" i="8" s="1"/>
  <c r="Z52" i="8"/>
  <c r="Y52" i="8"/>
  <c r="AD52" i="8" s="1"/>
  <c r="V52" i="8"/>
  <c r="AK52" i="8" s="1"/>
  <c r="S52" i="8"/>
  <c r="AN52" i="8" s="1"/>
  <c r="AT52" i="8" s="1"/>
  <c r="O52" i="8"/>
  <c r="E52" i="8"/>
  <c r="J52" i="8" s="1"/>
  <c r="AR51" i="8"/>
  <c r="AQ51" i="8"/>
  <c r="AO51" i="8"/>
  <c r="AU51" i="8" s="1"/>
  <c r="Z51" i="8"/>
  <c r="Y51" i="8"/>
  <c r="V51" i="8"/>
  <c r="AK51" i="8" s="1"/>
  <c r="S51" i="8"/>
  <c r="AN51" i="8" s="1"/>
  <c r="AT51" i="8" s="1"/>
  <c r="O51" i="8"/>
  <c r="E51" i="8"/>
  <c r="J51" i="8" s="1"/>
  <c r="AR50" i="8"/>
  <c r="AQ50" i="8"/>
  <c r="AO50" i="8"/>
  <c r="AU50" i="8" s="1"/>
  <c r="Z50" i="8"/>
  <c r="Y50" i="8"/>
  <c r="V50" i="8"/>
  <c r="AK50" i="8" s="1"/>
  <c r="S50" i="8"/>
  <c r="AN50" i="8" s="1"/>
  <c r="AT50" i="8" s="1"/>
  <c r="O50" i="8"/>
  <c r="E50" i="8"/>
  <c r="J50" i="8" s="1"/>
  <c r="AR49" i="8"/>
  <c r="AQ49" i="8"/>
  <c r="AO49" i="8"/>
  <c r="AU49" i="8" s="1"/>
  <c r="Z49" i="8"/>
  <c r="Y49" i="8"/>
  <c r="AD49" i="8" s="1"/>
  <c r="V49" i="8"/>
  <c r="AK49" i="8" s="1"/>
  <c r="S49" i="8"/>
  <c r="AN49" i="8" s="1"/>
  <c r="AT49" i="8" s="1"/>
  <c r="O49" i="8"/>
  <c r="E49" i="8"/>
  <c r="J49" i="8" s="1"/>
  <c r="AR48" i="8"/>
  <c r="AQ48" i="8"/>
  <c r="AO48" i="8"/>
  <c r="AU48" i="8" s="1"/>
  <c r="Z48" i="8"/>
  <c r="Y48" i="8"/>
  <c r="V48" i="8"/>
  <c r="AK48" i="8" s="1"/>
  <c r="S48" i="8"/>
  <c r="AN48" i="8" s="1"/>
  <c r="AT48" i="8" s="1"/>
  <c r="O48" i="8"/>
  <c r="E48" i="8"/>
  <c r="J48" i="8" s="1"/>
  <c r="AR47" i="8"/>
  <c r="AQ47" i="8"/>
  <c r="AO47" i="8"/>
  <c r="AU47" i="8" s="1"/>
  <c r="Z47" i="8"/>
  <c r="Y47" i="8"/>
  <c r="V47" i="8"/>
  <c r="AK47" i="8" s="1"/>
  <c r="S47" i="8"/>
  <c r="AN47" i="8" s="1"/>
  <c r="AT47" i="8" s="1"/>
  <c r="O47" i="8"/>
  <c r="E47" i="8"/>
  <c r="J47" i="8" s="1"/>
  <c r="AR46" i="8"/>
  <c r="AQ46" i="8"/>
  <c r="AO46" i="8"/>
  <c r="AU46" i="8" s="1"/>
  <c r="Z46" i="8"/>
  <c r="Y46" i="8"/>
  <c r="AD46" i="8" s="1"/>
  <c r="V46" i="8"/>
  <c r="AK46" i="8" s="1"/>
  <c r="S46" i="8"/>
  <c r="O46" i="8"/>
  <c r="E46" i="8"/>
  <c r="J46" i="8" s="1"/>
  <c r="AR45" i="8"/>
  <c r="AQ45" i="8"/>
  <c r="AO45" i="8"/>
  <c r="AU45" i="8" s="1"/>
  <c r="Z45" i="8"/>
  <c r="Y45" i="8"/>
  <c r="V45" i="8"/>
  <c r="AK45" i="8" s="1"/>
  <c r="S45" i="8"/>
  <c r="AN45" i="8" s="1"/>
  <c r="AT45" i="8" s="1"/>
  <c r="O45" i="8"/>
  <c r="E45" i="8"/>
  <c r="J45" i="8" s="1"/>
  <c r="AR44" i="8"/>
  <c r="AQ44" i="8"/>
  <c r="AO44" i="8"/>
  <c r="AU44" i="8" s="1"/>
  <c r="Z44" i="8"/>
  <c r="Y44" i="8"/>
  <c r="AD44" i="8" s="1"/>
  <c r="V44" i="8"/>
  <c r="AK44" i="8" s="1"/>
  <c r="S44" i="8"/>
  <c r="AN44" i="8" s="1"/>
  <c r="AT44" i="8" s="1"/>
  <c r="O44" i="8"/>
  <c r="E44" i="8"/>
  <c r="J44" i="8" s="1"/>
  <c r="AR43" i="8"/>
  <c r="AQ43" i="8"/>
  <c r="AO43" i="8"/>
  <c r="AU43" i="8" s="1"/>
  <c r="Z43" i="8"/>
  <c r="Y43" i="8"/>
  <c r="AD43" i="8" s="1"/>
  <c r="V43" i="8"/>
  <c r="AK43" i="8" s="1"/>
  <c r="S43" i="8"/>
  <c r="AN43" i="8" s="1"/>
  <c r="AT43" i="8" s="1"/>
  <c r="O43" i="8"/>
  <c r="E43" i="8"/>
  <c r="J43" i="8" s="1"/>
  <c r="AR42" i="8"/>
  <c r="AQ42" i="8"/>
  <c r="AO42" i="8"/>
  <c r="AU42" i="8" s="1"/>
  <c r="Z42" i="8"/>
  <c r="Y42" i="8"/>
  <c r="AD42" i="8" s="1"/>
  <c r="V42" i="8"/>
  <c r="AK42" i="8" s="1"/>
  <c r="S42" i="8"/>
  <c r="AN42" i="8" s="1"/>
  <c r="AT42" i="8" s="1"/>
  <c r="O42" i="8"/>
  <c r="E42" i="8"/>
  <c r="J42" i="8" s="1"/>
  <c r="AR41" i="8"/>
  <c r="AQ41" i="8"/>
  <c r="AO41" i="8"/>
  <c r="AU41" i="8" s="1"/>
  <c r="Z41" i="8"/>
  <c r="Y41" i="8"/>
  <c r="AD41" i="8" s="1"/>
  <c r="V41" i="8"/>
  <c r="AK41" i="8" s="1"/>
  <c r="S41" i="8"/>
  <c r="AN41" i="8" s="1"/>
  <c r="AT41" i="8" s="1"/>
  <c r="O41" i="8"/>
  <c r="E41" i="8"/>
  <c r="J41" i="8" s="1"/>
  <c r="AR40" i="8"/>
  <c r="AQ40" i="8"/>
  <c r="AO40" i="8"/>
  <c r="AU40" i="8" s="1"/>
  <c r="Z40" i="8"/>
  <c r="Y40" i="8"/>
  <c r="AD40" i="8" s="1"/>
  <c r="V40" i="8"/>
  <c r="AK40" i="8" s="1"/>
  <c r="S40" i="8"/>
  <c r="AN40" i="8" s="1"/>
  <c r="AT40" i="8" s="1"/>
  <c r="O40" i="8"/>
  <c r="E40" i="8"/>
  <c r="J40" i="8" s="1"/>
  <c r="AR39" i="8"/>
  <c r="AQ39" i="8"/>
  <c r="AO39" i="8"/>
  <c r="AU39" i="8" s="1"/>
  <c r="Z39" i="8"/>
  <c r="Y39" i="8"/>
  <c r="AD39" i="8" s="1"/>
  <c r="V39" i="8"/>
  <c r="AK39" i="8" s="1"/>
  <c r="S39" i="8"/>
  <c r="AN39" i="8" s="1"/>
  <c r="AT39" i="8" s="1"/>
  <c r="O39" i="8"/>
  <c r="E39" i="8"/>
  <c r="J39" i="8" s="1"/>
  <c r="AR38" i="8"/>
  <c r="AQ38" i="8"/>
  <c r="AO38" i="8"/>
  <c r="AU38" i="8" s="1"/>
  <c r="Z38" i="8"/>
  <c r="Y38" i="8"/>
  <c r="AD38" i="8" s="1"/>
  <c r="V38" i="8"/>
  <c r="AK38" i="8" s="1"/>
  <c r="S38" i="8"/>
  <c r="AN38" i="8" s="1"/>
  <c r="AT38" i="8" s="1"/>
  <c r="O38" i="8"/>
  <c r="E38" i="8"/>
  <c r="J38" i="8" s="1"/>
  <c r="AR37" i="8"/>
  <c r="AQ37" i="8"/>
  <c r="AO37" i="8"/>
  <c r="AU37" i="8" s="1"/>
  <c r="Z37" i="8"/>
  <c r="Y37" i="8"/>
  <c r="AD37" i="8" s="1"/>
  <c r="V37" i="8"/>
  <c r="AK37" i="8" s="1"/>
  <c r="S37" i="8"/>
  <c r="AN37" i="8" s="1"/>
  <c r="AT37" i="8" s="1"/>
  <c r="O37" i="8"/>
  <c r="E37" i="8"/>
  <c r="J37" i="8" s="1"/>
  <c r="AR36" i="8"/>
  <c r="AQ36" i="8"/>
  <c r="AO36" i="8"/>
  <c r="AU36" i="8" s="1"/>
  <c r="Z36" i="8"/>
  <c r="Y36" i="8"/>
  <c r="AD36" i="8" s="1"/>
  <c r="V36" i="8"/>
  <c r="AK36" i="8" s="1"/>
  <c r="S36" i="8"/>
  <c r="AN36" i="8" s="1"/>
  <c r="AT36" i="8" s="1"/>
  <c r="O36" i="8"/>
  <c r="E36" i="8"/>
  <c r="J36" i="8" s="1"/>
  <c r="AR35" i="8"/>
  <c r="AQ35" i="8"/>
  <c r="AO35" i="8"/>
  <c r="AU35" i="8" s="1"/>
  <c r="Z35" i="8"/>
  <c r="Y35" i="8"/>
  <c r="AD35" i="8" s="1"/>
  <c r="V35" i="8"/>
  <c r="AK35" i="8" s="1"/>
  <c r="S35" i="8"/>
  <c r="AN35" i="8" s="1"/>
  <c r="AT35" i="8" s="1"/>
  <c r="O35" i="8"/>
  <c r="E35" i="8"/>
  <c r="J35" i="8" s="1"/>
  <c r="AR34" i="8"/>
  <c r="AQ34" i="8"/>
  <c r="AO34" i="8"/>
  <c r="AU34" i="8" s="1"/>
  <c r="Z34" i="8"/>
  <c r="Y34" i="8"/>
  <c r="AD34" i="8" s="1"/>
  <c r="V34" i="8"/>
  <c r="AK34" i="8" s="1"/>
  <c r="S34" i="8"/>
  <c r="AN34" i="8" s="1"/>
  <c r="AT34" i="8" s="1"/>
  <c r="O34" i="8"/>
  <c r="E34" i="8"/>
  <c r="J34" i="8" s="1"/>
  <c r="AR33" i="8"/>
  <c r="AQ33" i="8"/>
  <c r="AO33" i="8"/>
  <c r="AU33" i="8" s="1"/>
  <c r="Z33" i="8"/>
  <c r="Y33" i="8"/>
  <c r="AD33" i="8" s="1"/>
  <c r="V33" i="8"/>
  <c r="AK33" i="8" s="1"/>
  <c r="S33" i="8"/>
  <c r="AN33" i="8" s="1"/>
  <c r="AT33" i="8" s="1"/>
  <c r="O33" i="8"/>
  <c r="E33" i="8"/>
  <c r="J33" i="8" s="1"/>
  <c r="AR32" i="8"/>
  <c r="AQ32" i="8"/>
  <c r="AO32" i="8"/>
  <c r="AU32" i="8" s="1"/>
  <c r="Z32" i="8"/>
  <c r="Y32" i="8"/>
  <c r="AD32" i="8" s="1"/>
  <c r="V32" i="8"/>
  <c r="AK32" i="8" s="1"/>
  <c r="S32" i="8"/>
  <c r="AN32" i="8" s="1"/>
  <c r="AT32" i="8" s="1"/>
  <c r="O32" i="8"/>
  <c r="E32" i="8"/>
  <c r="J32" i="8" s="1"/>
  <c r="AR31" i="8"/>
  <c r="AQ31" i="8"/>
  <c r="AO31" i="8"/>
  <c r="AU31" i="8" s="1"/>
  <c r="Z31" i="8"/>
  <c r="Y31" i="8"/>
  <c r="AD31" i="8" s="1"/>
  <c r="V31" i="8"/>
  <c r="AK31" i="8" s="1"/>
  <c r="S31" i="8"/>
  <c r="AN31" i="8" s="1"/>
  <c r="AT31" i="8" s="1"/>
  <c r="O31" i="8"/>
  <c r="E31" i="8"/>
  <c r="J31" i="8" s="1"/>
  <c r="AR30" i="8"/>
  <c r="AQ30" i="8"/>
  <c r="AO30" i="8"/>
  <c r="AU30" i="8" s="1"/>
  <c r="Z30" i="8"/>
  <c r="Y30" i="8"/>
  <c r="AD30" i="8" s="1"/>
  <c r="V30" i="8"/>
  <c r="AK30" i="8" s="1"/>
  <c r="S30" i="8"/>
  <c r="AN30" i="8" s="1"/>
  <c r="AT30" i="8" s="1"/>
  <c r="O30" i="8"/>
  <c r="E30" i="8"/>
  <c r="J30" i="8" s="1"/>
  <c r="AR29" i="8"/>
  <c r="AQ29" i="8"/>
  <c r="AO29" i="8"/>
  <c r="AU29" i="8" s="1"/>
  <c r="Z29" i="8"/>
  <c r="Y29" i="8"/>
  <c r="AD29" i="8" s="1"/>
  <c r="V29" i="8"/>
  <c r="AK29" i="8" s="1"/>
  <c r="S29" i="8"/>
  <c r="AN29" i="8" s="1"/>
  <c r="AT29" i="8" s="1"/>
  <c r="O29" i="8"/>
  <c r="E29" i="8"/>
  <c r="J29" i="8" s="1"/>
  <c r="AR28" i="8"/>
  <c r="AQ28" i="8"/>
  <c r="AO28" i="8"/>
  <c r="AU28" i="8" s="1"/>
  <c r="Z28" i="8"/>
  <c r="Y28" i="8"/>
  <c r="V28" i="8"/>
  <c r="AK28" i="8" s="1"/>
  <c r="S28" i="8"/>
  <c r="AN28" i="8" s="1"/>
  <c r="AT28" i="8" s="1"/>
  <c r="O28" i="8"/>
  <c r="E28" i="8"/>
  <c r="J28" i="8" s="1"/>
  <c r="AR27" i="8"/>
  <c r="AQ27" i="8"/>
  <c r="AO27" i="8"/>
  <c r="AU27" i="8" s="1"/>
  <c r="Z27" i="8"/>
  <c r="Y27" i="8"/>
  <c r="V27" i="8"/>
  <c r="AK27" i="8" s="1"/>
  <c r="S27" i="8"/>
  <c r="AN27" i="8" s="1"/>
  <c r="AT27" i="8" s="1"/>
  <c r="O27" i="8"/>
  <c r="E27" i="8"/>
  <c r="J27" i="8" s="1"/>
  <c r="AR26" i="8"/>
  <c r="AQ26" i="8"/>
  <c r="AO26" i="8"/>
  <c r="AU26" i="8" s="1"/>
  <c r="Z26" i="8"/>
  <c r="Y26" i="8"/>
  <c r="V26" i="8"/>
  <c r="AK26" i="8" s="1"/>
  <c r="S26" i="8"/>
  <c r="AN26" i="8" s="1"/>
  <c r="AT26" i="8" s="1"/>
  <c r="O26" i="8"/>
  <c r="E26" i="8"/>
  <c r="J26" i="8" s="1"/>
  <c r="AR25" i="8"/>
  <c r="AQ25" i="8"/>
  <c r="AO25" i="8"/>
  <c r="AU25" i="8" s="1"/>
  <c r="Z25" i="8"/>
  <c r="Y25" i="8"/>
  <c r="V25" i="8"/>
  <c r="AK25" i="8" s="1"/>
  <c r="S25" i="8"/>
  <c r="AN25" i="8" s="1"/>
  <c r="AT25" i="8" s="1"/>
  <c r="O25" i="8"/>
  <c r="E25" i="8"/>
  <c r="J25" i="8" s="1"/>
  <c r="AR24" i="8"/>
  <c r="AQ24" i="8"/>
  <c r="AO24" i="8"/>
  <c r="AU24" i="8" s="1"/>
  <c r="Z24" i="8"/>
  <c r="Y24" i="8"/>
  <c r="V24" i="8"/>
  <c r="AK24" i="8" s="1"/>
  <c r="S24" i="8"/>
  <c r="AN24" i="8" s="1"/>
  <c r="AT24" i="8" s="1"/>
  <c r="O24" i="8"/>
  <c r="E24" i="8"/>
  <c r="J24" i="8" s="1"/>
  <c r="AR23" i="8"/>
  <c r="AQ23" i="8"/>
  <c r="AO23" i="8"/>
  <c r="AU23" i="8" s="1"/>
  <c r="Z23" i="8"/>
  <c r="Y23" i="8"/>
  <c r="V23" i="8"/>
  <c r="AK23" i="8" s="1"/>
  <c r="S23" i="8"/>
  <c r="AN23" i="8" s="1"/>
  <c r="AT23" i="8" s="1"/>
  <c r="O23" i="8"/>
  <c r="E23" i="8"/>
  <c r="J23" i="8" s="1"/>
  <c r="AR22" i="8"/>
  <c r="AQ22" i="8"/>
  <c r="AO22" i="8"/>
  <c r="AU22" i="8" s="1"/>
  <c r="Z22" i="8"/>
  <c r="Y22" i="8"/>
  <c r="V22" i="8"/>
  <c r="AK22" i="8" s="1"/>
  <c r="S22" i="8"/>
  <c r="AN22" i="8" s="1"/>
  <c r="AT22" i="8" s="1"/>
  <c r="O22" i="8"/>
  <c r="E22" i="8"/>
  <c r="J22" i="8" s="1"/>
  <c r="AR21" i="8"/>
  <c r="AQ21" i="8"/>
  <c r="AO21" i="8"/>
  <c r="AU21" i="8" s="1"/>
  <c r="Z21" i="8"/>
  <c r="Y21" i="8"/>
  <c r="V21" i="8"/>
  <c r="AK21" i="8" s="1"/>
  <c r="S21" i="8"/>
  <c r="AP21" i="8" s="1"/>
  <c r="O21" i="8"/>
  <c r="E21" i="8"/>
  <c r="J21" i="8" s="1"/>
  <c r="AR20" i="8"/>
  <c r="AQ20" i="8"/>
  <c r="AO20" i="8"/>
  <c r="AU20" i="8" s="1"/>
  <c r="Z20" i="8"/>
  <c r="Y20" i="8"/>
  <c r="V20" i="8"/>
  <c r="AK20" i="8" s="1"/>
  <c r="S20" i="8"/>
  <c r="AB20" i="8" s="1"/>
  <c r="P20" i="8"/>
  <c r="O20" i="8"/>
  <c r="E20" i="8"/>
  <c r="J20" i="8" s="1"/>
  <c r="AR19" i="8"/>
  <c r="AQ19" i="8"/>
  <c r="AO19" i="8"/>
  <c r="AO71" i="8" s="1"/>
  <c r="Z19" i="8"/>
  <c r="Y19" i="8"/>
  <c r="AD19" i="8" s="1"/>
  <c r="V19" i="8"/>
  <c r="S19" i="8"/>
  <c r="O19" i="8"/>
  <c r="E19" i="8"/>
  <c r="AJ17" i="8"/>
  <c r="AJ74" i="8" s="1"/>
  <c r="U6" i="3" s="1"/>
  <c r="AH17" i="8"/>
  <c r="AH74" i="8" s="1"/>
  <c r="AG17" i="8"/>
  <c r="AG74" i="8" s="1"/>
  <c r="X6" i="3" s="1"/>
  <c r="AF17" i="8"/>
  <c r="L17" i="8"/>
  <c r="H17" i="8"/>
  <c r="H74" i="8" s="1"/>
  <c r="G17" i="8"/>
  <c r="G74" i="8" s="1"/>
  <c r="F17" i="8"/>
  <c r="F74" i="8" s="1"/>
  <c r="AP15" i="8"/>
  <c r="AO15" i="8"/>
  <c r="AK15" i="8"/>
  <c r="AB15" i="8"/>
  <c r="Z15" i="8"/>
  <c r="P15" i="8"/>
  <c r="O15" i="8"/>
  <c r="E15" i="8"/>
  <c r="J15" i="8" s="1"/>
  <c r="AO14" i="8"/>
  <c r="Z14" i="8"/>
  <c r="O14" i="8"/>
  <c r="E14" i="8"/>
  <c r="J14" i="8" s="1"/>
  <c r="AO13" i="8"/>
  <c r="Z13" i="8"/>
  <c r="O13" i="8"/>
  <c r="E13" i="8"/>
  <c r="J13" i="8" s="1"/>
  <c r="AO12" i="8"/>
  <c r="Z12" i="8"/>
  <c r="O12" i="8"/>
  <c r="E12" i="8"/>
  <c r="J12" i="8" s="1"/>
  <c r="AO11" i="8"/>
  <c r="Z11" i="8"/>
  <c r="O11" i="8"/>
  <c r="E11" i="8"/>
  <c r="J11" i="8" s="1"/>
  <c r="AO10" i="8"/>
  <c r="Z10" i="8"/>
  <c r="O10" i="8"/>
  <c r="E10" i="8"/>
  <c r="J10" i="8" s="1"/>
  <c r="AO9" i="8"/>
  <c r="Z9" i="8"/>
  <c r="O9" i="8"/>
  <c r="E9" i="8"/>
  <c r="J9" i="8" s="1"/>
  <c r="AO8" i="8"/>
  <c r="Z8" i="8"/>
  <c r="O8" i="8"/>
  <c r="E8" i="8"/>
  <c r="J8" i="8" s="1"/>
  <c r="AO7" i="8"/>
  <c r="Z7" i="8"/>
  <c r="O7" i="8"/>
  <c r="E7" i="8"/>
  <c r="J7" i="8" s="1"/>
  <c r="AO6" i="8"/>
  <c r="Z6" i="8"/>
  <c r="O6" i="8"/>
  <c r="E6" i="8"/>
  <c r="J6" i="8" s="1"/>
  <c r="AO5" i="8"/>
  <c r="Z5" i="8"/>
  <c r="O5" i="8"/>
  <c r="E5" i="8"/>
  <c r="J5" i="8" s="1"/>
  <c r="AO4" i="8"/>
  <c r="Z4" i="8"/>
  <c r="O4" i="8"/>
  <c r="E4" i="8"/>
  <c r="J4" i="8" s="1"/>
  <c r="AO3" i="8"/>
  <c r="Z3" i="8"/>
  <c r="O3" i="8"/>
  <c r="U18" i="3" l="1"/>
  <c r="X14" i="3"/>
  <c r="X18" i="3"/>
  <c r="AQ71" i="8"/>
  <c r="AN20" i="8"/>
  <c r="AT20" i="8" s="1"/>
  <c r="S72" i="8"/>
  <c r="L74" i="8"/>
  <c r="G6" i="3"/>
  <c r="V72" i="8"/>
  <c r="AF74" i="8"/>
  <c r="W6" i="3" s="1"/>
  <c r="Z72" i="8"/>
  <c r="AB24" i="8"/>
  <c r="AH4" i="3"/>
  <c r="E17" i="8"/>
  <c r="P19" i="8"/>
  <c r="AP44" i="8"/>
  <c r="AP20" i="8"/>
  <c r="AP42" i="8"/>
  <c r="P33" i="8"/>
  <c r="AB44" i="8"/>
  <c r="AP24" i="8"/>
  <c r="P26" i="8"/>
  <c r="P45" i="8"/>
  <c r="AI10" i="8"/>
  <c r="AI10" i="13" s="1"/>
  <c r="AL10" i="13" s="1"/>
  <c r="AS10" i="13" s="1" a="1"/>
  <c r="AS10" i="13" s="1"/>
  <c r="AI9" i="8"/>
  <c r="AI9" i="13" s="1"/>
  <c r="AL9" i="13" s="1"/>
  <c r="AS9" i="13" s="1" a="1"/>
  <c r="AS9" i="13" s="1"/>
  <c r="AI11" i="8"/>
  <c r="AI11" i="13" s="1"/>
  <c r="AL11" i="13" s="1"/>
  <c r="AS11" i="13" s="1" a="1"/>
  <c r="AS11" i="13" s="1"/>
  <c r="AI4" i="8"/>
  <c r="AI4" i="13" s="1"/>
  <c r="AL4" i="13" s="1"/>
  <c r="AS4" i="13" s="1" a="1"/>
  <c r="AS4" i="13" s="1"/>
  <c r="AT4" i="13" s="1"/>
  <c r="AI12" i="8"/>
  <c r="AI12" i="13" s="1"/>
  <c r="AL12" i="13" s="1"/>
  <c r="AS12" i="13" s="1" a="1"/>
  <c r="AS12" i="13" s="1"/>
  <c r="AI5" i="8"/>
  <c r="AI5" i="13" s="1"/>
  <c r="AL5" i="13" s="1"/>
  <c r="AS5" i="13" s="1" a="1"/>
  <c r="AS5" i="13" s="1"/>
  <c r="AT5" i="13" s="1"/>
  <c r="AI13" i="8"/>
  <c r="AI13" i="13" s="1"/>
  <c r="AL13" i="13" s="1"/>
  <c r="AS13" i="13" s="1" a="1"/>
  <c r="AS13" i="13" s="1"/>
  <c r="AI6" i="8"/>
  <c r="AI6" i="13" s="1"/>
  <c r="AL6" i="13" s="1"/>
  <c r="AS6" i="13" s="1" a="1"/>
  <c r="AS6" i="13" s="1"/>
  <c r="AI14" i="8"/>
  <c r="AI14" i="13" s="1"/>
  <c r="AL14" i="13" s="1"/>
  <c r="AS14" i="13" s="1" a="1"/>
  <c r="AS14" i="13" s="1"/>
  <c r="AI7" i="8"/>
  <c r="AI7" i="13" s="1"/>
  <c r="AL7" i="13" s="1"/>
  <c r="AS7" i="13" s="1" a="1"/>
  <c r="AS7" i="13" s="1"/>
  <c r="AT7" i="13" s="1"/>
  <c r="AI15" i="8"/>
  <c r="AI15" i="13" s="1"/>
  <c r="AL15" i="13" s="1"/>
  <c r="AS15" i="13" s="1" a="1"/>
  <c r="AS15" i="13" s="1"/>
  <c r="AI8" i="8"/>
  <c r="AI8" i="13" s="1"/>
  <c r="AL8" i="13" s="1"/>
  <c r="AS8" i="13" s="1" a="1"/>
  <c r="AS8" i="13" s="1"/>
  <c r="AI3" i="8"/>
  <c r="AI3" i="13" s="1"/>
  <c r="AN19" i="8"/>
  <c r="AT19" i="8" s="1"/>
  <c r="AP22" i="8"/>
  <c r="P24" i="8"/>
  <c r="AP27" i="8"/>
  <c r="AP29" i="8"/>
  <c r="AB33" i="8"/>
  <c r="P34" i="8"/>
  <c r="AP34" i="8"/>
  <c r="AP36" i="8"/>
  <c r="AP38" i="8"/>
  <c r="AP40" i="8"/>
  <c r="AB21" i="8"/>
  <c r="P22" i="8"/>
  <c r="AB23" i="8"/>
  <c r="AB30" i="8"/>
  <c r="P31" i="8"/>
  <c r="AP31" i="8"/>
  <c r="AB35" i="8"/>
  <c r="AB37" i="8"/>
  <c r="AB39" i="8"/>
  <c r="AB41" i="8"/>
  <c r="AB43" i="8"/>
  <c r="AP19" i="8"/>
  <c r="AN21" i="8"/>
  <c r="AT21" i="8" s="1"/>
  <c r="AP25" i="8"/>
  <c r="P27" i="8"/>
  <c r="AB28" i="8"/>
  <c r="AP23" i="8"/>
  <c r="AB32" i="8"/>
  <c r="AP33" i="8"/>
  <c r="P21" i="8"/>
  <c r="P25" i="8"/>
  <c r="AP28" i="8"/>
  <c r="AP30" i="8"/>
  <c r="AP35" i="8"/>
  <c r="AP37" i="8"/>
  <c r="AP39" i="8"/>
  <c r="AP41" i="8"/>
  <c r="AP43" i="8"/>
  <c r="AP26" i="8"/>
  <c r="P28" i="8"/>
  <c r="AB29" i="8"/>
  <c r="AB34" i="8"/>
  <c r="AB36" i="8"/>
  <c r="AB38" i="8"/>
  <c r="AB40" i="8"/>
  <c r="AB42" i="8"/>
  <c r="AB19" i="8"/>
  <c r="AB22" i="8"/>
  <c r="AB31" i="8"/>
  <c r="P32" i="8"/>
  <c r="AP32" i="8"/>
  <c r="Z17" i="8"/>
  <c r="AO16" i="8"/>
  <c r="AD54" i="8"/>
  <c r="E72" i="8"/>
  <c r="E74" i="8" s="1"/>
  <c r="J19" i="8"/>
  <c r="J72" i="8" s="1"/>
  <c r="J3" i="8"/>
  <c r="AD48" i="8"/>
  <c r="AD63" i="8"/>
  <c r="AB25" i="8"/>
  <c r="AB26" i="8"/>
  <c r="AB27" i="8"/>
  <c r="P46" i="8"/>
  <c r="AB46" i="8"/>
  <c r="AP46" i="8"/>
  <c r="AD60" i="8"/>
  <c r="AD68" i="8"/>
  <c r="AR71" i="8"/>
  <c r="AD20" i="8"/>
  <c r="AD21" i="8"/>
  <c r="AD22" i="8"/>
  <c r="AD23" i="8"/>
  <c r="AD24" i="8"/>
  <c r="AD25" i="8"/>
  <c r="AD26" i="8"/>
  <c r="AD27" i="8"/>
  <c r="AD28" i="8"/>
  <c r="AD57" i="8"/>
  <c r="AD65" i="8"/>
  <c r="AI70" i="8"/>
  <c r="AI69" i="8"/>
  <c r="AI68" i="8"/>
  <c r="AI67" i="8"/>
  <c r="AI66" i="8"/>
  <c r="AI65" i="8"/>
  <c r="AI64" i="8"/>
  <c r="AI63" i="8"/>
  <c r="AI62" i="8"/>
  <c r="AI61" i="8"/>
  <c r="AI60" i="8"/>
  <c r="AI59" i="8"/>
  <c r="AI58" i="8"/>
  <c r="AI57" i="8"/>
  <c r="AI56" i="8"/>
  <c r="AI55" i="8"/>
  <c r="AI54" i="8"/>
  <c r="AI53" i="8"/>
  <c r="AI52" i="8"/>
  <c r="AI51" i="8"/>
  <c r="AI50" i="8"/>
  <c r="AI49" i="8"/>
  <c r="AI48" i="8"/>
  <c r="AI47" i="8"/>
  <c r="AI46" i="8"/>
  <c r="AL46" i="8" s="1"/>
  <c r="AS46" i="8" s="1" a="1"/>
  <c r="AS46" i="8" s="1"/>
  <c r="AW46" i="8" s="1"/>
  <c r="AI45" i="8"/>
  <c r="AI19" i="8"/>
  <c r="AI20" i="8"/>
  <c r="AL20" i="8" s="1"/>
  <c r="AS20" i="8" s="1" a="1"/>
  <c r="AS20" i="8" s="1"/>
  <c r="AW20" i="8" s="1"/>
  <c r="AI21" i="8"/>
  <c r="AL21" i="8" s="1"/>
  <c r="AS21" i="8" s="1" a="1"/>
  <c r="AS21" i="8" s="1"/>
  <c r="AW21" i="8" s="1"/>
  <c r="AI22" i="8"/>
  <c r="AL22" i="8" s="1"/>
  <c r="AS22" i="8" s="1" a="1"/>
  <c r="AS22" i="8" s="1"/>
  <c r="AW22" i="8" s="1"/>
  <c r="P23" i="8"/>
  <c r="AI23" i="8"/>
  <c r="AI24" i="8"/>
  <c r="AL24" i="8" s="1"/>
  <c r="AS24" i="8" s="1" a="1"/>
  <c r="AS24" i="8" s="1"/>
  <c r="AW24" i="8" s="1"/>
  <c r="AI25" i="8"/>
  <c r="AI26" i="8"/>
  <c r="AI27" i="8"/>
  <c r="AI28" i="8"/>
  <c r="AL28" i="8" s="1"/>
  <c r="AS28" i="8" s="1" a="1"/>
  <c r="AS28" i="8" s="1"/>
  <c r="AW28" i="8" s="1"/>
  <c r="P29" i="8"/>
  <c r="AI29" i="8"/>
  <c r="AL29" i="8" s="1"/>
  <c r="AS29" i="8" s="1" a="1"/>
  <c r="AS29" i="8" s="1"/>
  <c r="AW29" i="8" s="1"/>
  <c r="P30" i="8"/>
  <c r="AI30" i="8"/>
  <c r="AI31" i="8"/>
  <c r="AL31" i="8" s="1"/>
  <c r="AS31" i="8" s="1" a="1"/>
  <c r="AS31" i="8" s="1"/>
  <c r="AW31" i="8" s="1"/>
  <c r="AI32" i="8"/>
  <c r="AI33" i="8"/>
  <c r="AI34" i="8"/>
  <c r="AL34" i="8" s="1"/>
  <c r="AS34" i="8" s="1" a="1"/>
  <c r="AS34" i="8" s="1"/>
  <c r="AW34" i="8" s="1"/>
  <c r="P35" i="8"/>
  <c r="AI35" i="8"/>
  <c r="AL35" i="8" s="1"/>
  <c r="AS35" i="8" s="1" a="1"/>
  <c r="AS35" i="8" s="1"/>
  <c r="AW35" i="8" s="1"/>
  <c r="P36" i="8"/>
  <c r="AI36" i="8"/>
  <c r="AL36" i="8" s="1"/>
  <c r="AS36" i="8" s="1" a="1"/>
  <c r="AS36" i="8" s="1"/>
  <c r="AW36" i="8" s="1"/>
  <c r="P37" i="8"/>
  <c r="AI37" i="8"/>
  <c r="P38" i="8"/>
  <c r="AI38" i="8"/>
  <c r="P39" i="8"/>
  <c r="AI39" i="8"/>
  <c r="AL39" i="8" s="1"/>
  <c r="AS39" i="8" s="1" a="1"/>
  <c r="AS39" i="8" s="1"/>
  <c r="AW39" i="8" s="1"/>
  <c r="P40" i="8"/>
  <c r="AI40" i="8"/>
  <c r="P41" i="8"/>
  <c r="AI41" i="8"/>
  <c r="P42" i="8"/>
  <c r="AI42" i="8"/>
  <c r="P43" i="8"/>
  <c r="AI43" i="8"/>
  <c r="AL43" i="8" s="1"/>
  <c r="AS43" i="8" s="1" a="1"/>
  <c r="AS43" i="8" s="1"/>
  <c r="AW43" i="8" s="1"/>
  <c r="P44" i="8"/>
  <c r="AI44" i="8"/>
  <c r="AL44" i="8" s="1"/>
  <c r="AS44" i="8" s="1" a="1"/>
  <c r="AS44" i="8" s="1"/>
  <c r="AW44" i="8" s="1"/>
  <c r="AB45" i="8"/>
  <c r="AL45" i="8" s="1"/>
  <c r="AS45" i="8" s="1" a="1"/>
  <c r="AS45" i="8" s="1"/>
  <c r="AW45" i="8" s="1"/>
  <c r="AP45" i="8"/>
  <c r="AD51" i="8"/>
  <c r="AD62" i="8"/>
  <c r="AD70" i="8"/>
  <c r="AK19" i="8"/>
  <c r="AK72" i="8" s="1"/>
  <c r="AD47" i="8"/>
  <c r="AD59" i="8"/>
  <c r="AD67" i="8"/>
  <c r="AD53" i="8"/>
  <c r="AD64" i="8"/>
  <c r="Y72" i="8"/>
  <c r="AD72" i="8" s="1"/>
  <c r="AU19" i="8"/>
  <c r="AU71" i="8" s="1"/>
  <c r="AD50" i="8"/>
  <c r="AD56" i="8"/>
  <c r="AD61" i="8"/>
  <c r="AD69" i="8"/>
  <c r="AD45" i="8"/>
  <c r="AN46" i="8"/>
  <c r="AT46" i="8" s="1"/>
  <c r="AT71" i="8" s="1"/>
  <c r="AD58" i="8"/>
  <c r="AD66" i="8"/>
  <c r="AP47" i="8"/>
  <c r="AP48" i="8"/>
  <c r="AP49" i="8"/>
  <c r="AP50" i="8"/>
  <c r="AP51" i="8"/>
  <c r="AP52" i="8"/>
  <c r="AP53" i="8"/>
  <c r="AP54" i="8"/>
  <c r="AP55" i="8"/>
  <c r="AP56" i="8"/>
  <c r="AP57" i="8"/>
  <c r="AP58" i="8"/>
  <c r="AP59" i="8"/>
  <c r="AP60" i="8"/>
  <c r="AP61" i="8"/>
  <c r="AP62" i="8"/>
  <c r="AP63" i="8"/>
  <c r="AP64" i="8"/>
  <c r="AP65" i="8"/>
  <c r="AP66" i="8"/>
  <c r="AP67" i="8"/>
  <c r="AP68" i="8"/>
  <c r="AP69" i="8"/>
  <c r="AP70" i="8"/>
  <c r="AB47" i="8"/>
  <c r="AL47" i="8" s="1"/>
  <c r="AS47" i="8" s="1" a="1"/>
  <c r="AS47" i="8" s="1"/>
  <c r="AW47" i="8" s="1"/>
  <c r="AB48" i="8"/>
  <c r="AB49" i="8"/>
  <c r="AB50" i="8"/>
  <c r="AB51" i="8"/>
  <c r="AL51" i="8" s="1"/>
  <c r="AS51" i="8" s="1" a="1"/>
  <c r="AS51" i="8" s="1"/>
  <c r="AW51" i="8" s="1"/>
  <c r="AB52" i="8"/>
  <c r="AL52" i="8" s="1"/>
  <c r="AS52" i="8" s="1" a="1"/>
  <c r="AS52" i="8" s="1"/>
  <c r="AW52" i="8" s="1"/>
  <c r="AB53" i="8"/>
  <c r="AB54" i="8"/>
  <c r="AL54" i="8" s="1"/>
  <c r="AS54" i="8" s="1" a="1"/>
  <c r="AS54" i="8" s="1"/>
  <c r="AW54" i="8" s="1"/>
  <c r="AB55" i="8"/>
  <c r="AL55" i="8" s="1"/>
  <c r="AS55" i="8" s="1" a="1"/>
  <c r="AS55" i="8" s="1"/>
  <c r="AW55" i="8" s="1"/>
  <c r="AB56" i="8"/>
  <c r="AB57" i="8"/>
  <c r="AB58" i="8"/>
  <c r="AB59" i="8"/>
  <c r="AL59" i="8" s="1"/>
  <c r="AS59" i="8" s="1" a="1"/>
  <c r="AS59" i="8" s="1"/>
  <c r="AW59" i="8" s="1"/>
  <c r="AB60" i="8"/>
  <c r="AL60" i="8" s="1"/>
  <c r="AS60" i="8" s="1" a="1"/>
  <c r="AS60" i="8" s="1"/>
  <c r="AW60" i="8" s="1"/>
  <c r="AB61" i="8"/>
  <c r="AL61" i="8" s="1"/>
  <c r="AS61" i="8" s="1" a="1"/>
  <c r="AS61" i="8" s="1"/>
  <c r="AW61" i="8" s="1"/>
  <c r="AB62" i="8"/>
  <c r="AL62" i="8" s="1"/>
  <c r="AS62" i="8" s="1" a="1"/>
  <c r="AS62" i="8" s="1"/>
  <c r="AW62" i="8" s="1"/>
  <c r="AB63" i="8"/>
  <c r="AL63" i="8" s="1"/>
  <c r="AS63" i="8" s="1" a="1"/>
  <c r="AS63" i="8" s="1"/>
  <c r="AW63" i="8" s="1"/>
  <c r="AB64" i="8"/>
  <c r="AB65" i="8"/>
  <c r="AB66" i="8"/>
  <c r="AB67" i="8"/>
  <c r="AL67" i="8" s="1"/>
  <c r="AS67" i="8" s="1" a="1"/>
  <c r="AS67" i="8" s="1"/>
  <c r="AW67" i="8" s="1"/>
  <c r="AB68" i="8"/>
  <c r="AL68" i="8" s="1"/>
  <c r="AS68" i="8" s="1" a="1"/>
  <c r="AS68" i="8" s="1"/>
  <c r="AW68" i="8" s="1"/>
  <c r="AB69" i="8"/>
  <c r="AL69" i="8" s="1"/>
  <c r="AS69" i="8" s="1" a="1"/>
  <c r="AS69" i="8" s="1"/>
  <c r="AW69" i="8" s="1"/>
  <c r="AB70" i="8"/>
  <c r="AL70" i="8" s="1"/>
  <c r="AS70" i="8" s="1" a="1"/>
  <c r="AS70" i="8" s="1"/>
  <c r="AW70" i="8" s="1"/>
  <c r="P47" i="8"/>
  <c r="P48" i="8"/>
  <c r="P49" i="8"/>
  <c r="P50" i="8"/>
  <c r="P51" i="8"/>
  <c r="P52" i="8"/>
  <c r="P53" i="8"/>
  <c r="P54" i="8"/>
  <c r="P55" i="8"/>
  <c r="P56" i="8"/>
  <c r="P57" i="8"/>
  <c r="P58" i="8"/>
  <c r="P59" i="8"/>
  <c r="P60" i="8"/>
  <c r="P61" i="8"/>
  <c r="P62" i="8"/>
  <c r="P63" i="8"/>
  <c r="P64" i="8"/>
  <c r="P65" i="8"/>
  <c r="P66" i="8"/>
  <c r="P67" i="8"/>
  <c r="P68" i="8"/>
  <c r="P69" i="8"/>
  <c r="P70" i="8"/>
  <c r="AH5" i="3"/>
  <c r="AE4" i="3"/>
  <c r="AE5" i="3"/>
  <c r="W18" i="3" l="1"/>
  <c r="W14" i="3"/>
  <c r="G18" i="3"/>
  <c r="G14" i="3"/>
  <c r="AW11" i="13"/>
  <c r="AU11" i="13"/>
  <c r="AT11" i="13"/>
  <c r="Z74" i="8"/>
  <c r="AW7" i="13"/>
  <c r="AU7" i="13"/>
  <c r="AU9" i="13"/>
  <c r="AT9" i="13"/>
  <c r="AW9" i="13"/>
  <c r="AU4" i="13"/>
  <c r="AW4" i="13"/>
  <c r="AL66" i="8"/>
  <c r="AS66" i="8" s="1" a="1"/>
  <c r="AS66" i="8" s="1"/>
  <c r="AW66" i="8" s="1"/>
  <c r="AL58" i="8"/>
  <c r="AS58" i="8" s="1" a="1"/>
  <c r="AS58" i="8" s="1"/>
  <c r="AW58" i="8" s="1"/>
  <c r="AL50" i="8"/>
  <c r="AS50" i="8" s="1" a="1"/>
  <c r="AS50" i="8" s="1"/>
  <c r="AW50" i="8" s="1"/>
  <c r="AL33" i="8"/>
  <c r="AS33" i="8" s="1" a="1"/>
  <c r="AS33" i="8" s="1"/>
  <c r="AW33" i="8" s="1"/>
  <c r="AW14" i="13"/>
  <c r="AT14" i="13"/>
  <c r="AU14" i="13"/>
  <c r="AW10" i="13"/>
  <c r="AT10" i="13"/>
  <c r="AU10" i="13"/>
  <c r="AU8" i="13"/>
  <c r="AW8" i="13"/>
  <c r="AT8" i="13"/>
  <c r="AL65" i="8"/>
  <c r="AS65" i="8" s="1" a="1"/>
  <c r="AS65" i="8" s="1"/>
  <c r="AW65" i="8" s="1"/>
  <c r="AL57" i="8"/>
  <c r="AS57" i="8" s="1" a="1"/>
  <c r="AS57" i="8" s="1"/>
  <c r="AW57" i="8" s="1"/>
  <c r="AL49" i="8"/>
  <c r="AS49" i="8" s="1" a="1"/>
  <c r="AS49" i="8" s="1"/>
  <c r="AW49" i="8" s="1"/>
  <c r="AL41" i="8"/>
  <c r="AS41" i="8" s="1" a="1"/>
  <c r="AS41" i="8" s="1"/>
  <c r="AW41" i="8" s="1"/>
  <c r="AL32" i="8"/>
  <c r="AS32" i="8" s="1" a="1"/>
  <c r="AS32" i="8" s="1"/>
  <c r="AW32" i="8" s="1"/>
  <c r="AT6" i="13"/>
  <c r="AU6" i="13"/>
  <c r="AW6" i="13"/>
  <c r="AL42" i="8"/>
  <c r="AS42" i="8" s="1" a="1"/>
  <c r="AS42" i="8" s="1"/>
  <c r="AW42" i="8" s="1"/>
  <c r="AL64" i="8"/>
  <c r="AS64" i="8" s="1" a="1"/>
  <c r="AS64" i="8" s="1"/>
  <c r="AW64" i="8" s="1"/>
  <c r="AL56" i="8"/>
  <c r="AS56" i="8" s="1" a="1"/>
  <c r="AS56" i="8" s="1"/>
  <c r="AW56" i="8" s="1"/>
  <c r="AL48" i="8"/>
  <c r="AS48" i="8" s="1" a="1"/>
  <c r="AS48" i="8" s="1"/>
  <c r="AW48" i="8" s="1"/>
  <c r="AU13" i="13"/>
  <c r="AT13" i="13"/>
  <c r="AW13" i="13"/>
  <c r="AL40" i="8"/>
  <c r="AS40" i="8" s="1" a="1"/>
  <c r="AS40" i="8" s="1"/>
  <c r="AW40" i="8" s="1"/>
  <c r="AL30" i="8"/>
  <c r="AS30" i="8" s="1" a="1"/>
  <c r="AS30" i="8" s="1"/>
  <c r="AW30" i="8" s="1"/>
  <c r="AU5" i="13"/>
  <c r="AW5" i="13"/>
  <c r="AW15" i="13"/>
  <c r="AU15" i="13"/>
  <c r="AT15" i="13"/>
  <c r="AL23" i="8"/>
  <c r="AS23" i="8" s="1" a="1"/>
  <c r="AS23" i="8" s="1"/>
  <c r="AW23" i="8" s="1"/>
  <c r="AL3" i="13"/>
  <c r="AI17" i="13"/>
  <c r="AU12" i="13"/>
  <c r="AW12" i="13"/>
  <c r="AT12" i="13"/>
  <c r="AG5" i="3"/>
  <c r="AH8" i="3"/>
  <c r="J17" i="8"/>
  <c r="J74" i="8" s="1"/>
  <c r="AL53" i="8"/>
  <c r="AS53" i="8" s="1" a="1"/>
  <c r="AS53" i="8" s="1"/>
  <c r="AW53" i="8" s="1"/>
  <c r="AI72" i="8"/>
  <c r="AL26" i="8"/>
  <c r="AS26" i="8" s="1" a="1"/>
  <c r="AS26" i="8" s="1"/>
  <c r="AW26" i="8" s="1"/>
  <c r="AL38" i="8"/>
  <c r="AS38" i="8" s="1" a="1"/>
  <c r="AS38" i="8" s="1"/>
  <c r="AW38" i="8" s="1"/>
  <c r="AI17" i="8"/>
  <c r="AP71" i="8"/>
  <c r="AL37" i="8"/>
  <c r="AS37" i="8" s="1" a="1"/>
  <c r="AS37" i="8" s="1"/>
  <c r="AW37" i="8" s="1"/>
  <c r="AL27" i="8"/>
  <c r="AS27" i="8" s="1" a="1"/>
  <c r="AS27" i="8" s="1"/>
  <c r="AW27" i="8" s="1"/>
  <c r="AL25" i="8"/>
  <c r="AS25" i="8" s="1" a="1"/>
  <c r="AS25" i="8" s="1"/>
  <c r="AW25" i="8" s="1"/>
  <c r="AB72" i="8"/>
  <c r="AN71" i="8"/>
  <c r="AL19" i="8"/>
  <c r="AG4" i="3"/>
  <c r="AF4" i="3"/>
  <c r="AF5" i="3"/>
  <c r="AE8" i="3"/>
  <c r="AS3" i="13" l="1"/>
  <c r="AL17" i="13"/>
  <c r="AL72" i="8"/>
  <c r="AS19" i="8" a="1"/>
  <c r="AS19" i="8" s="1"/>
  <c r="AG8" i="3"/>
  <c r="AF8" i="3"/>
  <c r="AS16" i="13" l="1"/>
  <c r="AT3" i="13"/>
  <c r="AT16" i="13" s="1"/>
  <c r="AW3" i="13"/>
  <c r="AU3" i="13"/>
  <c r="AU16" i="13" s="1"/>
  <c r="AS71" i="8"/>
  <c r="AW19" i="8"/>
  <c r="AW72" i="8" s="1"/>
  <c r="AW17" i="13" l="1"/>
  <c r="V10" i="8"/>
  <c r="AK10" i="8" s="1"/>
  <c r="V11" i="8"/>
  <c r="AK11" i="8" s="1"/>
  <c r="V12" i="8"/>
  <c r="AK12" i="8" s="1"/>
  <c r="V14" i="8"/>
  <c r="AK14" i="8" s="1"/>
  <c r="Y13" i="8" l="1"/>
  <c r="Y10" i="8"/>
  <c r="Y12" i="8"/>
  <c r="AD12" i="8" s="1"/>
  <c r="Y14" i="8"/>
  <c r="AD13" i="8"/>
  <c r="AD10" i="8"/>
  <c r="V13" i="8"/>
  <c r="AK13" i="8" s="1"/>
  <c r="J14" i="7"/>
  <c r="AR11" i="8"/>
  <c r="AQ11" i="8"/>
  <c r="Y15" i="8"/>
  <c r="AN15" i="8" s="1"/>
  <c r="AR14" i="8"/>
  <c r="J8" i="7"/>
  <c r="AQ14" i="8"/>
  <c r="AR13" i="8"/>
  <c r="AQ13" i="8"/>
  <c r="J11" i="7"/>
  <c r="J10" i="7"/>
  <c r="AR10" i="8"/>
  <c r="AQ10" i="8"/>
  <c r="AD14" i="8"/>
  <c r="AR15" i="8"/>
  <c r="AQ15" i="8"/>
  <c r="Y11" i="8"/>
  <c r="J15" i="7"/>
  <c r="AR12" i="8"/>
  <c r="AQ12" i="8"/>
  <c r="P14" i="8" l="1"/>
  <c r="AB14" i="8"/>
  <c r="AL14" i="8" s="1"/>
  <c r="AP14" i="8"/>
  <c r="AN14" i="8"/>
  <c r="AB12" i="8"/>
  <c r="AL12" i="8" s="1"/>
  <c r="P12" i="8"/>
  <c r="AP12" i="8"/>
  <c r="AN12" i="8"/>
  <c r="AT12" i="8" s="1"/>
  <c r="AD11" i="8"/>
  <c r="AP10" i="8"/>
  <c r="AB10" i="8"/>
  <c r="AL10" i="8" s="1"/>
  <c r="AN10" i="8"/>
  <c r="P10" i="8"/>
  <c r="AP11" i="8"/>
  <c r="P11" i="8"/>
  <c r="AN11" i="8"/>
  <c r="AT11" i="8" s="1"/>
  <c r="AB11" i="8"/>
  <c r="AL11" i="8" s="1"/>
  <c r="P13" i="8"/>
  <c r="AP13" i="8"/>
  <c r="AB13" i="8"/>
  <c r="AL13" i="8" s="1"/>
  <c r="AN13" i="8"/>
  <c r="AD15" i="8"/>
  <c r="AL15" i="8"/>
  <c r="Y9" i="8"/>
  <c r="AS10" i="8" l="1" a="1"/>
  <c r="AS10" i="8" s="1"/>
  <c r="AT10" i="8" s="1"/>
  <c r="C11" i="7"/>
  <c r="AS15" i="8" a="1"/>
  <c r="AS15" i="8" s="1"/>
  <c r="C8" i="7"/>
  <c r="AS11" i="8" a="1"/>
  <c r="AS11" i="8" s="1"/>
  <c r="AU11" i="8" s="1"/>
  <c r="C12" i="7"/>
  <c r="AS12" i="8" a="1"/>
  <c r="AS12" i="8" s="1"/>
  <c r="AW12" i="8" s="1"/>
  <c r="C14" i="7"/>
  <c r="AS14" i="8" a="1"/>
  <c r="AS14" i="8" s="1"/>
  <c r="AU14" i="8" s="1"/>
  <c r="C7" i="7"/>
  <c r="Y8" i="8"/>
  <c r="AS13" i="8" a="1"/>
  <c r="AS13" i="8" s="1"/>
  <c r="AW13" i="8" s="1"/>
  <c r="C9" i="7"/>
  <c r="V9" i="8"/>
  <c r="AK9" i="8" s="1"/>
  <c r="V8" i="8"/>
  <c r="AK8" i="8" s="1"/>
  <c r="V7" i="8"/>
  <c r="AK7" i="8" s="1"/>
  <c r="AQ7" i="8"/>
  <c r="J13" i="7"/>
  <c r="AR7" i="8"/>
  <c r="AD8" i="8"/>
  <c r="AQ9" i="8"/>
  <c r="J7" i="7"/>
  <c r="AR9" i="8"/>
  <c r="Y7" i="8"/>
  <c r="J4" i="7"/>
  <c r="AQ8" i="8"/>
  <c r="AR8" i="8"/>
  <c r="AD9" i="8"/>
  <c r="AU13" i="8" l="1"/>
  <c r="AW11" i="8"/>
  <c r="AT13" i="8"/>
  <c r="AT14" i="8"/>
  <c r="AW14" i="8"/>
  <c r="AU15" i="8"/>
  <c r="AT15" i="8"/>
  <c r="AU12" i="8"/>
  <c r="AU10" i="8"/>
  <c r="AW10" i="8"/>
  <c r="U17" i="8"/>
  <c r="U74" i="8" s="1"/>
  <c r="K6" i="3" s="1"/>
  <c r="AW15" i="8"/>
  <c r="P9" i="8"/>
  <c r="AP9" i="8"/>
  <c r="AN9" i="8"/>
  <c r="AB9" i="8"/>
  <c r="AL9" i="8" s="1"/>
  <c r="AD7" i="8"/>
  <c r="R17" i="8"/>
  <c r="X17" i="8"/>
  <c r="X74" i="8" s="1"/>
  <c r="N6" i="3" s="1"/>
  <c r="AN8" i="8"/>
  <c r="P8" i="8"/>
  <c r="AP8" i="8"/>
  <c r="AB8" i="8"/>
  <c r="AL8" i="8" s="1"/>
  <c r="AB7" i="8"/>
  <c r="AL7" i="8" s="1"/>
  <c r="P7" i="8"/>
  <c r="AP7" i="8"/>
  <c r="AN7" i="8"/>
  <c r="AT7" i="8" s="1"/>
  <c r="Y6" i="8"/>
  <c r="V6" i="8"/>
  <c r="AK6" i="8" s="1"/>
  <c r="Y5" i="8"/>
  <c r="V5" i="8"/>
  <c r="AK5" i="8" s="1"/>
  <c r="Y4" i="8"/>
  <c r="V4" i="8"/>
  <c r="AK4" i="8" s="1"/>
  <c r="N18" i="3" l="1"/>
  <c r="K18" i="3"/>
  <c r="R74" i="8"/>
  <c r="I6" i="3"/>
  <c r="AS7" i="8" a="1"/>
  <c r="AS7" i="8" s="1"/>
  <c r="AU7" i="8" s="1"/>
  <c r="C15" i="7"/>
  <c r="AS9" i="8" a="1"/>
  <c r="AS9" i="8" s="1"/>
  <c r="AT9" i="8" s="1"/>
  <c r="C16" i="7"/>
  <c r="AS8" i="8" a="1"/>
  <c r="AS8" i="8" s="1"/>
  <c r="AW8" i="8" s="1"/>
  <c r="C4" i="7"/>
  <c r="AE17" i="8"/>
  <c r="AE74" i="8" s="1"/>
  <c r="Q6" i="3" s="1"/>
  <c r="V3" i="8"/>
  <c r="T17" i="8"/>
  <c r="T74" i="8" s="1"/>
  <c r="J6" i="3" s="1"/>
  <c r="AD6" i="8"/>
  <c r="J12" i="7"/>
  <c r="AR4" i="8"/>
  <c r="AQ4" i="8"/>
  <c r="AC17" i="8"/>
  <c r="AD5" i="8"/>
  <c r="W17" i="8"/>
  <c r="W74" i="8" s="1"/>
  <c r="M6" i="3" s="1"/>
  <c r="Y3" i="8"/>
  <c r="AR6" i="8"/>
  <c r="J6" i="7"/>
  <c r="AQ6" i="8"/>
  <c r="J5" i="7"/>
  <c r="AR3" i="8"/>
  <c r="AQ3" i="8"/>
  <c r="Q17" i="8"/>
  <c r="H6" i="3" s="1"/>
  <c r="AR5" i="8"/>
  <c r="AQ5" i="8"/>
  <c r="J9" i="7"/>
  <c r="AD4" i="8"/>
  <c r="J18" i="3" l="1"/>
  <c r="H18" i="3"/>
  <c r="I18" i="3"/>
  <c r="M18" i="3"/>
  <c r="N19" i="3" s="1"/>
  <c r="Q18" i="3"/>
  <c r="AU9" i="8"/>
  <c r="AW7" i="8"/>
  <c r="AU8" i="8"/>
  <c r="AT8" i="8"/>
  <c r="L6" i="3"/>
  <c r="J17" i="7"/>
  <c r="K12" i="7" s="1"/>
  <c r="AW9" i="8"/>
  <c r="O6" i="3"/>
  <c r="AP4" i="8"/>
  <c r="AB4" i="8"/>
  <c r="AL4" i="8" s="1"/>
  <c r="AN4" i="8"/>
  <c r="AT4" i="8" s="1"/>
  <c r="P4" i="8"/>
  <c r="AD3" i="8"/>
  <c r="Y17" i="8"/>
  <c r="Y74" i="8" s="1"/>
  <c r="AA3" i="8" s="1"/>
  <c r="AB5" i="8"/>
  <c r="AL5" i="8" s="1"/>
  <c r="P5" i="8"/>
  <c r="AN5" i="8"/>
  <c r="AT5" i="8" s="1"/>
  <c r="AP5" i="8"/>
  <c r="Q74" i="8"/>
  <c r="AR74" i="8" s="1"/>
  <c r="AR17" i="8"/>
  <c r="AQ16" i="8"/>
  <c r="AR16" i="8"/>
  <c r="AB6" i="8"/>
  <c r="AL6" i="8" s="1"/>
  <c r="P6" i="8"/>
  <c r="AN6" i="8"/>
  <c r="AP6" i="8"/>
  <c r="S17" i="8"/>
  <c r="S74" i="8" s="1"/>
  <c r="AP3" i="8"/>
  <c r="AP16" i="8" s="1"/>
  <c r="AB3" i="8"/>
  <c r="P3" i="8"/>
  <c r="AN3" i="8"/>
  <c r="AC74" i="8"/>
  <c r="R6" i="3" s="1"/>
  <c r="AK3" i="8"/>
  <c r="AK17" i="8" s="1"/>
  <c r="AK74" i="8" s="1"/>
  <c r="V17" i="8"/>
  <c r="V74" i="8" s="1"/>
  <c r="L18" i="3" l="1"/>
  <c r="R18" i="3"/>
  <c r="O18" i="3"/>
  <c r="AN16" i="8"/>
  <c r="AS6" i="8" a="1"/>
  <c r="AS6" i="8" s="1"/>
  <c r="AW6" i="8" s="1"/>
  <c r="C6" i="7"/>
  <c r="AS5" i="8" a="1"/>
  <c r="AS5" i="8" s="1"/>
  <c r="AW5" i="8" s="1"/>
  <c r="C10" i="7"/>
  <c r="AH6" i="3"/>
  <c r="F6" i="3"/>
  <c r="AS4" i="8" a="1"/>
  <c r="AS4" i="8" s="1"/>
  <c r="AW4" i="8" s="1"/>
  <c r="C13" i="7"/>
  <c r="K6" i="7"/>
  <c r="K16" i="7"/>
  <c r="K8" i="7"/>
  <c r="K10" i="7"/>
  <c r="K11" i="7"/>
  <c r="K14" i="7"/>
  <c r="K15" i="7"/>
  <c r="K7" i="7"/>
  <c r="K13" i="7"/>
  <c r="K4" i="7"/>
  <c r="L4" i="7" s="1"/>
  <c r="K5" i="7"/>
  <c r="K9" i="7"/>
  <c r="AB17" i="8"/>
  <c r="AB74" i="8" s="1"/>
  <c r="P6" i="3" s="1"/>
  <c r="AA37" i="8"/>
  <c r="AA43" i="8"/>
  <c r="AA27" i="8"/>
  <c r="AA51" i="8"/>
  <c r="AA60" i="8"/>
  <c r="AA67" i="8"/>
  <c r="AA55" i="8"/>
  <c r="AA38" i="8"/>
  <c r="AA48" i="8"/>
  <c r="AA33" i="8"/>
  <c r="AA63" i="8"/>
  <c r="AA39" i="8"/>
  <c r="AA28" i="8"/>
  <c r="AA35" i="8"/>
  <c r="AA25" i="8"/>
  <c r="AA68" i="8"/>
  <c r="AA49" i="8"/>
  <c r="AA65" i="8"/>
  <c r="AA69" i="8"/>
  <c r="AA47" i="8"/>
  <c r="AA23" i="8"/>
  <c r="AA26" i="8"/>
  <c r="AA22" i="8"/>
  <c r="AA44" i="8"/>
  <c r="AA57" i="8"/>
  <c r="AA50" i="8"/>
  <c r="AA62" i="8"/>
  <c r="AA54" i="8"/>
  <c r="AA58" i="8"/>
  <c r="AA36" i="8"/>
  <c r="AA42" i="8"/>
  <c r="AA64" i="8"/>
  <c r="AA29" i="8"/>
  <c r="AA59" i="8"/>
  <c r="AA20" i="8"/>
  <c r="AA21" i="8"/>
  <c r="AA70" i="8"/>
  <c r="AA32" i="8"/>
  <c r="AA52" i="8"/>
  <c r="AA34" i="8"/>
  <c r="AA40" i="8"/>
  <c r="AA19" i="8"/>
  <c r="AA45" i="8"/>
  <c r="AA61" i="8"/>
  <c r="AA24" i="8"/>
  <c r="AA66" i="8"/>
  <c r="AA30" i="8"/>
  <c r="AA31" i="8"/>
  <c r="AA41" i="8"/>
  <c r="AA53" i="8"/>
  <c r="AA46" i="8"/>
  <c r="AA56" i="8"/>
  <c r="AA14" i="8"/>
  <c r="AA13" i="8"/>
  <c r="AA10" i="8"/>
  <c r="AA12" i="8"/>
  <c r="AA15" i="8"/>
  <c r="AA11" i="8"/>
  <c r="AA8" i="8"/>
  <c r="AA9" i="8"/>
  <c r="AA7" i="8"/>
  <c r="AA4" i="8"/>
  <c r="AA6" i="8"/>
  <c r="AA5" i="8"/>
  <c r="AD17" i="8"/>
  <c r="AL3" i="8"/>
  <c r="AD74" i="8"/>
  <c r="AT6" i="8"/>
  <c r="P18" i="3" l="1"/>
  <c r="Z18" i="3"/>
  <c r="C5" i="7"/>
  <c r="AU5" i="8"/>
  <c r="AU6" i="8"/>
  <c r="AU4" i="8"/>
  <c r="C17" i="7"/>
  <c r="D10" i="7" s="1"/>
  <c r="L5" i="7"/>
  <c r="M4" i="7"/>
  <c r="G4" i="7" s="1"/>
  <c r="AE6" i="3"/>
  <c r="K17" i="7"/>
  <c r="AA17" i="8"/>
  <c r="AL17" i="8"/>
  <c r="AL74" i="8" s="1"/>
  <c r="AS3" i="8"/>
  <c r="AA72" i="8"/>
  <c r="AC18" i="3" l="1"/>
  <c r="AC19" i="3" s="1"/>
  <c r="AF6" i="3"/>
  <c r="AD4" i="3"/>
  <c r="AG6" i="3"/>
  <c r="C17" i="14"/>
  <c r="D13" i="7"/>
  <c r="D6" i="7"/>
  <c r="D14" i="7"/>
  <c r="D11" i="7"/>
  <c r="D8" i="7"/>
  <c r="D12" i="7"/>
  <c r="D9" i="7"/>
  <c r="D7" i="7"/>
  <c r="D4" i="7"/>
  <c r="D16" i="7"/>
  <c r="D15" i="7"/>
  <c r="D5" i="7"/>
  <c r="L6" i="7"/>
  <c r="M5" i="7"/>
  <c r="G5" i="7" s="1"/>
  <c r="AA74" i="8"/>
  <c r="AT3" i="8"/>
  <c r="AT16" i="8" s="1"/>
  <c r="AW3" i="8"/>
  <c r="AU3" i="8"/>
  <c r="AU16" i="8" s="1"/>
  <c r="AS16" i="8"/>
  <c r="D14" i="14" l="1"/>
  <c r="D9" i="14"/>
  <c r="D8" i="14"/>
  <c r="D11" i="14"/>
  <c r="D7" i="14"/>
  <c r="D12" i="14"/>
  <c r="D16" i="14"/>
  <c r="D4" i="14"/>
  <c r="D15" i="14"/>
  <c r="D13" i="14"/>
  <c r="D6" i="14"/>
  <c r="D10" i="14"/>
  <c r="D5" i="14"/>
  <c r="L7" i="7"/>
  <c r="M6" i="7"/>
  <c r="E4" i="7"/>
  <c r="D17" i="7"/>
  <c r="AW17" i="8"/>
  <c r="AW74" i="8" s="1"/>
  <c r="D17" i="14" l="1"/>
  <c r="E4" i="14"/>
  <c r="E5" i="7"/>
  <c r="F4" i="7"/>
  <c r="L8" i="7"/>
  <c r="M7" i="7"/>
  <c r="E5" i="14" l="1"/>
  <c r="F4" i="14"/>
  <c r="M8" i="7"/>
  <c r="G7" i="7" s="1"/>
  <c r="L9" i="7"/>
  <c r="G6" i="7"/>
  <c r="G16" i="7"/>
  <c r="E6" i="7"/>
  <c r="F5" i="7"/>
  <c r="E6" i="14" l="1"/>
  <c r="F5" i="14"/>
  <c r="E7" i="7"/>
  <c r="F6" i="7"/>
  <c r="L10" i="7"/>
  <c r="M9" i="7"/>
  <c r="E7" i="14" l="1"/>
  <c r="F6" i="14"/>
  <c r="L11" i="7"/>
  <c r="M10" i="7"/>
  <c r="G11" i="7" s="1"/>
  <c r="F7" i="7"/>
  <c r="E8" i="7"/>
  <c r="E8" i="14" l="1"/>
  <c r="F7" i="14"/>
  <c r="F8" i="7"/>
  <c r="E9" i="7"/>
  <c r="L12" i="7"/>
  <c r="M11" i="7"/>
  <c r="E9" i="14" l="1"/>
  <c r="F8" i="14"/>
  <c r="L13" i="7"/>
  <c r="M12" i="7"/>
  <c r="E10" i="7"/>
  <c r="F9" i="7"/>
  <c r="F9" i="14" l="1"/>
  <c r="E10" i="14"/>
  <c r="G9" i="7"/>
  <c r="G13" i="7"/>
  <c r="F10" i="7"/>
  <c r="E11" i="7"/>
  <c r="L14" i="7"/>
  <c r="M13" i="7"/>
  <c r="E11" i="14" l="1"/>
  <c r="F10" i="14"/>
  <c r="G10" i="7"/>
  <c r="G15" i="7"/>
  <c r="M14" i="7"/>
  <c r="G12" i="7" s="1"/>
  <c r="L15" i="7"/>
  <c r="F11" i="7"/>
  <c r="E12" i="7"/>
  <c r="E12" i="14" l="1"/>
  <c r="F11" i="14"/>
  <c r="E13" i="7"/>
  <c r="F12" i="7"/>
  <c r="L16" i="7"/>
  <c r="M16" i="7" s="1"/>
  <c r="G8" i="7" s="1"/>
  <c r="M15" i="7"/>
  <c r="G14" i="7" s="1"/>
  <c r="E13" i="14" l="1"/>
  <c r="F12" i="14"/>
  <c r="E14" i="7"/>
  <c r="F13" i="7"/>
  <c r="E14" i="14" l="1"/>
  <c r="F13" i="14"/>
  <c r="F14" i="7"/>
  <c r="E15" i="7"/>
  <c r="E15" i="14" l="1"/>
  <c r="F14" i="14"/>
  <c r="E16" i="7"/>
  <c r="F16" i="7" s="1"/>
  <c r="F15" i="7"/>
  <c r="AL19" i="13"/>
  <c r="AI72" i="13"/>
  <c r="AI74" i="13" s="1"/>
  <c r="E16" i="14" l="1"/>
  <c r="F16" i="14" s="1"/>
  <c r="F15" i="14"/>
  <c r="AS19" i="13" a="1"/>
  <c r="AS19" i="13" s="1"/>
  <c r="AW19" i="13" s="1"/>
  <c r="AL33" i="13"/>
  <c r="AS33" i="13" s="1" a="1"/>
  <c r="AS33" i="13" s="1"/>
  <c r="AW33" i="13" s="1"/>
  <c r="AL28" i="13"/>
  <c r="AS28" i="13" s="1" a="1"/>
  <c r="AS28" i="13" s="1"/>
  <c r="AW28" i="13" s="1"/>
  <c r="AL69" i="13"/>
  <c r="AS69" i="13" s="1" a="1"/>
  <c r="AS69" i="13" s="1"/>
  <c r="AW69" i="13" s="1"/>
  <c r="AL66" i="13"/>
  <c r="AS66" i="13" s="1" a="1"/>
  <c r="AS66" i="13" s="1"/>
  <c r="AW66" i="13" s="1"/>
  <c r="AL45" i="13"/>
  <c r="AS45" i="13" s="1" a="1"/>
  <c r="AS45" i="13" s="1"/>
  <c r="AW45" i="13" s="1"/>
  <c r="AL53" i="13"/>
  <c r="AS53" i="13" s="1" a="1"/>
  <c r="AS53" i="13" s="1"/>
  <c r="AW53" i="13" s="1"/>
  <c r="AL36" i="13"/>
  <c r="AS36" i="13" s="1" a="1"/>
  <c r="AS36" i="13" s="1"/>
  <c r="AW36" i="13" s="1"/>
  <c r="AL37" i="13"/>
  <c r="AS37" i="13" s="1" a="1"/>
  <c r="AS37" i="13" s="1"/>
  <c r="AW37" i="13" s="1"/>
  <c r="AL34" i="13"/>
  <c r="AS34" i="13" s="1" a="1"/>
  <c r="AS34" i="13" s="1"/>
  <c r="AW34" i="13" s="1"/>
  <c r="AL30" i="13"/>
  <c r="AS30" i="13" s="1" a="1"/>
  <c r="AS30" i="13" s="1"/>
  <c r="AW30" i="13" s="1"/>
  <c r="AL20" i="13"/>
  <c r="AS20" i="13" s="1" a="1"/>
  <c r="AS20" i="13" s="1"/>
  <c r="AW20" i="13" s="1"/>
  <c r="AL27" i="13"/>
  <c r="AS27" i="13" s="1" a="1"/>
  <c r="AS27" i="13" s="1"/>
  <c r="AW27" i="13" s="1"/>
  <c r="AL44" i="13"/>
  <c r="AS44" i="13" s="1" a="1"/>
  <c r="AS44" i="13" s="1"/>
  <c r="AW44" i="13" s="1"/>
  <c r="AL59" i="13"/>
  <c r="AS59" i="13" s="1" a="1"/>
  <c r="AS59" i="13" s="1"/>
  <c r="AW59" i="13" s="1"/>
  <c r="AL63" i="13"/>
  <c r="AS63" i="13" s="1" a="1"/>
  <c r="AS63" i="13" s="1"/>
  <c r="AW63" i="13" s="1"/>
  <c r="AL38" i="13"/>
  <c r="AS38" i="13" s="1" a="1"/>
  <c r="AS38" i="13" s="1"/>
  <c r="AW38" i="13" s="1"/>
  <c r="AL49" i="13"/>
  <c r="AS49" i="13" s="1" a="1"/>
  <c r="AS49" i="13" s="1"/>
  <c r="AW49" i="13" s="1"/>
  <c r="AL50" i="13"/>
  <c r="AS50" i="13" s="1" a="1"/>
  <c r="AS50" i="13" s="1"/>
  <c r="AW50" i="13" s="1"/>
  <c r="AL70" i="13"/>
  <c r="AS70" i="13" s="1" a="1"/>
  <c r="AS70" i="13" s="1"/>
  <c r="AW70" i="13" s="1"/>
  <c r="AL58" i="13"/>
  <c r="AS58" i="13" s="1" a="1"/>
  <c r="AS58" i="13" s="1"/>
  <c r="AW58" i="13" s="1"/>
  <c r="AL57" i="13"/>
  <c r="AS57" i="13" s="1" a="1"/>
  <c r="AS57" i="13" s="1"/>
  <c r="AW57" i="13" s="1"/>
  <c r="AL43" i="13"/>
  <c r="AS43" i="13" s="1" a="1"/>
  <c r="AS43" i="13" s="1"/>
  <c r="AW43" i="13" s="1"/>
  <c r="AL60" i="13"/>
  <c r="AS60" i="13" s="1" a="1"/>
  <c r="AS60" i="13" s="1"/>
  <c r="AW60" i="13" s="1"/>
  <c r="AL62" i="13"/>
  <c r="AS62" i="13" s="1" a="1"/>
  <c r="AS62" i="13" s="1"/>
  <c r="AW62" i="13" s="1"/>
  <c r="AL68" i="13"/>
  <c r="AS68" i="13" s="1" a="1"/>
  <c r="AS68" i="13" s="1"/>
  <c r="AW68" i="13" s="1"/>
  <c r="AL39" i="13"/>
  <c r="AS39" i="13" s="1" a="1"/>
  <c r="AS39" i="13" s="1"/>
  <c r="AW39" i="13" s="1"/>
  <c r="AL40" i="13"/>
  <c r="AS40" i="13" s="1" a="1"/>
  <c r="AS40" i="13" s="1"/>
  <c r="AW40" i="13" s="1"/>
  <c r="AL48" i="13"/>
  <c r="AS48" i="13" s="1" a="1"/>
  <c r="AS48" i="13" s="1"/>
  <c r="AW48" i="13" s="1"/>
  <c r="AL22" i="13"/>
  <c r="AS22" i="13" s="1" a="1"/>
  <c r="AS22" i="13" s="1"/>
  <c r="AW22" i="13" s="1"/>
  <c r="AL29" i="13"/>
  <c r="AS29" i="13" s="1" a="1"/>
  <c r="AS29" i="13" s="1"/>
  <c r="AW29" i="13" s="1"/>
  <c r="AL65" i="13"/>
  <c r="AS65" i="13" s="1" a="1"/>
  <c r="AS65" i="13" s="1"/>
  <c r="AW65" i="13" s="1"/>
  <c r="AL67" i="13"/>
  <c r="AS67" i="13" s="1" a="1"/>
  <c r="AS67" i="13" s="1"/>
  <c r="AW67" i="13" s="1"/>
  <c r="AL25" i="13"/>
  <c r="AS25" i="13" s="1" a="1"/>
  <c r="AS25" i="13" s="1"/>
  <c r="AW25" i="13" s="1"/>
  <c r="AL35" i="13"/>
  <c r="AS35" i="13" s="1" a="1"/>
  <c r="AS35" i="13" s="1"/>
  <c r="AW35" i="13" s="1"/>
  <c r="AL56" i="13"/>
  <c r="AS56" i="13" s="1" a="1"/>
  <c r="AS56" i="13" s="1"/>
  <c r="AW56" i="13" s="1"/>
  <c r="AL26" i="13"/>
  <c r="AS26" i="13" s="1" a="1"/>
  <c r="AS26" i="13" s="1"/>
  <c r="AW26" i="13" s="1"/>
  <c r="AL32" i="13"/>
  <c r="AS32" i="13" s="1" a="1"/>
  <c r="AS32" i="13" s="1"/>
  <c r="AW32" i="13" s="1"/>
  <c r="AL54" i="13"/>
  <c r="AS54" i="13" s="1" a="1"/>
  <c r="AS54" i="13" s="1"/>
  <c r="AW54" i="13" s="1"/>
  <c r="AL42" i="13"/>
  <c r="AS42" i="13" s="1" a="1"/>
  <c r="AS42" i="13" s="1"/>
  <c r="AW42" i="13" s="1"/>
  <c r="AL46" i="13"/>
  <c r="AS46" i="13" s="1" a="1"/>
  <c r="AS46" i="13" s="1"/>
  <c r="AW46" i="13" s="1"/>
  <c r="AL23" i="13"/>
  <c r="AS23" i="13" s="1" a="1"/>
  <c r="AS23" i="13" s="1"/>
  <c r="AW23" i="13" s="1"/>
  <c r="AL21" i="13"/>
  <c r="AS21" i="13" s="1" a="1"/>
  <c r="AS21" i="13" s="1"/>
  <c r="AW21" i="13" s="1"/>
  <c r="AL64" i="13"/>
  <c r="AS64" i="13" s="1" a="1"/>
  <c r="AS64" i="13" s="1"/>
  <c r="AW64" i="13" s="1"/>
  <c r="AL24" i="13"/>
  <c r="AS24" i="13" s="1" a="1"/>
  <c r="AS24" i="13" s="1"/>
  <c r="AW24" i="13" s="1"/>
  <c r="AL41" i="13"/>
  <c r="AS41" i="13" s="1" a="1"/>
  <c r="AS41" i="13" s="1"/>
  <c r="AW41" i="13" s="1"/>
  <c r="AL47" i="13"/>
  <c r="AS47" i="13" s="1" a="1"/>
  <c r="AS47" i="13" s="1"/>
  <c r="AW47" i="13" s="1"/>
  <c r="AL52" i="13"/>
  <c r="AS52" i="13" s="1" a="1"/>
  <c r="AS52" i="13" s="1"/>
  <c r="AW52" i="13" s="1"/>
  <c r="AL51" i="13"/>
  <c r="AS51" i="13" s="1" a="1"/>
  <c r="AS51" i="13" s="1"/>
  <c r="AW51" i="13" s="1"/>
  <c r="AL55" i="13"/>
  <c r="AS55" i="13" s="1" a="1"/>
  <c r="AS55" i="13" s="1"/>
  <c r="AW55" i="13" s="1"/>
  <c r="AL61" i="13"/>
  <c r="AS61" i="13" s="1" a="1"/>
  <c r="AS61" i="13" s="1"/>
  <c r="AW61" i="13" s="1"/>
  <c r="AL31" i="13"/>
  <c r="AS31" i="13" s="1" a="1"/>
  <c r="AS31" i="13" s="1"/>
  <c r="AW31" i="13" s="1"/>
  <c r="AS71" i="13" l="1"/>
  <c r="AW72" i="13"/>
  <c r="AW74" i="13" s="1"/>
  <c r="AL72" i="13"/>
  <c r="AL74" i="13" s="1"/>
  <c r="R10" i="25" l="1"/>
  <c r="U10" i="25"/>
  <c r="X10" i="25"/>
  <c r="AC10" i="25"/>
  <c r="R11" i="25"/>
  <c r="U11" i="25"/>
  <c r="X11" i="25"/>
  <c r="AC11" i="25"/>
  <c r="R12" i="25"/>
  <c r="U12" i="25"/>
  <c r="X12" i="25"/>
  <c r="AC12" i="25"/>
  <c r="R13" i="25"/>
  <c r="U13" i="25"/>
  <c r="X13" i="25"/>
  <c r="AC13" i="25"/>
  <c r="R14" i="25"/>
  <c r="U14" i="25"/>
  <c r="X14" i="25"/>
  <c r="AC14" i="25"/>
  <c r="R15" i="25"/>
  <c r="U15" i="25"/>
  <c r="X15" i="25"/>
  <c r="AC15" i="25"/>
  <c r="S15" i="22" l="1"/>
  <c r="Q15" i="25"/>
  <c r="AR15" i="22"/>
  <c r="AQ15" i="22"/>
  <c r="Y11" i="22"/>
  <c r="W11" i="25"/>
  <c r="Y11" i="25" s="1"/>
  <c r="S12" i="22"/>
  <c r="AR12" i="22"/>
  <c r="AQ12" i="22"/>
  <c r="Q12" i="25"/>
  <c r="Y13" i="22"/>
  <c r="W13" i="25"/>
  <c r="Y13" i="25" s="1"/>
  <c r="V11" i="22"/>
  <c r="AK11" i="22" s="1"/>
  <c r="T11" i="25"/>
  <c r="V11" i="25" s="1"/>
  <c r="AK11" i="25" s="1"/>
  <c r="Y10" i="22"/>
  <c r="W10" i="25"/>
  <c r="Y10" i="25" s="1"/>
  <c r="S14" i="22"/>
  <c r="Q14" i="25"/>
  <c r="AR14" i="22"/>
  <c r="AQ14" i="22"/>
  <c r="V13" i="22"/>
  <c r="AK13" i="22" s="1"/>
  <c r="T13" i="25"/>
  <c r="V13" i="25" s="1"/>
  <c r="AK13" i="25" s="1"/>
  <c r="S11" i="22"/>
  <c r="AQ11" i="22"/>
  <c r="AR11" i="22"/>
  <c r="Q11" i="25"/>
  <c r="Y12" i="22"/>
  <c r="W12" i="25"/>
  <c r="Y12" i="25" s="1"/>
  <c r="V10" i="22"/>
  <c r="AK10" i="22" s="1"/>
  <c r="T10" i="25"/>
  <c r="V10" i="25" s="1"/>
  <c r="AK10" i="25" s="1"/>
  <c r="Y15" i="22"/>
  <c r="W15" i="25"/>
  <c r="Y15" i="25" s="1"/>
  <c r="V15" i="22"/>
  <c r="AK15" i="22" s="1"/>
  <c r="T15" i="25"/>
  <c r="V15" i="25" s="1"/>
  <c r="AK15" i="25" s="1"/>
  <c r="S13" i="22"/>
  <c r="Q13" i="25"/>
  <c r="AR13" i="22"/>
  <c r="AQ13" i="22"/>
  <c r="V14" i="22"/>
  <c r="AK14" i="22" s="1"/>
  <c r="T14" i="25"/>
  <c r="V14" i="25" s="1"/>
  <c r="AK14" i="25" s="1"/>
  <c r="Y14" i="22"/>
  <c r="W14" i="25"/>
  <c r="Y14" i="25" s="1"/>
  <c r="V12" i="22"/>
  <c r="AK12" i="22" s="1"/>
  <c r="T12" i="25"/>
  <c r="V12" i="25" s="1"/>
  <c r="AK12" i="25" s="1"/>
  <c r="S10" i="22"/>
  <c r="AQ10" i="22"/>
  <c r="Q10" i="25"/>
  <c r="AR10" i="22"/>
  <c r="AD10" i="22" l="1"/>
  <c r="AD15" i="25"/>
  <c r="AD10" i="25"/>
  <c r="AB10" i="22"/>
  <c r="AL10" i="22" s="1"/>
  <c r="AS10" i="22" s="1" a="1"/>
  <c r="AS10" i="22" s="1"/>
  <c r="AP10" i="22"/>
  <c r="AN10" i="22"/>
  <c r="P10" i="22"/>
  <c r="AD11" i="22"/>
  <c r="AR10" i="25"/>
  <c r="S10" i="25"/>
  <c r="AQ10" i="25"/>
  <c r="AB11" i="22"/>
  <c r="AL11" i="22" s="1"/>
  <c r="AS11" i="22" s="1" a="1"/>
  <c r="AS11" i="22" s="1"/>
  <c r="P11" i="22"/>
  <c r="AN11" i="22"/>
  <c r="AT11" i="22" s="1"/>
  <c r="AP11" i="22"/>
  <c r="AR13" i="25"/>
  <c r="AQ13" i="25"/>
  <c r="S13" i="25"/>
  <c r="AD12" i="25"/>
  <c r="AD13" i="25"/>
  <c r="AB13" i="22"/>
  <c r="P13" i="22"/>
  <c r="AN13" i="22"/>
  <c r="AP13" i="22"/>
  <c r="AD12" i="22"/>
  <c r="AD13" i="22"/>
  <c r="AL13" i="22"/>
  <c r="AS13" i="22" s="1" a="1"/>
  <c r="AS13" i="22" s="1"/>
  <c r="AD15" i="22"/>
  <c r="AB12" i="22"/>
  <c r="AL12" i="22" s="1"/>
  <c r="AS12" i="22" s="1" a="1"/>
  <c r="AS12" i="22" s="1"/>
  <c r="AN12" i="22"/>
  <c r="AP12" i="22"/>
  <c r="P12" i="22"/>
  <c r="AD11" i="25"/>
  <c r="AD14" i="25"/>
  <c r="S11" i="25"/>
  <c r="AQ11" i="25"/>
  <c r="AR11" i="25"/>
  <c r="AQ14" i="25"/>
  <c r="AR14" i="25"/>
  <c r="S14" i="25"/>
  <c r="AR12" i="25"/>
  <c r="AQ12" i="25"/>
  <c r="S12" i="25"/>
  <c r="AR15" i="25"/>
  <c r="S15" i="25"/>
  <c r="AQ15" i="25"/>
  <c r="AD14" i="22"/>
  <c r="AL14" i="22"/>
  <c r="AS14" i="22" s="1" a="1"/>
  <c r="AS14" i="22" s="1"/>
  <c r="AB14" i="22"/>
  <c r="AN14" i="22"/>
  <c r="AP14" i="22"/>
  <c r="P14" i="22"/>
  <c r="AB15" i="22"/>
  <c r="AL15" i="22" s="1"/>
  <c r="AS15" i="22" s="1" a="1"/>
  <c r="AS15" i="22" s="1"/>
  <c r="AN15" i="22"/>
  <c r="P15" i="22"/>
  <c r="AP15" i="22"/>
  <c r="R7" i="25"/>
  <c r="T7" i="25"/>
  <c r="X7" i="25"/>
  <c r="AC7" i="25"/>
  <c r="R8" i="25"/>
  <c r="U8" i="25"/>
  <c r="X8" i="25"/>
  <c r="AC8" i="25"/>
  <c r="R9" i="25"/>
  <c r="U9" i="25"/>
  <c r="X9" i="25"/>
  <c r="AC9" i="25"/>
  <c r="AT12" i="22" l="1"/>
  <c r="AU12" i="22"/>
  <c r="AW12" i="22"/>
  <c r="AW10" i="22"/>
  <c r="AU10" i="22"/>
  <c r="AW15" i="22"/>
  <c r="AU15" i="22"/>
  <c r="AU11" i="22"/>
  <c r="AW11" i="22"/>
  <c r="V9" i="22"/>
  <c r="AK9" i="22" s="1"/>
  <c r="T9" i="25"/>
  <c r="V9" i="25" s="1"/>
  <c r="AK9" i="25" s="1"/>
  <c r="S7" i="22"/>
  <c r="Q7" i="25"/>
  <c r="AR7" i="22"/>
  <c r="AQ7" i="22"/>
  <c r="AT15" i="22"/>
  <c r="S9" i="22"/>
  <c r="AQ9" i="22"/>
  <c r="AR9" i="22"/>
  <c r="Q9" i="25"/>
  <c r="AN15" i="25"/>
  <c r="AT15" i="25" s="1"/>
  <c r="AB15" i="25"/>
  <c r="AL15" i="25" s="1"/>
  <c r="AS15" i="25" s="1" a="1"/>
  <c r="AS15" i="25" s="1"/>
  <c r="P15" i="25"/>
  <c r="AP15" i="25"/>
  <c r="AT13" i="22"/>
  <c r="AW13" i="22"/>
  <c r="AU13" i="22"/>
  <c r="V8" i="22"/>
  <c r="AK8" i="22" s="1"/>
  <c r="T8" i="25"/>
  <c r="V8" i="25" s="1"/>
  <c r="AK8" i="25" s="1"/>
  <c r="Y7" i="22"/>
  <c r="W7" i="25"/>
  <c r="Y7" i="25" s="1"/>
  <c r="AT14" i="22"/>
  <c r="AN12" i="25"/>
  <c r="AB12" i="25"/>
  <c r="AL12" i="25" s="1"/>
  <c r="AS12" i="25" s="1" a="1"/>
  <c r="AS12" i="25" s="1"/>
  <c r="AP12" i="25"/>
  <c r="P12" i="25"/>
  <c r="AP11" i="25"/>
  <c r="P11" i="25"/>
  <c r="AN11" i="25"/>
  <c r="AB11" i="25"/>
  <c r="AL11" i="25" s="1"/>
  <c r="AS11" i="25" s="1" a="1"/>
  <c r="AS11" i="25" s="1"/>
  <c r="S8" i="22"/>
  <c r="Q8" i="25"/>
  <c r="AR8" i="22"/>
  <c r="AQ8" i="22"/>
  <c r="V7" i="22"/>
  <c r="AK7" i="22" s="1"/>
  <c r="U7" i="25"/>
  <c r="V7" i="25" s="1"/>
  <c r="AK7" i="25" s="1"/>
  <c r="AT10" i="22"/>
  <c r="Y9" i="22"/>
  <c r="W9" i="25"/>
  <c r="Y9" i="25" s="1"/>
  <c r="Y8" i="22"/>
  <c r="W8" i="25"/>
  <c r="Y8" i="25" s="1"/>
  <c r="AW14" i="22"/>
  <c r="AU14" i="22"/>
  <c r="AB14" i="25"/>
  <c r="AL14" i="25" s="1"/>
  <c r="AS14" i="25" s="1" a="1"/>
  <c r="AS14" i="25" s="1"/>
  <c r="AP14" i="25"/>
  <c r="P14" i="25"/>
  <c r="AN14" i="25"/>
  <c r="AB13" i="25"/>
  <c r="AL13" i="25" s="1"/>
  <c r="AS13" i="25" s="1" a="1"/>
  <c r="AS13" i="25" s="1"/>
  <c r="P13" i="25"/>
  <c r="AP13" i="25"/>
  <c r="AN13" i="25"/>
  <c r="AT13" i="25" s="1"/>
  <c r="P10" i="25"/>
  <c r="AB10" i="25"/>
  <c r="AL10" i="25" s="1"/>
  <c r="AS10" i="25" s="1" a="1"/>
  <c r="AS10" i="25" s="1"/>
  <c r="AN10" i="25"/>
  <c r="AP10" i="25"/>
  <c r="X4" i="25"/>
  <c r="X5" i="25"/>
  <c r="X6" i="25"/>
  <c r="U4" i="25"/>
  <c r="U5" i="25"/>
  <c r="U6" i="25"/>
  <c r="R4" i="25"/>
  <c r="R6" i="25"/>
  <c r="R36" i="22" l="1"/>
  <c r="R3" i="25"/>
  <c r="R36" i="25" s="1"/>
  <c r="R93" i="25" s="1"/>
  <c r="X36" i="22"/>
  <c r="X93" i="22" s="1"/>
  <c r="N10" i="3" s="1"/>
  <c r="N14" i="3" s="1"/>
  <c r="X3" i="25"/>
  <c r="X36" i="25" s="1"/>
  <c r="X93" i="25" s="1"/>
  <c r="AU14" i="25"/>
  <c r="AW14" i="25"/>
  <c r="AT11" i="25"/>
  <c r="AD7" i="25"/>
  <c r="AT10" i="25"/>
  <c r="AW10" i="25"/>
  <c r="AU10" i="25"/>
  <c r="AD9" i="22"/>
  <c r="AD7" i="22"/>
  <c r="AW15" i="25"/>
  <c r="AU15" i="25"/>
  <c r="AR7" i="25"/>
  <c r="S7" i="25"/>
  <c r="AQ7" i="25"/>
  <c r="AU11" i="25"/>
  <c r="AW11" i="25"/>
  <c r="AD8" i="25"/>
  <c r="AR9" i="25"/>
  <c r="S9" i="25"/>
  <c r="AQ9" i="25"/>
  <c r="AB7" i="22"/>
  <c r="AL7" i="22" s="1"/>
  <c r="AS7" i="22" s="1" a="1"/>
  <c r="AS7" i="22" s="1"/>
  <c r="AN7" i="22"/>
  <c r="P7" i="22"/>
  <c r="AP7" i="22"/>
  <c r="R5" i="25"/>
  <c r="U36" i="22"/>
  <c r="U93" i="22" s="1"/>
  <c r="K10" i="3" s="1"/>
  <c r="K14" i="3" s="1"/>
  <c r="U3" i="25"/>
  <c r="U36" i="25" s="1"/>
  <c r="U93" i="25" s="1"/>
  <c r="AW13" i="25"/>
  <c r="AU13" i="25"/>
  <c r="AD8" i="22"/>
  <c r="AL8" i="22"/>
  <c r="AS8" i="22" s="1" a="1"/>
  <c r="AS8" i="22" s="1"/>
  <c r="AT14" i="25"/>
  <c r="AR8" i="25"/>
  <c r="S8" i="25"/>
  <c r="AQ8" i="25"/>
  <c r="AW12" i="25"/>
  <c r="AU12" i="25"/>
  <c r="AD9" i="25"/>
  <c r="AB8" i="22"/>
  <c r="AP8" i="22"/>
  <c r="P8" i="22"/>
  <c r="AN8" i="22"/>
  <c r="AT12" i="25"/>
  <c r="AB9" i="22"/>
  <c r="AL9" i="22" s="1"/>
  <c r="AS9" i="22" s="1" a="1"/>
  <c r="AS9" i="22" s="1"/>
  <c r="P9" i="22"/>
  <c r="AN9" i="22"/>
  <c r="AP9" i="22"/>
  <c r="AC6" i="25"/>
  <c r="AC5" i="25"/>
  <c r="AC4" i="25"/>
  <c r="AJ36" i="22"/>
  <c r="AJ93" i="22" s="1"/>
  <c r="U10" i="3" s="1"/>
  <c r="U14" i="3" s="1"/>
  <c r="AW9" i="22" l="1"/>
  <c r="AU9" i="22"/>
  <c r="AT7" i="22"/>
  <c r="AW7" i="22"/>
  <c r="AU7" i="22"/>
  <c r="AT8" i="22"/>
  <c r="AW8" i="22"/>
  <c r="AU8" i="22"/>
  <c r="V4" i="22"/>
  <c r="AK4" i="22" s="1"/>
  <c r="T4" i="25"/>
  <c r="V4" i="25" s="1"/>
  <c r="AK4" i="25" s="1"/>
  <c r="AC36" i="22"/>
  <c r="AC3" i="25"/>
  <c r="AC36" i="25" s="1"/>
  <c r="Q36" i="22"/>
  <c r="AQ3" i="22"/>
  <c r="AQ35" i="22" s="1"/>
  <c r="S3" i="22"/>
  <c r="Q3" i="25"/>
  <c r="AR3" i="22"/>
  <c r="AR5" i="22"/>
  <c r="Q5" i="25"/>
  <c r="AQ5" i="22"/>
  <c r="Y4" i="22"/>
  <c r="W4" i="25"/>
  <c r="Y4" i="25" s="1"/>
  <c r="P8" i="25"/>
  <c r="AB8" i="25"/>
  <c r="AL8" i="25" s="1"/>
  <c r="AS8" i="25" s="1" a="1"/>
  <c r="AS8" i="25" s="1"/>
  <c r="AN8" i="25"/>
  <c r="AT8" i="25" s="1"/>
  <c r="AP8" i="25"/>
  <c r="P7" i="25"/>
  <c r="AN7" i="25"/>
  <c r="AP7" i="25"/>
  <c r="AB7" i="25"/>
  <c r="AL7" i="25" s="1"/>
  <c r="AS7" i="25" s="1" a="1"/>
  <c r="AS7" i="25" s="1"/>
  <c r="W36" i="22"/>
  <c r="W93" i="22" s="1"/>
  <c r="M10" i="3" s="1"/>
  <c r="W3" i="25"/>
  <c r="Y3" i="22"/>
  <c r="V5" i="22"/>
  <c r="AK5" i="22" s="1"/>
  <c r="T5" i="25"/>
  <c r="V5" i="25" s="1"/>
  <c r="AK5" i="25" s="1"/>
  <c r="S6" i="22"/>
  <c r="Q6" i="25"/>
  <c r="AQ6" i="22"/>
  <c r="AR6" i="22"/>
  <c r="S4" i="22"/>
  <c r="Q4" i="25"/>
  <c r="AR4" i="22"/>
  <c r="AQ4" i="22"/>
  <c r="V6" i="22"/>
  <c r="AK6" i="22" s="1"/>
  <c r="T6" i="25"/>
  <c r="V6" i="25" s="1"/>
  <c r="AK6" i="25" s="1"/>
  <c r="AP9" i="25"/>
  <c r="AB9" i="25"/>
  <c r="AL9" i="25" s="1"/>
  <c r="AS9" i="25" s="1" a="1"/>
  <c r="AS9" i="25" s="1"/>
  <c r="AN9" i="25"/>
  <c r="P9" i="25"/>
  <c r="T36" i="22"/>
  <c r="T93" i="22" s="1"/>
  <c r="J10" i="3" s="1"/>
  <c r="V3" i="22"/>
  <c r="T3" i="25"/>
  <c r="Y6" i="22"/>
  <c r="W6" i="25"/>
  <c r="Y6" i="25" s="1"/>
  <c r="AT9" i="22"/>
  <c r="S5" i="22"/>
  <c r="AE36" i="22"/>
  <c r="AE93" i="22" s="1"/>
  <c r="Q10" i="3" s="1"/>
  <c r="Q14" i="3" s="1"/>
  <c r="Y5" i="22"/>
  <c r="W5" i="25"/>
  <c r="Y5" i="25" s="1"/>
  <c r="I10" i="3"/>
  <c r="I14" i="3" s="1"/>
  <c r="R93" i="22"/>
  <c r="S36" i="22" l="1"/>
  <c r="S93" i="22" s="1"/>
  <c r="AB3" i="22"/>
  <c r="P3" i="22"/>
  <c r="AP3" i="22"/>
  <c r="AN3" i="22"/>
  <c r="AD6" i="25"/>
  <c r="AD6" i="22"/>
  <c r="S6" i="25"/>
  <c r="AQ6" i="25"/>
  <c r="AR6" i="25"/>
  <c r="AD4" i="22"/>
  <c r="H10" i="3"/>
  <c r="H14" i="3" s="1"/>
  <c r="Q93" i="22"/>
  <c r="AR93" i="22" s="1"/>
  <c r="AR36" i="22"/>
  <c r="AW9" i="25"/>
  <c r="AU9" i="25"/>
  <c r="AD4" i="25"/>
  <c r="T36" i="25"/>
  <c r="T93" i="25" s="1"/>
  <c r="V3" i="25"/>
  <c r="AB6" i="22"/>
  <c r="AL6" i="22" s="1"/>
  <c r="AS6" i="22" s="1" a="1"/>
  <c r="AS6" i="22" s="1"/>
  <c r="AN6" i="22"/>
  <c r="AP6" i="22"/>
  <c r="P6" i="22"/>
  <c r="AT7" i="25"/>
  <c r="AC93" i="25"/>
  <c r="AW7" i="25"/>
  <c r="AU7" i="25"/>
  <c r="AD5" i="25"/>
  <c r="V36" i="22"/>
  <c r="V93" i="22" s="1"/>
  <c r="AK3" i="22"/>
  <c r="AK36" i="22" s="1"/>
  <c r="AK93" i="22" s="1"/>
  <c r="AR5" i="25"/>
  <c r="AQ5" i="25"/>
  <c r="S5" i="25"/>
  <c r="AC93" i="22"/>
  <c r="AD5" i="22"/>
  <c r="L10" i="3"/>
  <c r="J14" i="3"/>
  <c r="O10" i="3"/>
  <c r="M14" i="3"/>
  <c r="N16" i="3" s="1"/>
  <c r="AD3" i="22"/>
  <c r="Y36" i="22"/>
  <c r="Y93" i="22" s="1"/>
  <c r="AA5" i="22" s="1"/>
  <c r="AL3" i="22"/>
  <c r="AR35" i="22"/>
  <c r="AQ4" i="25"/>
  <c r="S4" i="25"/>
  <c r="AR4" i="25"/>
  <c r="AB5" i="22"/>
  <c r="AL5" i="22" s="1"/>
  <c r="AS5" i="22" s="1" a="1"/>
  <c r="AS5" i="22" s="1"/>
  <c r="P5" i="22"/>
  <c r="AN5" i="22"/>
  <c r="AP5" i="22"/>
  <c r="AT9" i="25"/>
  <c r="AB4" i="22"/>
  <c r="AL4" i="22" s="1"/>
  <c r="AS4" i="22" s="1" a="1"/>
  <c r="AS4" i="22" s="1"/>
  <c r="AN4" i="22"/>
  <c r="AP4" i="22"/>
  <c r="P4" i="22"/>
  <c r="Y3" i="25"/>
  <c r="W36" i="25"/>
  <c r="W93" i="25" s="1"/>
  <c r="AW8" i="25"/>
  <c r="AU8" i="25"/>
  <c r="S3" i="25"/>
  <c r="AQ3" i="25"/>
  <c r="AQ35" i="25" s="1"/>
  <c r="AR3" i="25"/>
  <c r="AR35" i="25" s="1"/>
  <c r="Q36" i="25"/>
  <c r="AT6" i="22" l="1"/>
  <c r="AW6" i="22"/>
  <c r="AU6" i="22"/>
  <c r="AU5" i="22"/>
  <c r="AW5" i="22"/>
  <c r="AT4" i="22"/>
  <c r="AW4" i="22"/>
  <c r="AU4" i="22"/>
  <c r="AT5" i="22"/>
  <c r="AA3" i="22"/>
  <c r="AD3" i="25"/>
  <c r="Y36" i="25"/>
  <c r="AL36" i="22"/>
  <c r="AL93" i="22" s="1"/>
  <c r="AA24" i="22"/>
  <c r="AA31" i="22"/>
  <c r="AA49" i="22"/>
  <c r="AA42" i="22"/>
  <c r="AA39" i="22"/>
  <c r="AA57" i="22"/>
  <c r="AA69" i="22"/>
  <c r="AA44" i="22"/>
  <c r="AA30" i="22"/>
  <c r="AA65" i="22"/>
  <c r="AA16" i="22"/>
  <c r="AA55" i="22"/>
  <c r="AA47" i="22"/>
  <c r="AA45" i="22"/>
  <c r="AA48" i="22"/>
  <c r="AA80" i="22"/>
  <c r="AA46" i="22"/>
  <c r="AA52" i="22"/>
  <c r="AA25" i="22"/>
  <c r="AA67" i="22"/>
  <c r="AA51" i="22"/>
  <c r="AA74" i="22"/>
  <c r="AA28" i="22"/>
  <c r="AA22" i="22"/>
  <c r="AA62" i="22"/>
  <c r="AA63" i="22"/>
  <c r="AA54" i="22"/>
  <c r="AA79" i="22"/>
  <c r="AA83" i="22"/>
  <c r="AA27" i="22"/>
  <c r="AA61" i="22"/>
  <c r="AA40" i="22"/>
  <c r="AA34" i="22"/>
  <c r="AA29" i="22"/>
  <c r="AA26" i="22"/>
  <c r="AA66" i="22"/>
  <c r="AA60" i="22"/>
  <c r="AA70" i="22"/>
  <c r="AA58" i="22"/>
  <c r="AA89" i="22"/>
  <c r="AA78" i="22"/>
  <c r="AA59" i="22"/>
  <c r="AA71" i="22"/>
  <c r="AA33" i="22"/>
  <c r="AA82" i="22"/>
  <c r="AA19" i="22"/>
  <c r="AA20" i="22"/>
  <c r="AA73" i="22"/>
  <c r="AA38" i="22"/>
  <c r="AA43" i="22"/>
  <c r="AA41" i="22"/>
  <c r="AA81" i="22"/>
  <c r="AA88" i="22"/>
  <c r="AA77" i="22"/>
  <c r="AA21" i="22"/>
  <c r="AA76" i="22"/>
  <c r="AA75" i="22"/>
  <c r="AA32" i="22"/>
  <c r="AA18" i="22"/>
  <c r="AA23" i="22"/>
  <c r="AA64" i="22"/>
  <c r="AA72" i="22"/>
  <c r="AA56" i="22"/>
  <c r="AA50" i="22"/>
  <c r="AA85" i="22"/>
  <c r="AA53" i="22"/>
  <c r="AA84" i="22"/>
  <c r="AA68" i="22"/>
  <c r="AA87" i="22"/>
  <c r="AA17" i="22"/>
  <c r="AA86" i="22"/>
  <c r="AA15" i="22"/>
  <c r="AA14" i="22"/>
  <c r="AA10" i="22"/>
  <c r="AA12" i="22"/>
  <c r="AA11" i="22"/>
  <c r="AA13" i="22"/>
  <c r="AA8" i="22"/>
  <c r="AA9" i="22"/>
  <c r="AA7" i="22"/>
  <c r="AS3" i="22"/>
  <c r="AD36" i="22"/>
  <c r="AP6" i="25"/>
  <c r="AB6" i="25"/>
  <c r="AL6" i="25" s="1"/>
  <c r="AS6" i="25" s="1" a="1"/>
  <c r="AS6" i="25" s="1"/>
  <c r="P6" i="25"/>
  <c r="AN6" i="25"/>
  <c r="AN35" i="22"/>
  <c r="Q93" i="25"/>
  <c r="AR93" i="25" s="1"/>
  <c r="AR36" i="25"/>
  <c r="P4" i="25"/>
  <c r="AN4" i="25"/>
  <c r="AT4" i="25" s="1"/>
  <c r="AB4" i="25"/>
  <c r="AL4" i="25" s="1"/>
  <c r="AS4" i="25" s="1" a="1"/>
  <c r="AS4" i="25" s="1"/>
  <c r="AP4" i="25"/>
  <c r="R10" i="3"/>
  <c r="R14" i="3" s="1"/>
  <c r="AD93" i="22"/>
  <c r="AP35" i="22"/>
  <c r="P3" i="25"/>
  <c r="S36" i="25"/>
  <c r="S93" i="25" s="1"/>
  <c r="AP3" i="25"/>
  <c r="AB3" i="25"/>
  <c r="AL3" i="25" s="1"/>
  <c r="AN3" i="25"/>
  <c r="F10" i="3"/>
  <c r="F14" i="3" s="1"/>
  <c r="AH10" i="3"/>
  <c r="O14" i="3"/>
  <c r="AP5" i="25"/>
  <c r="AN5" i="25"/>
  <c r="P5" i="25"/>
  <c r="AB5" i="25"/>
  <c r="AL5" i="25" s="1"/>
  <c r="AS5" i="25" s="1" a="1"/>
  <c r="AS5" i="25" s="1"/>
  <c r="V36" i="25"/>
  <c r="V93" i="25" s="1"/>
  <c r="AK3" i="25"/>
  <c r="AK36" i="25" s="1"/>
  <c r="AK93" i="25" s="1"/>
  <c r="AA6" i="22"/>
  <c r="AA4" i="22"/>
  <c r="AB36" i="22"/>
  <c r="AB93" i="22" s="1"/>
  <c r="P10" i="3" s="1"/>
  <c r="AB10" i="3" s="1"/>
  <c r="AB14" i="3" s="1"/>
  <c r="Z14" i="3"/>
  <c r="L14" i="3"/>
  <c r="AL36" i="25" l="1"/>
  <c r="AL93" i="25" s="1"/>
  <c r="AS3" i="25"/>
  <c r="AT3" i="22"/>
  <c r="AT35" i="22" s="1"/>
  <c r="AW3" i="22"/>
  <c r="AW36" i="22" s="1"/>
  <c r="AW93" i="22" s="1"/>
  <c r="AU3" i="22"/>
  <c r="AU35" i="22" s="1"/>
  <c r="AS35" i="22"/>
  <c r="AA91" i="22"/>
  <c r="AW5" i="25"/>
  <c r="AU5" i="25"/>
  <c r="R16" i="3"/>
  <c r="AT6" i="25"/>
  <c r="Z16" i="3"/>
  <c r="AT5" i="25"/>
  <c r="AN35" i="25"/>
  <c r="AT3" i="25"/>
  <c r="AT35" i="25" s="1"/>
  <c r="Y93" i="25"/>
  <c r="AD36" i="25"/>
  <c r="AE10" i="3"/>
  <c r="P14" i="3"/>
  <c r="AB36" i="25"/>
  <c r="AB93" i="25" s="1"/>
  <c r="AW4" i="25"/>
  <c r="AU4" i="25"/>
  <c r="AU6" i="25"/>
  <c r="AW6" i="25"/>
  <c r="AA36" i="22"/>
  <c r="Q19" i="3"/>
  <c r="W19" i="3"/>
  <c r="S19" i="3"/>
  <c r="T19" i="3"/>
  <c r="Y19" i="3"/>
  <c r="AA19" i="3"/>
  <c r="U19" i="3"/>
  <c r="V19" i="3"/>
  <c r="R19" i="3"/>
  <c r="X19" i="3"/>
  <c r="P19" i="3"/>
  <c r="Z19" i="3"/>
  <c r="W16" i="3"/>
  <c r="AH14" i="3"/>
  <c r="T16" i="3"/>
  <c r="X16" i="3"/>
  <c r="Y16" i="3"/>
  <c r="V16" i="3"/>
  <c r="S16" i="3"/>
  <c r="W17" i="3"/>
  <c r="U16" i="3"/>
  <c r="Q16" i="3"/>
  <c r="AP35" i="25"/>
  <c r="AC10" i="3"/>
  <c r="AA32" i="25" l="1"/>
  <c r="AA24" i="25"/>
  <c r="AA28" i="25"/>
  <c r="AA81" i="25"/>
  <c r="AA71" i="25"/>
  <c r="AA85" i="25"/>
  <c r="AA78" i="25"/>
  <c r="AA62" i="25"/>
  <c r="AA76" i="25"/>
  <c r="AA26" i="25"/>
  <c r="AA31" i="25"/>
  <c r="AA33" i="25"/>
  <c r="AA73" i="25"/>
  <c r="AA65" i="25"/>
  <c r="AA87" i="25"/>
  <c r="AA75" i="25"/>
  <c r="AA66" i="25"/>
  <c r="AA41" i="25"/>
  <c r="AA22" i="25"/>
  <c r="AA18" i="25"/>
  <c r="AA60" i="25"/>
  <c r="AA64" i="25"/>
  <c r="AA49" i="25"/>
  <c r="AA79" i="25"/>
  <c r="AA39" i="25"/>
  <c r="AA54" i="25"/>
  <c r="AA83" i="25"/>
  <c r="AA74" i="25"/>
  <c r="AA20" i="25"/>
  <c r="AA27" i="25"/>
  <c r="AA52" i="25"/>
  <c r="AA44" i="25"/>
  <c r="AA48" i="25"/>
  <c r="AA56" i="25"/>
  <c r="AA47" i="25"/>
  <c r="AA67" i="25"/>
  <c r="AA68" i="25"/>
  <c r="AA70" i="25"/>
  <c r="AA89" i="25"/>
  <c r="AA25" i="25"/>
  <c r="AA17" i="25"/>
  <c r="AA55" i="25"/>
  <c r="AA63" i="25"/>
  <c r="AA53" i="25"/>
  <c r="AA77" i="25"/>
  <c r="AA84" i="25"/>
  <c r="AA21" i="25"/>
  <c r="AA19" i="25"/>
  <c r="AA88" i="25"/>
  <c r="AA45" i="25"/>
  <c r="AA61" i="25"/>
  <c r="AA69" i="25"/>
  <c r="AA46" i="25"/>
  <c r="AA42" i="25"/>
  <c r="AA82" i="25"/>
  <c r="AA23" i="25"/>
  <c r="AA16" i="25"/>
  <c r="AA80" i="25"/>
  <c r="AA38" i="25"/>
  <c r="AA40" i="25"/>
  <c r="AA57" i="25"/>
  <c r="AA51" i="25"/>
  <c r="AA43" i="25"/>
  <c r="AA58" i="25"/>
  <c r="AA34" i="25"/>
  <c r="AA29" i="25"/>
  <c r="AA30" i="25"/>
  <c r="AA72" i="25"/>
  <c r="AA59" i="25"/>
  <c r="AA86" i="25"/>
  <c r="AA50" i="25"/>
  <c r="AA12" i="25"/>
  <c r="AA14" i="25"/>
  <c r="AA15" i="25"/>
  <c r="AA13" i="25"/>
  <c r="AA10" i="25"/>
  <c r="AA11" i="25"/>
  <c r="AA7" i="25"/>
  <c r="AA8" i="25"/>
  <c r="AA9" i="25"/>
  <c r="AA6" i="25"/>
  <c r="AA4" i="25"/>
  <c r="AA5" i="25"/>
  <c r="AD93" i="25"/>
  <c r="AA3" i="25"/>
  <c r="AE14" i="3"/>
  <c r="P16" i="3"/>
  <c r="AS35" i="25"/>
  <c r="AU3" i="25"/>
  <c r="AU35" i="25" s="1"/>
  <c r="AW3" i="25"/>
  <c r="AW36" i="25" s="1"/>
  <c r="AW93" i="25" s="1"/>
  <c r="AC14" i="3"/>
  <c r="AF10" i="3"/>
  <c r="AG10" i="3"/>
  <c r="AD9" i="3"/>
  <c r="AD14" i="3" s="1"/>
  <c r="AL94" i="25" s="1"/>
  <c r="AA93" i="22"/>
  <c r="AA36" i="25" l="1"/>
  <c r="AA93" i="25" s="1"/>
  <c r="AC17" i="3"/>
  <c r="AF14" i="3"/>
  <c r="AC16" i="3"/>
  <c r="AD18" i="3"/>
  <c r="AG14" i="3"/>
  <c r="AA91" i="2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V2" authorId="0" shapeId="0" xr:uid="{8C41FCAF-7BC4-416D-A2F9-4C35BE1BDFAF}">
      <text>
        <r>
          <rPr>
            <sz val="9"/>
            <color indexed="81"/>
            <rFont val="Tahoma"/>
            <family val="2"/>
            <charset val="204"/>
          </rPr>
          <t>Утилизация ВБ
корректировки</t>
        </r>
      </text>
    </comment>
    <comment ref="AA2" authorId="0" shapeId="0" xr:uid="{0B4533D9-4D3C-470D-9254-3EDB287BC2DD}">
      <text>
        <r>
          <rPr>
            <sz val="9"/>
            <color indexed="81"/>
            <rFont val="Tahoma"/>
            <family val="2"/>
            <charset val="204"/>
          </rPr>
          <t xml:space="preserve">Компенсации по браку, потерям, если Доход (тип документа  - Продажа)
</t>
        </r>
      </text>
    </comment>
    <comment ref="V4" authorId="1" shapeId="0" xr:uid="{B1CB3CE2-0126-4F28-A3E6-FA237DCB60F8}">
      <text>
        <r>
          <rPr>
            <b/>
            <sz val="9"/>
            <color indexed="81"/>
            <rFont val="Tahoma"/>
            <charset val="1"/>
          </rPr>
          <t>Гульнара:</t>
        </r>
        <r>
          <rPr>
            <sz val="9"/>
            <color indexed="81"/>
            <rFont val="Tahoma"/>
            <charset val="1"/>
          </rPr>
          <t xml:space="preserve">
Списание за отзыв
</t>
        </r>
      </text>
    </comment>
    <comment ref="V5" authorId="1" shapeId="0" xr:uid="{0154EAD4-DD71-4E4D-A5B7-ABAE49B72771}">
      <text>
        <r>
          <rPr>
            <b/>
            <sz val="9"/>
            <color indexed="81"/>
            <rFont val="Tahoma"/>
            <charset val="1"/>
          </rPr>
          <t>Гульнара:</t>
        </r>
        <r>
          <rPr>
            <sz val="9"/>
            <color indexed="81"/>
            <rFont val="Tahoma"/>
            <charset val="1"/>
          </rPr>
          <t xml:space="preserve">
Списание за отзыв
</t>
        </r>
      </text>
    </comment>
    <comment ref="V6" authorId="1" shapeId="0" xr:uid="{83BEDDF1-B556-4DAA-9065-1A52E6530762}">
      <text>
        <r>
          <rPr>
            <b/>
            <sz val="9"/>
            <color indexed="81"/>
            <rFont val="Tahoma"/>
            <charset val="1"/>
          </rPr>
          <t>Гульнара:</t>
        </r>
        <r>
          <rPr>
            <sz val="9"/>
            <color indexed="81"/>
            <rFont val="Tahoma"/>
            <charset val="1"/>
          </rPr>
          <t xml:space="preserve">
Списание за отзыв
</t>
        </r>
      </text>
    </comment>
    <comment ref="V7" authorId="1" shapeId="0" xr:uid="{266EFD14-8BCF-4D9F-AF12-7A613068D223}">
      <text>
        <r>
          <rPr>
            <b/>
            <sz val="9"/>
            <color indexed="81"/>
            <rFont val="Tahoma"/>
            <charset val="1"/>
          </rPr>
          <t>Гульнара:</t>
        </r>
        <r>
          <rPr>
            <sz val="9"/>
            <color indexed="81"/>
            <rFont val="Tahoma"/>
            <charset val="1"/>
          </rPr>
          <t xml:space="preserve">
Списание за отзыв
</t>
        </r>
      </text>
    </comment>
    <comment ref="V8" authorId="1" shapeId="0" xr:uid="{FEE1F229-1F70-4B6E-9A52-CE48D87A7051}">
      <text>
        <r>
          <rPr>
            <b/>
            <sz val="9"/>
            <color indexed="81"/>
            <rFont val="Tahoma"/>
            <charset val="1"/>
          </rPr>
          <t>Гульнара:</t>
        </r>
        <r>
          <rPr>
            <sz val="9"/>
            <color indexed="81"/>
            <rFont val="Tahoma"/>
            <charset val="1"/>
          </rPr>
          <t xml:space="preserve">
Списание за отзыв
</t>
        </r>
      </text>
    </comment>
    <comment ref="V9" authorId="1" shapeId="0" xr:uid="{CA2E80F6-3B83-4606-9CC3-CB33EA1DB2F4}">
      <text>
        <r>
          <rPr>
            <b/>
            <sz val="9"/>
            <color indexed="81"/>
            <rFont val="Tahoma"/>
            <charset val="1"/>
          </rPr>
          <t>Гульнара:</t>
        </r>
        <r>
          <rPr>
            <sz val="9"/>
            <color indexed="81"/>
            <rFont val="Tahoma"/>
            <charset val="1"/>
          </rPr>
          <t xml:space="preserve">
Списание за отзыв
</t>
        </r>
      </text>
    </comment>
    <comment ref="V10" authorId="1" shapeId="0" xr:uid="{C23E8C4E-0A46-4FDE-A8C6-587F3C3F19A2}">
      <text>
        <r>
          <rPr>
            <b/>
            <sz val="9"/>
            <color indexed="81"/>
            <rFont val="Tahoma"/>
            <charset val="1"/>
          </rPr>
          <t>Гульнара:</t>
        </r>
        <r>
          <rPr>
            <sz val="9"/>
            <color indexed="81"/>
            <rFont val="Tahoma"/>
            <charset val="1"/>
          </rPr>
          <t xml:space="preserve">
Списание за отзыв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3942C35C-63AA-42EF-8BFA-B8DBEC80537D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97C14033-4F6E-4EB3-995F-C23DA18ED45C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F597BA00-7FA2-4A19-A043-148407C46EA8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6CA8BEED-8310-4965-AD2E-475FC19C7FC5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A8CFA3F5-F496-4B2F-AE98-A982627693E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BCB717C9-2F7E-4DEA-9390-B60EEEFF58A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A97AEC48-E0A0-41C0-8EC8-104E533090D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512EB23D-B253-497C-BFC9-731D321467BB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6DE29405-1A61-4115-AB47-14D29186B82D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AD170667-46B7-462C-93B6-18C09BE9749D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CBDC44A7-2D98-4AB7-A246-DB124D29F269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F4458B06-DCD7-4C8D-9808-65C8FA3FFD9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3F692C5E-7447-4290-AE96-9598D0A93B1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BB6D732B-573F-4C0F-A888-BDD0861F28E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BD3DAF8D-DA9B-41E6-928D-AD838113C07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7E495CAC-0439-4273-90A4-4B27CDC2A97C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47EE04B3-BF1E-40E7-9D62-B04996F82C9B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5758D5A6-B471-4038-96DD-7FC5F73E781A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4F847410-986C-4905-916A-911F8A2219A6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03E07E4F-A0A6-465B-9DA5-6DD4CADDFA2F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F7075B41-6545-4875-9762-85BEF0BC39D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0EDB5BF7-A93D-46CF-82FC-5486FA08905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FAD49AE6-57D8-48E6-B6CB-718F534B3CF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49F95720-27FC-4035-BFD1-4F0314FD758F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6B8F1B6E-1ACD-4D3E-932D-69FD99738526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B0A96AFF-C92D-433E-A86B-6456AAD758EF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29E0EFFC-F51F-4BA3-8E78-CDD098023FED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CFE01B8B-8BBC-485D-9C38-60DF5D3402AD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06A6F924-CA64-4211-BEDB-DEE764673AEF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61ADBF7D-AE86-4340-B63E-BFE719D1A41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50822B6E-2735-41BB-98D6-BB48989389D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01C420FB-21D9-4B0D-BD29-16AE890A8792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C769037C-1CFF-4862-88AB-757EB02D4ACB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D3CC06D3-06B9-423D-A91C-6A506E03C83E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58762166-3E61-40D2-A8D8-A27686050FEA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F951D0FC-9EA6-4CD6-A45A-7317A1AD821B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DAC22C7D-F6C0-489D-84BB-20359953DE4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1192FF64-367F-4B9F-B283-8B516FB929A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B99A6C0F-D767-4878-A33A-31F538FB6BE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F0ED0E39-14FC-45E4-A4F5-9FE170379F98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19336D67-6387-4E9D-BB0B-F8B8DA3072D0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CD11A756-E37B-4E48-9B56-3421E83EA5C7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56E431D0-5B1E-408D-8AD9-CC470FA32F10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5C76E1CB-0541-488A-B336-A4AC8FEF537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03558043-F4A0-4372-BC1D-258459FE187C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132A9222-0995-4D2D-83E5-527BB09E94D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A07CC6F9-973B-4FBA-A16C-55FFD26AA6F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BA4D97B1-88F5-453F-A557-487AAA677F8D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1D975D8E-AD94-4BB8-9355-5F1AD9EEBFCA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43F061EA-3D11-4F01-9008-B35434A9447D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CF836CFE-73D3-4CB4-9156-C47B8237CCEB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928FFF2E-4497-4AD8-802E-F2230CA203A0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D6BBF043-B480-4B84-A88F-3FFD17FA20D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FC220016-03B1-4625-BD53-4BA99805869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09174F2A-F05C-4A6A-9BA9-6AF24756BDA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2EDA45CB-048E-48BD-929D-C582A37E9551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CDFBB910-C9AF-44D0-8FBB-F2ECF8EBD135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D7974343-F6B9-4F00-A94E-21C3AA875820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5A30A2E6-3947-49BF-B86C-9BD28F6498EE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1A24F887-2F2D-4DCE-BEDA-25020D80FDE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59AF1F21-1E73-4D84-8EEA-5BB77D2969C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02ECC408-412F-4D9F-90D5-2F672384F1AF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CF565E81-616D-416F-83AA-EC0B6940764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CC9C4026-812B-4BAD-B755-2018FEA798B8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K2" authorId="0" shapeId="0" xr:uid="{31BD5784-0DD1-4040-BECC-6F4586F18036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359E0C28-E978-4D08-BB3E-E8514C7877B0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F22F197F-07A5-4252-86C5-C106CCB23BEA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8D3BF307-F6E3-4483-B4E2-EB263836868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43BC337E-DEC2-41EE-A976-CA8BF85323A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7045303A-AD1E-495E-8FC8-BB90A4B2CC7F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05263472-8D68-4591-B494-EDFD6C8137F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DC0EB75A-78AE-4D09-BC62-E68D2971DC8F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K2" authorId="0" shapeId="0" xr:uid="{94ABDF70-3E81-4746-B340-7834C55F1ABB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FCA5BCD0-2B20-4ECE-B773-0B14E92ADD4D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E3F0BF38-A029-4DAE-9BF9-D92821D9A0DB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45BB9E28-9334-425F-90EE-31AE8573AA34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DA3CA385-27A0-48EB-B163-60CBDE24140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7ED415B9-A142-436F-A1C8-11A0D6AF3C3B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A9E0A23A-933C-4A64-B7CE-83A31F9E78B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08AE77FF-BCE6-4D9D-849B-398DE2D47D94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H3" authorId="1" shapeId="0" xr:uid="{9F70B6CA-2827-4927-A048-721402AF04D9}">
      <text>
        <r>
          <rPr>
            <b/>
            <sz val="9"/>
            <color indexed="81"/>
            <rFont val="Tahoma"/>
            <charset val="1"/>
          </rPr>
          <t>Гульнара:</t>
        </r>
        <r>
          <rPr>
            <sz val="9"/>
            <color indexed="81"/>
            <rFont val="Tahoma"/>
            <charset val="1"/>
          </rPr>
          <t xml:space="preserve">
Остаток на 22.12 - для ориентировочных расходов на хранение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K2" authorId="0" shapeId="0" xr:uid="{2CAFB256-31FB-4FF0-8D6E-588F68DF4A24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O2" authorId="0" shapeId="0" xr:uid="{7EE7A587-97B1-4239-A453-6837C907B5A1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P2" authorId="0" shapeId="0" xr:uid="{18A62E8D-CAC5-4B92-9F93-FA8BC203F76A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Q2" authorId="0" shapeId="0" xr:uid="{860312A0-2615-430E-AB1D-F40365BE63D1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R2" authorId="0" shapeId="0" xr:uid="{B797BB57-9A88-4BD1-8D4B-71043E110CE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4C663836-26F4-4DD1-8DC1-2C7F735B682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W2" authorId="0" shapeId="0" xr:uid="{8AA1DBF4-EAEC-4D12-94D2-8356716E6AD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I2" authorId="0" shapeId="0" xr:uid="{855263DA-96CD-4EE2-AC68-D0AAD711B870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H3" authorId="1" shapeId="0" xr:uid="{9E920B41-7B26-46AE-B69F-FAC92F0D6D07}">
      <text>
        <r>
          <rPr>
            <b/>
            <sz val="9"/>
            <color indexed="81"/>
            <rFont val="Tahoma"/>
            <charset val="1"/>
          </rPr>
          <t>Гульнара:</t>
        </r>
        <r>
          <rPr>
            <sz val="9"/>
            <color indexed="81"/>
            <rFont val="Tahoma"/>
            <charset val="1"/>
          </rPr>
          <t xml:space="preserve">
Остаток на 22.12 - для ориентировочных расходов на хранение</t>
        </r>
      </text>
    </comment>
  </commentList>
</comments>
</file>

<file path=xl/sharedStrings.xml><?xml version="1.0" encoding="utf-8"?>
<sst xmlns="http://schemas.openxmlformats.org/spreadsheetml/2006/main" count="1699" uniqueCount="201">
  <si>
    <t>ПЕРИОД</t>
  </si>
  <si>
    <t>БАЛАНС</t>
  </si>
  <si>
    <t>СЧЕТ</t>
  </si>
  <si>
    <t>Неделя</t>
  </si>
  <si>
    <t>Номер документа</t>
  </si>
  <si>
    <t>Сумма</t>
  </si>
  <si>
    <t>Даты</t>
  </si>
  <si>
    <t>ИТОГО</t>
  </si>
  <si>
    <t>Логистика</t>
  </si>
  <si>
    <t>Хранение</t>
  </si>
  <si>
    <t>Возвраты</t>
  </si>
  <si>
    <t>Прибыль</t>
  </si>
  <si>
    <t>Период</t>
  </si>
  <si>
    <t>Дата поступления дс</t>
  </si>
  <si>
    <t>Итого к перечислению на счет, руб</t>
  </si>
  <si>
    <t>шт.</t>
  </si>
  <si>
    <t>ВБ реализовал товар (выручка с СПП)</t>
  </si>
  <si>
    <t>Выручка до вычета комиссии ВБ</t>
  </si>
  <si>
    <t>Себестоимость продаж</t>
  </si>
  <si>
    <t>Логистика WB</t>
  </si>
  <si>
    <t>Комиссия WB</t>
  </si>
  <si>
    <t>Хранение WB</t>
  </si>
  <si>
    <t>Платная приемка WB</t>
  </si>
  <si>
    <t>Штрафы WB</t>
  </si>
  <si>
    <t>Прочие удержания WB</t>
  </si>
  <si>
    <t>Реклама БАЛАНС</t>
  </si>
  <si>
    <t>Реклама СЧЕТ</t>
  </si>
  <si>
    <t>Блогеры</t>
  </si>
  <si>
    <t xml:space="preserve"> Налог</t>
  </si>
  <si>
    <t>Прочие поступления WB</t>
  </si>
  <si>
    <t>Итого</t>
  </si>
  <si>
    <t>Итог месяц</t>
  </si>
  <si>
    <t>% Cебестоимости</t>
  </si>
  <si>
    <t>Маржинальность, %</t>
  </si>
  <si>
    <t>Рентабельность, %</t>
  </si>
  <si>
    <t>Доля рекламы, %</t>
  </si>
  <si>
    <t>Месяц</t>
  </si>
  <si>
    <t>Нед</t>
  </si>
  <si>
    <t>Заказы</t>
  </si>
  <si>
    <t>Продажи</t>
  </si>
  <si>
    <t>Общая</t>
  </si>
  <si>
    <t>1</t>
  </si>
  <si>
    <t>2</t>
  </si>
  <si>
    <t>3</t>
  </si>
  <si>
    <t>4</t>
  </si>
  <si>
    <t>5</t>
  </si>
  <si>
    <t>% от выручки за весь период</t>
  </si>
  <si>
    <t>Отчет по остаткам 3,4,5</t>
  </si>
  <si>
    <t>Цены и скидки 6</t>
  </si>
  <si>
    <r>
      <t xml:space="preserve">Воронка продаж </t>
    </r>
    <r>
      <rPr>
        <i/>
        <sz val="11"/>
        <color rgb="FFFF0000"/>
        <rFont val="Calibri"/>
        <family val="2"/>
        <charset val="204"/>
        <scheme val="minor"/>
      </rPr>
      <t>16,50,32</t>
    </r>
  </si>
  <si>
    <t>Вставить в Итого</t>
  </si>
  <si>
    <t>на 1 единицу проданного товара</t>
  </si>
  <si>
    <t>Бренд</t>
  </si>
  <si>
    <t>SKU</t>
  </si>
  <si>
    <t>Артикул поставщика</t>
  </si>
  <si>
    <t>Предмет</t>
  </si>
  <si>
    <t xml:space="preserve">Остаток на </t>
  </si>
  <si>
    <t>В пути до клиента</t>
  </si>
  <si>
    <t>В пути от клиента</t>
  </si>
  <si>
    <t>Итого по складам ВБ</t>
  </si>
  <si>
    <t>Себетоимость на 1 ед на 29.09.25</t>
  </si>
  <si>
    <t>Себестоимость остатков</t>
  </si>
  <si>
    <t>Оборачива-емость, дн</t>
  </si>
  <si>
    <t>Заказы, шт
7 дней</t>
  </si>
  <si>
    <t>Средняя цена, руб</t>
  </si>
  <si>
    <t>% выкупа
за 7 дней</t>
  </si>
  <si>
    <t>Скорость заказов</t>
  </si>
  <si>
    <t>Скорость продаж</t>
  </si>
  <si>
    <t>Кол-во 
ПРОДАЖИ</t>
  </si>
  <si>
    <t>Кол-во 
ВОЗВРАТЫ</t>
  </si>
  <si>
    <t>Кол-во
ПРОДАЖИ-ВОЗВРАТЫ</t>
  </si>
  <si>
    <t>Выручка ВБ
ПРОДАЖИ</t>
  </si>
  <si>
    <t>Выручка ВБ
ВОЗВРАТЫ</t>
  </si>
  <si>
    <t>Выручка с учетом СПП 
ПРОДАЖИ - ВОЗВРАТЫ</t>
  </si>
  <si>
    <t>Выручка 
ПРОДАЖИ</t>
  </si>
  <si>
    <t>Выручка 
ВОЗВРАТЫ</t>
  </si>
  <si>
    <t>Выручка с учетом согласованной скидки 
ПРОДАЖИ - ВОЗВРАТЫ</t>
  </si>
  <si>
    <t>Выручка потенциальная</t>
  </si>
  <si>
    <t>Доля выручки, % от общего объема</t>
  </si>
  <si>
    <t>Комиссия, руб</t>
  </si>
  <si>
    <t>Комиссия, %</t>
  </si>
  <si>
    <t>Штрафы</t>
  </si>
  <si>
    <t>Налог 1%</t>
  </si>
  <si>
    <t>Выручка на 1 ед (средняя цена продажи со скидкой)</t>
  </si>
  <si>
    <t>Себестоимость на 1 ед</t>
  </si>
  <si>
    <t>Комиссия на 1 ед</t>
  </si>
  <si>
    <t>Логистика на 1 ед</t>
  </si>
  <si>
    <t>Реклама на 1 ед</t>
  </si>
  <si>
    <t>Прибыль на 1 ед</t>
  </si>
  <si>
    <t>Маржиналь-ность, %</t>
  </si>
  <si>
    <t>Рентабель-ность, %</t>
  </si>
  <si>
    <t>Прибыль с остатков</t>
  </si>
  <si>
    <t>Черные с железкой Сул</t>
  </si>
  <si>
    <t>Солнцезащитные очки</t>
  </si>
  <si>
    <t>Qs черн Сул</t>
  </si>
  <si>
    <t>Qs син Сул</t>
  </si>
  <si>
    <t>Qs желт Сул</t>
  </si>
  <si>
    <t>flip черные Сул</t>
  </si>
  <si>
    <t>flip желтые Сул</t>
  </si>
  <si>
    <t>MR8854 C2  Сул</t>
  </si>
  <si>
    <t>MR 1819 черн</t>
  </si>
  <si>
    <t>MR 1819 корич</t>
  </si>
  <si>
    <t>MR Р1874 черн</t>
  </si>
  <si>
    <t>MR Р1874 корич</t>
  </si>
  <si>
    <t>MR Р1886 черн</t>
  </si>
  <si>
    <t>MR Р1886 корич</t>
  </si>
  <si>
    <t>Итого очки</t>
  </si>
  <si>
    <t>Итого ___</t>
  </si>
  <si>
    <t>12-18.01_3 нед</t>
  </si>
  <si>
    <t>14-18.01</t>
  </si>
  <si>
    <t>18.01</t>
  </si>
  <si>
    <t>11-17.01</t>
  </si>
  <si>
    <t>ОЧКИ</t>
  </si>
  <si>
    <t>%
прибыль</t>
  </si>
  <si>
    <t>Доля</t>
  </si>
  <si>
    <t>ABC прибыль</t>
  </si>
  <si>
    <t>ABC
 кол-во</t>
  </si>
  <si>
    <t>Кол-во</t>
  </si>
  <si>
    <t>%
кол-во</t>
  </si>
  <si>
    <t>A</t>
  </si>
  <si>
    <t>B</t>
  </si>
  <si>
    <t>C</t>
  </si>
  <si>
    <t>Январь 1</t>
  </si>
  <si>
    <t>Январь 2</t>
  </si>
  <si>
    <t>Январь 3</t>
  </si>
  <si>
    <t>Январь 4</t>
  </si>
  <si>
    <t>29.12-04.01</t>
  </si>
  <si>
    <t>05-11.01</t>
  </si>
  <si>
    <t>12-18.01</t>
  </si>
  <si>
    <t>Январь 5</t>
  </si>
  <si>
    <t>19-25.01</t>
  </si>
  <si>
    <t>26.01-01.02</t>
  </si>
  <si>
    <t>19-25.01_4 нед</t>
  </si>
  <si>
    <t>26.01-01.02_5 нед</t>
  </si>
  <si>
    <t>05-11.02_2 нед</t>
  </si>
  <si>
    <t>29.12-04.01_1 нед</t>
  </si>
  <si>
    <t>01-04.01</t>
  </si>
  <si>
    <t>04-11.01</t>
  </si>
  <si>
    <t>Остаток на 26.01</t>
  </si>
  <si>
    <t>Остаток на 02.02</t>
  </si>
  <si>
    <t>29.12-01.02_1-5 нед</t>
  </si>
  <si>
    <t>11-18.01</t>
  </si>
  <si>
    <t>18-25.01</t>
  </si>
  <si>
    <t>18-23.01</t>
  </si>
  <si>
    <t>25.01</t>
  </si>
  <si>
    <t/>
  </si>
  <si>
    <t>27-31.01</t>
  </si>
  <si>
    <t>25.01-01.02</t>
  </si>
  <si>
    <t>01.02</t>
  </si>
  <si>
    <t>.</t>
  </si>
  <si>
    <t>25-31.01</t>
  </si>
  <si>
    <t>02-08.02</t>
  </si>
  <si>
    <t>09-15.02</t>
  </si>
  <si>
    <t>16-22.02</t>
  </si>
  <si>
    <t>23.02-01.03</t>
  </si>
  <si>
    <t>6</t>
  </si>
  <si>
    <t>7</t>
  </si>
  <si>
    <t>8</t>
  </si>
  <si>
    <t>9</t>
  </si>
  <si>
    <t>Февраль 1</t>
  </si>
  <si>
    <t>Февраль 2</t>
  </si>
  <si>
    <t>Февраль 3</t>
  </si>
  <si>
    <t>Февраль 4</t>
  </si>
  <si>
    <t>02-08.02_6 нед</t>
  </si>
  <si>
    <t>09-15.02_7 нед</t>
  </si>
  <si>
    <t>16-22.02_8 нед</t>
  </si>
  <si>
    <t>23.02-01.03_9 нед</t>
  </si>
  <si>
    <t>02.02-01.03_6-9 нед</t>
  </si>
  <si>
    <t>Остаток на 02.03</t>
  </si>
  <si>
    <t>Остаток на 09.02</t>
  </si>
  <si>
    <t>ЯНВАРЬ</t>
  </si>
  <si>
    <t>01-08.02</t>
  </si>
  <si>
    <t>01-04.02</t>
  </si>
  <si>
    <t>08.02</t>
  </si>
  <si>
    <t>qs001</t>
  </si>
  <si>
    <t>qs002</t>
  </si>
  <si>
    <t>qs003</t>
  </si>
  <si>
    <t>qs005</t>
  </si>
  <si>
    <t>qs006</t>
  </si>
  <si>
    <t>qs013</t>
  </si>
  <si>
    <t>qs014</t>
  </si>
  <si>
    <t>qs015</t>
  </si>
  <si>
    <t>qs001 Ж</t>
  </si>
  <si>
    <t>qs010ж</t>
  </si>
  <si>
    <t>qs011ж</t>
  </si>
  <si>
    <t>qs012ж</t>
  </si>
  <si>
    <t>2038ч/б</t>
  </si>
  <si>
    <t>2038красный</t>
  </si>
  <si>
    <t>2100черный</t>
  </si>
  <si>
    <t>2100красный</t>
  </si>
  <si>
    <t>2100фиолетовый</t>
  </si>
  <si>
    <t>2104</t>
  </si>
  <si>
    <t>6008</t>
  </si>
  <si>
    <t>Остаток на 23.02</t>
  </si>
  <si>
    <t>Остаток на 16.02</t>
  </si>
  <si>
    <t>Прибыль до вычета налогов</t>
  </si>
  <si>
    <t>Прибыль после вычета налогов</t>
  </si>
  <si>
    <t>08-15.02</t>
  </si>
  <si>
    <t>15-22.02</t>
  </si>
  <si>
    <t>09-12.02</t>
  </si>
  <si>
    <t>15,02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</si>
</sst>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* #,##0.00\ &quot;₽&quot;_-;\-* #,##0.00\ &quot;₽&quot;_-;_-* &quot;-&quot;??\ &quot;₽&quot;_-;_-@_-"/>
    <numFmt numFmtId="43" formatCode="_-* #,##0.00_-;\-* #,##0.00_-;_-* &quot;-&quot;??_-;_-@_-"/>
    <numFmt numFmtId="164" formatCode="[$-419]d\ mmm;@"/>
    <numFmt numFmtId="165" formatCode="_-* #,##0\ &quot;₽&quot;_-;\-* #,##0\ &quot;₽&quot;_-;_-* &quot;-&quot;??\ &quot;₽&quot;_-;_-@_-"/>
    <numFmt numFmtId="166" formatCode="#,##0.00_ ;\-#,##0.00\ "/>
    <numFmt numFmtId="167" formatCode="_-* #,##0_-;\-* #,##0_-;_-* &quot;-&quot;??_-;_-@_-"/>
    <numFmt numFmtId="168" formatCode="#,##0_ ;\-#,##0\ "/>
    <numFmt numFmtId="169" formatCode="000000"/>
    <numFmt numFmtId="170" formatCode="_-* #,##0.00\ _₽_-;\-* #,##0.00\ _₽_-;_-* &quot;-&quot;??\ _₽_-;_-@_-"/>
    <numFmt numFmtId="171" formatCode="_-* #,##0\ _₽_-;\-* #,##0\ _₽_-;_-* &quot;-&quot;??\ _₽_-;_-@_-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b/>
      <sz val="12"/>
      <name val="Calibri"/>
      <family val="2"/>
      <charset val="204"/>
    </font>
    <font>
      <sz val="12"/>
      <name val="Verdana"/>
      <family val="2"/>
      <charset val="204"/>
    </font>
    <font>
      <sz val="12"/>
      <name val="Calibri"/>
      <family val="2"/>
      <charset val="204"/>
    </font>
    <font>
      <b/>
      <sz val="9"/>
      <color indexed="81"/>
      <name val="Tahoma"/>
      <charset val="1"/>
    </font>
    <font>
      <sz val="9"/>
      <color indexed="81"/>
      <name val="Tahoma"/>
      <charset val="1"/>
    </font>
    <font>
      <sz val="10"/>
      <name val="Verdana"/>
      <family val="2"/>
      <charset val="204"/>
    </font>
    <font>
      <sz val="12"/>
      <name val="Verdana"/>
      <family val="2"/>
    </font>
    <font>
      <b/>
      <sz val="10"/>
      <name val="Verdana"/>
      <family val="2"/>
      <charset val="204"/>
    </font>
    <font>
      <b/>
      <sz val="8"/>
      <name val="Verdana"/>
      <family val="2"/>
      <charset val="204"/>
    </font>
    <font>
      <sz val="10"/>
      <color rgb="FF00B050"/>
      <name val="Verdana"/>
      <family val="2"/>
      <charset val="204"/>
    </font>
    <font>
      <b/>
      <sz val="10"/>
      <name val="Arial"/>
      <family val="2"/>
      <charset val="204"/>
    </font>
    <font>
      <b/>
      <sz val="10"/>
      <color rgb="FFC00000"/>
      <name val="Verdana"/>
      <family val="2"/>
      <charset val="204"/>
    </font>
    <font>
      <sz val="10"/>
      <name val="Calibri"/>
      <family val="2"/>
      <charset val="204"/>
    </font>
    <font>
      <b/>
      <sz val="12"/>
      <color rgb="FFFFFFFF"/>
      <name val="Montserrat"/>
    </font>
    <font>
      <sz val="10"/>
      <name val="Montserrat"/>
    </font>
    <font>
      <sz val="10"/>
      <color rgb="FF00FF00"/>
      <name val="Montserrat"/>
    </font>
    <font>
      <sz val="12"/>
      <color rgb="FFFFFFFF"/>
      <name val="Montserrat"/>
    </font>
    <font>
      <sz val="12"/>
      <color rgb="FF00FF00"/>
      <name val="Montserrat"/>
    </font>
    <font>
      <b/>
      <sz val="12"/>
      <color rgb="FF999999"/>
      <name val="Montserrat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sz val="11"/>
      <color theme="1"/>
      <name val="Calibri"/>
      <family val="2"/>
    </font>
    <font>
      <b/>
      <sz val="11"/>
      <name val="Calibri"/>
      <family val="2"/>
      <charset val="204"/>
      <scheme val="minor"/>
    </font>
    <font>
      <i/>
      <sz val="11"/>
      <name val="Calibri"/>
      <family val="2"/>
      <charset val="204"/>
      <scheme val="minor"/>
    </font>
    <font>
      <i/>
      <sz val="11"/>
      <color rgb="FFFF000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i/>
      <sz val="11"/>
      <color rgb="FFC0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1"/>
      <color rgb="FF000000"/>
      <name val="Calibri"/>
      <family val="2"/>
    </font>
    <font>
      <b/>
      <i/>
      <sz val="11"/>
      <name val="Calibri"/>
      <family val="2"/>
      <charset val="204"/>
      <scheme val="minor"/>
    </font>
    <font>
      <b/>
      <u/>
      <sz val="11"/>
      <name val="Calibri"/>
      <family val="2"/>
      <charset val="204"/>
      <scheme val="minor"/>
    </font>
    <font>
      <sz val="11"/>
      <color rgb="FF000000"/>
      <name val="Calibri"/>
      <family val="2"/>
      <charset val="204"/>
    </font>
    <font>
      <b/>
      <sz val="9"/>
      <color rgb="FFFFFFFF"/>
      <name val="Comfortaa"/>
    </font>
    <font>
      <b/>
      <sz val="10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sz val="10"/>
      <color rgb="FFFF0000"/>
      <name val="Calibri"/>
      <family val="2"/>
      <charset val="204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D37BD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EED2EB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46BDC6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4CCCC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theme="2" tint="-9.9978637043366805E-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theme="2" tint="-9.9978637043366805E-2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/>
      <right/>
      <top/>
      <bottom style="thin">
        <color theme="6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/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/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indexed="64"/>
      </left>
      <right style="thin">
        <color indexed="64"/>
      </right>
      <top/>
      <bottom style="thin">
        <color theme="2" tint="-9.9978637043366805E-2"/>
      </bottom>
      <diagonal/>
    </border>
    <border>
      <left style="medium">
        <color theme="2" tint="-9.9978637043366805E-2"/>
      </left>
      <right/>
      <top style="medium">
        <color theme="2" tint="-9.9978637043366805E-2"/>
      </top>
      <bottom style="medium">
        <color theme="2" tint="-9.9978637043366805E-2"/>
      </bottom>
      <diagonal/>
    </border>
    <border>
      <left/>
      <right/>
      <top style="medium">
        <color theme="2" tint="-9.9978637043366805E-2"/>
      </top>
      <bottom style="medium">
        <color theme="2" tint="-9.9978637043366805E-2"/>
      </bottom>
      <diagonal/>
    </border>
    <border>
      <left/>
      <right style="medium">
        <color theme="2" tint="-9.9978637043366805E-2"/>
      </right>
      <top style="medium">
        <color theme="2" tint="-9.9978637043366805E-2"/>
      </top>
      <bottom style="medium">
        <color theme="2" tint="-9.9978637043366805E-2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theme="2" tint="-9.9978637043366805E-2"/>
      </left>
      <right style="medium">
        <color theme="2" tint="-9.9978637043366805E-2"/>
      </right>
      <top/>
      <bottom style="medium">
        <color theme="2" tint="-9.9978637043366805E-2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</borders>
  <cellStyleXfs count="1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" fillId="0" borderId="0"/>
    <xf numFmtId="43" fontId="5" fillId="0" borderId="0" applyFont="0" applyFill="0" applyBorder="0" applyAlignment="0" applyProtection="0"/>
    <xf numFmtId="0" fontId="25" fillId="0" borderId="0"/>
    <xf numFmtId="43" fontId="25" fillId="0" borderId="0" applyFont="0" applyFill="0" applyBorder="0" applyAlignment="0" applyProtection="0"/>
    <xf numFmtId="9" fontId="32" fillId="0" borderId="0" applyFont="0" applyFill="0" applyBorder="0" applyAlignment="0" applyProtection="0"/>
    <xf numFmtId="43" fontId="5" fillId="0" borderId="0" applyFont="0" applyFill="0" applyBorder="0" applyAlignment="0" applyProtection="0"/>
    <xf numFmtId="170" fontId="10" fillId="0" borderId="0" applyFont="0" applyFill="0" applyBorder="0" applyAlignment="0" applyProtection="0"/>
    <xf numFmtId="170" fontId="32" fillId="0" borderId="0" applyFont="0" applyFill="0" applyBorder="0" applyAlignment="0" applyProtection="0"/>
    <xf numFmtId="0" fontId="35" fillId="0" borderId="0"/>
    <xf numFmtId="43" fontId="5" fillId="0" borderId="0" applyFont="0" applyFill="0" applyBorder="0" applyAlignment="0" applyProtection="0"/>
    <xf numFmtId="9" fontId="10" fillId="0" borderId="0" applyFont="0" applyFill="0" applyBorder="0" applyAlignment="0" applyProtection="0"/>
  </cellStyleXfs>
  <cellXfs count="353">
    <xf numFmtId="0" fontId="0" fillId="0" borderId="0" xfId="0"/>
    <xf numFmtId="0" fontId="4" fillId="0" borderId="0" xfId="0" applyFont="1" applyAlignment="1">
      <alignment wrapText="1"/>
    </xf>
    <xf numFmtId="0" fontId="4" fillId="0" borderId="1" xfId="0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center" vertical="center" wrapText="1"/>
    </xf>
    <xf numFmtId="49" fontId="4" fillId="0" borderId="7" xfId="0" applyNumberFormat="1" applyFont="1" applyBorder="1" applyAlignment="1">
      <alignment horizontal="center" vertical="center" wrapText="1"/>
    </xf>
    <xf numFmtId="49" fontId="4" fillId="0" borderId="3" xfId="0" applyNumberFormat="1" applyFont="1" applyBorder="1" applyAlignment="1">
      <alignment horizontal="center" vertical="center" wrapText="1"/>
    </xf>
    <xf numFmtId="0" fontId="9" fillId="0" borderId="0" xfId="0" applyFont="1"/>
    <xf numFmtId="49" fontId="9" fillId="0" borderId="0" xfId="0" applyNumberFormat="1" applyFont="1"/>
    <xf numFmtId="0" fontId="9" fillId="0" borderId="0" xfId="0" applyFont="1" applyAlignment="1">
      <alignment horizontal="center"/>
    </xf>
    <xf numFmtId="164" fontId="9" fillId="0" borderId="0" xfId="0" applyNumberFormat="1" applyFont="1"/>
    <xf numFmtId="9" fontId="9" fillId="0" borderId="0" xfId="2" applyFont="1" applyBorder="1"/>
    <xf numFmtId="0" fontId="11" fillId="0" borderId="0" xfId="0" applyFont="1" applyAlignment="1">
      <alignment horizontal="center" vertical="center" wrapText="1"/>
    </xf>
    <xf numFmtId="0" fontId="11" fillId="0" borderId="0" xfId="0" applyFont="1" applyAlignment="1">
      <alignment horizontal="left" vertical="center"/>
    </xf>
    <xf numFmtId="49" fontId="11" fillId="3" borderId="18" xfId="0" applyNumberFormat="1" applyFont="1" applyFill="1" applyBorder="1" applyAlignment="1">
      <alignment horizontal="center" vertical="center" wrapText="1"/>
    </xf>
    <xf numFmtId="49" fontId="11" fillId="3" borderId="19" xfId="0" applyNumberFormat="1" applyFont="1" applyFill="1" applyBorder="1" applyAlignment="1">
      <alignment horizontal="center" vertical="center" wrapText="1"/>
    </xf>
    <xf numFmtId="1" fontId="11" fillId="3" borderId="19" xfId="0" applyNumberFormat="1" applyFont="1" applyFill="1" applyBorder="1" applyAlignment="1">
      <alignment horizontal="center" vertical="center" wrapText="1"/>
    </xf>
    <xf numFmtId="0" fontId="11" fillId="2" borderId="19" xfId="0" applyFont="1" applyFill="1" applyBorder="1" applyAlignment="1">
      <alignment horizontal="center" vertical="center" wrapText="1"/>
    </xf>
    <xf numFmtId="0" fontId="11" fillId="4" borderId="19" xfId="0" applyFont="1" applyFill="1" applyBorder="1" applyAlignment="1">
      <alignment horizontal="center" vertical="center" wrapText="1"/>
    </xf>
    <xf numFmtId="0" fontId="11" fillId="5" borderId="19" xfId="0" applyFont="1" applyFill="1" applyBorder="1" applyAlignment="1">
      <alignment horizontal="center" vertical="center" wrapText="1"/>
    </xf>
    <xf numFmtId="165" fontId="9" fillId="0" borderId="0" xfId="1" applyNumberFormat="1" applyFont="1" applyBorder="1"/>
    <xf numFmtId="49" fontId="9" fillId="13" borderId="4" xfId="0" applyNumberFormat="1" applyFont="1" applyFill="1" applyBorder="1"/>
    <xf numFmtId="3" fontId="9" fillId="0" borderId="4" xfId="4" applyNumberFormat="1" applyFont="1" applyFill="1" applyBorder="1"/>
    <xf numFmtId="3" fontId="9" fillId="0" borderId="4" xfId="4" applyNumberFormat="1" applyFont="1" applyBorder="1"/>
    <xf numFmtId="167" fontId="9" fillId="0" borderId="9" xfId="4" applyNumberFormat="1" applyFont="1" applyBorder="1"/>
    <xf numFmtId="3" fontId="9" fillId="0" borderId="9" xfId="4" applyNumberFormat="1" applyFont="1" applyBorder="1"/>
    <xf numFmtId="3" fontId="9" fillId="0" borderId="9" xfId="4" applyNumberFormat="1" applyFont="1" applyFill="1" applyBorder="1"/>
    <xf numFmtId="3" fontId="9" fillId="13" borderId="4" xfId="4" applyNumberFormat="1" applyFont="1" applyFill="1" applyBorder="1"/>
    <xf numFmtId="49" fontId="9" fillId="13" borderId="2" xfId="0" applyNumberFormat="1" applyFont="1" applyFill="1" applyBorder="1"/>
    <xf numFmtId="49" fontId="9" fillId="13" borderId="2" xfId="3" applyNumberFormat="1" applyFont="1" applyFill="1" applyBorder="1" applyAlignment="1">
      <alignment horizontal="center"/>
    </xf>
    <xf numFmtId="49" fontId="9" fillId="13" borderId="4" xfId="3" applyNumberFormat="1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49" fontId="9" fillId="13" borderId="24" xfId="0" applyNumberFormat="1" applyFont="1" applyFill="1" applyBorder="1"/>
    <xf numFmtId="49" fontId="9" fillId="13" borderId="1" xfId="0" applyNumberFormat="1" applyFont="1" applyFill="1" applyBorder="1"/>
    <xf numFmtId="49" fontId="9" fillId="13" borderId="1" xfId="3" applyNumberFormat="1" applyFont="1" applyFill="1" applyBorder="1" applyAlignment="1">
      <alignment horizontal="center"/>
    </xf>
    <xf numFmtId="166" fontId="9" fillId="0" borderId="4" xfId="4" applyNumberFormat="1" applyFont="1" applyFill="1" applyBorder="1"/>
    <xf numFmtId="3" fontId="11" fillId="9" borderId="4" xfId="4" applyNumberFormat="1" applyFont="1" applyFill="1" applyBorder="1"/>
    <xf numFmtId="49" fontId="9" fillId="13" borderId="18" xfId="0" applyNumberFormat="1" applyFont="1" applyFill="1" applyBorder="1"/>
    <xf numFmtId="49" fontId="9" fillId="13" borderId="19" xfId="0" applyNumberFormat="1" applyFont="1" applyFill="1" applyBorder="1"/>
    <xf numFmtId="49" fontId="9" fillId="13" borderId="19" xfId="3" applyNumberFormat="1" applyFont="1" applyFill="1" applyBorder="1" applyAlignment="1">
      <alignment horizontal="center"/>
    </xf>
    <xf numFmtId="166" fontId="13" fillId="0" borderId="19" xfId="4" applyNumberFormat="1" applyFont="1" applyFill="1" applyBorder="1"/>
    <xf numFmtId="166" fontId="9" fillId="0" borderId="19" xfId="4" applyNumberFormat="1" applyFont="1" applyFill="1" applyBorder="1"/>
    <xf numFmtId="3" fontId="9" fillId="0" borderId="19" xfId="4" applyNumberFormat="1" applyFont="1" applyFill="1" applyBorder="1"/>
    <xf numFmtId="3" fontId="9" fillId="0" borderId="19" xfId="4" applyNumberFormat="1" applyFont="1" applyBorder="1"/>
    <xf numFmtId="167" fontId="9" fillId="0" borderId="31" xfId="4" applyNumberFormat="1" applyFont="1" applyBorder="1"/>
    <xf numFmtId="3" fontId="9" fillId="0" borderId="31" xfId="4" applyNumberFormat="1" applyFont="1" applyBorder="1"/>
    <xf numFmtId="3" fontId="9" fillId="0" borderId="31" xfId="4" applyNumberFormat="1" applyFont="1" applyFill="1" applyBorder="1"/>
    <xf numFmtId="3" fontId="9" fillId="13" borderId="19" xfId="4" applyNumberFormat="1" applyFont="1" applyFill="1" applyBorder="1"/>
    <xf numFmtId="3" fontId="11" fillId="9" borderId="19" xfId="4" applyNumberFormat="1" applyFont="1" applyFill="1" applyBorder="1"/>
    <xf numFmtId="166" fontId="13" fillId="0" borderId="1" xfId="4" applyNumberFormat="1" applyFont="1" applyFill="1" applyBorder="1"/>
    <xf numFmtId="14" fontId="9" fillId="13" borderId="28" xfId="3" applyNumberFormat="1" applyFont="1" applyFill="1" applyBorder="1" applyAlignment="1">
      <alignment horizontal="center"/>
    </xf>
    <xf numFmtId="14" fontId="9" fillId="13" borderId="22" xfId="3" applyNumberFormat="1" applyFont="1" applyFill="1" applyBorder="1" applyAlignment="1">
      <alignment horizontal="center"/>
    </xf>
    <xf numFmtId="49" fontId="14" fillId="0" borderId="30" xfId="0" applyNumberFormat="1" applyFont="1" applyBorder="1"/>
    <xf numFmtId="49" fontId="14" fillId="0" borderId="20" xfId="0" applyNumberFormat="1" applyFont="1" applyBorder="1"/>
    <xf numFmtId="0" fontId="14" fillId="0" borderId="20" xfId="0" applyFont="1" applyBorder="1" applyAlignment="1">
      <alignment horizontal="center"/>
    </xf>
    <xf numFmtId="164" fontId="14" fillId="0" borderId="20" xfId="0" applyNumberFormat="1" applyFont="1" applyBorder="1"/>
    <xf numFmtId="165" fontId="11" fillId="0" borderId="20" xfId="0" applyNumberFormat="1" applyFont="1" applyBorder="1"/>
    <xf numFmtId="168" fontId="11" fillId="0" borderId="20" xfId="0" applyNumberFormat="1" applyFont="1" applyBorder="1"/>
    <xf numFmtId="9" fontId="11" fillId="0" borderId="0" xfId="2" applyFont="1" applyBorder="1"/>
    <xf numFmtId="49" fontId="14" fillId="0" borderId="0" xfId="0" applyNumberFormat="1" applyFont="1"/>
    <xf numFmtId="164" fontId="14" fillId="0" borderId="0" xfId="0" applyNumberFormat="1" applyFont="1"/>
    <xf numFmtId="165" fontId="11" fillId="0" borderId="0" xfId="0" applyNumberFormat="1" applyFont="1"/>
    <xf numFmtId="0" fontId="15" fillId="0" borderId="0" xfId="3" applyFont="1" applyAlignment="1">
      <alignment vertical="center"/>
    </xf>
    <xf numFmtId="49" fontId="9" fillId="0" borderId="0" xfId="0" applyNumberFormat="1" applyFont="1" applyAlignment="1">
      <alignment horizontal="center"/>
    </xf>
    <xf numFmtId="164" fontId="9" fillId="0" borderId="0" xfId="0" applyNumberFormat="1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9" fontId="11" fillId="0" borderId="0" xfId="2" applyFont="1" applyBorder="1" applyAlignment="1">
      <alignment horizontal="center" vertical="center"/>
    </xf>
    <xf numFmtId="167" fontId="9" fillId="0" borderId="0" xfId="2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9" fontId="9" fillId="0" borderId="0" xfId="2" applyFont="1" applyBorder="1" applyAlignment="1">
      <alignment horizontal="center"/>
    </xf>
    <xf numFmtId="49" fontId="9" fillId="0" borderId="27" xfId="0" applyNumberFormat="1" applyFont="1" applyBorder="1" applyAlignment="1">
      <alignment horizontal="center"/>
    </xf>
    <xf numFmtId="0" fontId="9" fillId="0" borderId="27" xfId="0" applyFont="1" applyBorder="1" applyAlignment="1">
      <alignment horizontal="center"/>
    </xf>
    <xf numFmtId="164" fontId="9" fillId="0" borderId="27" xfId="0" applyNumberFormat="1" applyFont="1" applyBorder="1" applyAlignment="1">
      <alignment horizontal="right" vertical="center"/>
    </xf>
    <xf numFmtId="0" fontId="9" fillId="0" borderId="27" xfId="0" applyFont="1" applyBorder="1" applyAlignment="1">
      <alignment horizontal="right" vertical="center"/>
    </xf>
    <xf numFmtId="0" fontId="15" fillId="0" borderId="27" xfId="3" applyFont="1" applyBorder="1" applyAlignment="1">
      <alignment vertical="center"/>
    </xf>
    <xf numFmtId="9" fontId="11" fillId="0" borderId="27" xfId="2" applyFont="1" applyBorder="1" applyAlignment="1">
      <alignment horizontal="center" vertical="center"/>
    </xf>
    <xf numFmtId="167" fontId="9" fillId="0" borderId="27" xfId="2" applyNumberFormat="1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11" fillId="0" borderId="27" xfId="0" applyFont="1" applyBorder="1" applyAlignment="1">
      <alignment horizontal="left" vertical="center"/>
    </xf>
    <xf numFmtId="0" fontId="16" fillId="0" borderId="0" xfId="0" applyFont="1" applyAlignment="1">
      <alignment vertical="center" wrapText="1"/>
    </xf>
    <xf numFmtId="0" fontId="17" fillId="0" borderId="0" xfId="0" applyFont="1" applyAlignment="1">
      <alignment vertical="center"/>
    </xf>
    <xf numFmtId="0" fontId="16" fillId="0" borderId="0" xfId="0" applyFont="1" applyAlignment="1">
      <alignment wrapText="1"/>
    </xf>
    <xf numFmtId="0" fontId="18" fillId="0" borderId="0" xfId="0" applyFont="1" applyAlignment="1">
      <alignment wrapText="1"/>
    </xf>
    <xf numFmtId="0" fontId="19" fillId="0" borderId="0" xfId="0" applyFont="1" applyAlignment="1">
      <alignment horizontal="right" wrapText="1"/>
    </xf>
    <xf numFmtId="0" fontId="20" fillId="0" borderId="0" xfId="0" applyFont="1" applyAlignment="1">
      <alignment vertical="center"/>
    </xf>
    <xf numFmtId="0" fontId="20" fillId="0" borderId="0" xfId="0" applyFont="1" applyAlignment="1">
      <alignment wrapText="1"/>
    </xf>
    <xf numFmtId="0" fontId="21" fillId="0" borderId="0" xfId="0" applyFont="1" applyAlignment="1">
      <alignment horizontal="right" wrapText="1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right" wrapText="1"/>
    </xf>
    <xf numFmtId="0" fontId="17" fillId="0" borderId="0" xfId="0" applyFont="1" applyAlignment="1">
      <alignment vertical="center" wrapText="1"/>
    </xf>
    <xf numFmtId="0" fontId="22" fillId="0" borderId="0" xfId="0" applyFont="1" applyAlignment="1">
      <alignment vertical="center" wrapText="1"/>
    </xf>
    <xf numFmtId="0" fontId="26" fillId="0" borderId="32" xfId="5" applyFont="1" applyBorder="1" applyAlignment="1">
      <alignment horizontal="left" vertical="center"/>
    </xf>
    <xf numFmtId="169" fontId="26" fillId="0" borderId="32" xfId="5" applyNumberFormat="1" applyFont="1" applyBorder="1" applyAlignment="1">
      <alignment horizontal="left" vertical="center"/>
    </xf>
    <xf numFmtId="0" fontId="3" fillId="0" borderId="32" xfId="5" applyFont="1" applyBorder="1" applyAlignment="1">
      <alignment vertical="center"/>
    </xf>
    <xf numFmtId="0" fontId="26" fillId="0" borderId="32" xfId="5" applyFont="1" applyBorder="1" applyAlignment="1">
      <alignment vertical="center"/>
    </xf>
    <xf numFmtId="0" fontId="26" fillId="13" borderId="32" xfId="5" applyFont="1" applyFill="1" applyBorder="1" applyAlignment="1">
      <alignment vertical="center" wrapText="1"/>
    </xf>
    <xf numFmtId="0" fontId="30" fillId="8" borderId="32" xfId="5" applyFont="1" applyFill="1" applyBorder="1" applyAlignment="1">
      <alignment horizontal="center" vertical="center" wrapText="1"/>
    </xf>
    <xf numFmtId="0" fontId="26" fillId="14" borderId="32" xfId="5" applyFont="1" applyFill="1" applyBorder="1" applyAlignment="1">
      <alignment vertical="center"/>
    </xf>
    <xf numFmtId="0" fontId="31" fillId="14" borderId="32" xfId="5" applyFont="1" applyFill="1" applyBorder="1" applyAlignment="1">
      <alignment vertical="center"/>
    </xf>
    <xf numFmtId="0" fontId="26" fillId="3" borderId="32" xfId="5" applyFont="1" applyFill="1" applyBorder="1" applyAlignment="1">
      <alignment horizontal="center" vertical="center" wrapText="1"/>
    </xf>
    <xf numFmtId="169" fontId="26" fillId="3" borderId="32" xfId="5" applyNumberFormat="1" applyFont="1" applyFill="1" applyBorder="1" applyAlignment="1">
      <alignment horizontal="center" vertical="center" wrapText="1"/>
    </xf>
    <xf numFmtId="0" fontId="26" fillId="4" borderId="32" xfId="5" applyFont="1" applyFill="1" applyBorder="1" applyAlignment="1">
      <alignment horizontal="center" vertical="center" wrapText="1"/>
    </xf>
    <xf numFmtId="1" fontId="26" fillId="8" borderId="32" xfId="5" applyNumberFormat="1" applyFont="1" applyFill="1" applyBorder="1" applyAlignment="1">
      <alignment horizontal="center" vertical="center" wrapText="1"/>
    </xf>
    <xf numFmtId="1" fontId="26" fillId="3" borderId="32" xfId="5" applyNumberFormat="1" applyFont="1" applyFill="1" applyBorder="1" applyAlignment="1">
      <alignment horizontal="center" vertical="center" wrapText="1"/>
    </xf>
    <xf numFmtId="0" fontId="26" fillId="8" borderId="32" xfId="5" applyFont="1" applyFill="1" applyBorder="1" applyAlignment="1">
      <alignment horizontal="center" vertical="center" wrapText="1"/>
    </xf>
    <xf numFmtId="167" fontId="26" fillId="15" borderId="32" xfId="6" applyNumberFormat="1" applyFont="1" applyFill="1" applyBorder="1" applyAlignment="1">
      <alignment horizontal="center" vertical="center" wrapText="1"/>
    </xf>
    <xf numFmtId="167" fontId="26" fillId="3" borderId="32" xfId="6" applyNumberFormat="1" applyFont="1" applyFill="1" applyBorder="1" applyAlignment="1">
      <alignment horizontal="center" vertical="center" wrapText="1"/>
    </xf>
    <xf numFmtId="167" fontId="26" fillId="2" borderId="32" xfId="6" applyNumberFormat="1" applyFont="1" applyFill="1" applyBorder="1" applyAlignment="1">
      <alignment horizontal="center" vertical="center" wrapText="1"/>
    </xf>
    <xf numFmtId="167" fontId="26" fillId="8" borderId="32" xfId="6" applyNumberFormat="1" applyFont="1" applyFill="1" applyBorder="1" applyAlignment="1">
      <alignment horizontal="center" vertical="center" wrapText="1"/>
    </xf>
    <xf numFmtId="9" fontId="26" fillId="3" borderId="32" xfId="7" applyFont="1" applyFill="1" applyBorder="1" applyAlignment="1">
      <alignment horizontal="center" vertical="center" wrapText="1"/>
    </xf>
    <xf numFmtId="167" fontId="26" fillId="14" borderId="32" xfId="4" applyNumberFormat="1" applyFont="1" applyFill="1" applyBorder="1" applyAlignment="1">
      <alignment horizontal="center" vertical="center" wrapText="1"/>
    </xf>
    <xf numFmtId="0" fontId="31" fillId="14" borderId="32" xfId="5" applyFont="1" applyFill="1" applyBorder="1" applyAlignment="1">
      <alignment horizontal="center" vertical="center" wrapText="1"/>
    </xf>
    <xf numFmtId="0" fontId="26" fillId="0" borderId="32" xfId="5" applyFont="1" applyBorder="1" applyAlignment="1">
      <alignment horizontal="center" vertical="center" wrapText="1"/>
    </xf>
    <xf numFmtId="0" fontId="29" fillId="0" borderId="32" xfId="0" applyFont="1" applyBorder="1"/>
    <xf numFmtId="0" fontId="29" fillId="0" borderId="32" xfId="0" applyFont="1" applyBorder="1" applyAlignment="1">
      <alignment horizontal="left" vertical="top"/>
    </xf>
    <xf numFmtId="167" fontId="29" fillId="0" borderId="32" xfId="4" applyNumberFormat="1" applyFont="1" applyBorder="1" applyAlignment="1"/>
    <xf numFmtId="167" fontId="29" fillId="0" borderId="32" xfId="4" applyNumberFormat="1" applyFont="1" applyBorder="1"/>
    <xf numFmtId="167" fontId="29" fillId="0" borderId="32" xfId="4" applyNumberFormat="1" applyFont="1" applyFill="1" applyBorder="1"/>
    <xf numFmtId="9" fontId="29" fillId="0" borderId="32" xfId="2" applyFont="1" applyBorder="1"/>
    <xf numFmtId="167" fontId="29" fillId="0" borderId="32" xfId="8" applyNumberFormat="1" applyFont="1" applyBorder="1"/>
    <xf numFmtId="167" fontId="26" fillId="0" borderId="32" xfId="8" applyNumberFormat="1" applyFont="1" applyBorder="1"/>
    <xf numFmtId="167" fontId="29" fillId="14" borderId="32" xfId="8" applyNumberFormat="1" applyFont="1" applyFill="1" applyBorder="1"/>
    <xf numFmtId="171" fontId="29" fillId="0" borderId="32" xfId="9" applyNumberFormat="1" applyFont="1" applyBorder="1"/>
    <xf numFmtId="167" fontId="29" fillId="0" borderId="32" xfId="5" applyNumberFormat="1" applyFont="1" applyBorder="1"/>
    <xf numFmtId="0" fontId="3" fillId="14" borderId="32" xfId="5" applyFont="1" applyFill="1" applyBorder="1"/>
    <xf numFmtId="0" fontId="29" fillId="0" borderId="32" xfId="5" applyFont="1" applyBorder="1"/>
    <xf numFmtId="0" fontId="3" fillId="0" borderId="32" xfId="5" applyFont="1" applyBorder="1" applyAlignment="1">
      <alignment horizontal="left" indent="1"/>
    </xf>
    <xf numFmtId="0" fontId="3" fillId="0" borderId="32" xfId="0" applyFont="1" applyBorder="1" applyAlignment="1">
      <alignment horizontal="left" vertical="top"/>
    </xf>
    <xf numFmtId="0" fontId="3" fillId="0" borderId="32" xfId="0" applyFont="1" applyBorder="1"/>
    <xf numFmtId="167" fontId="3" fillId="0" borderId="32" xfId="4" applyNumberFormat="1" applyFont="1" applyBorder="1" applyAlignment="1"/>
    <xf numFmtId="167" fontId="3" fillId="0" borderId="32" xfId="4" applyNumberFormat="1" applyFont="1" applyBorder="1"/>
    <xf numFmtId="167" fontId="3" fillId="0" borderId="32" xfId="4" applyNumberFormat="1" applyFont="1" applyFill="1" applyBorder="1"/>
    <xf numFmtId="9" fontId="3" fillId="0" borderId="32" xfId="2" applyFont="1" applyBorder="1"/>
    <xf numFmtId="1" fontId="3" fillId="0" borderId="32" xfId="4" applyNumberFormat="1" applyFont="1" applyFill="1" applyBorder="1"/>
    <xf numFmtId="167" fontId="3" fillId="0" borderId="32" xfId="8" applyNumberFormat="1" applyFont="1" applyBorder="1"/>
    <xf numFmtId="167" fontId="31" fillId="0" borderId="32" xfId="8" applyNumberFormat="1" applyFont="1" applyBorder="1"/>
    <xf numFmtId="167" fontId="3" fillId="14" borderId="32" xfId="8" applyNumberFormat="1" applyFont="1" applyFill="1" applyBorder="1"/>
    <xf numFmtId="171" fontId="33" fillId="7" borderId="32" xfId="9" applyNumberFormat="1" applyFont="1" applyFill="1" applyBorder="1"/>
    <xf numFmtId="9" fontId="33" fillId="7" borderId="32" xfId="9" applyNumberFormat="1" applyFont="1" applyFill="1" applyBorder="1"/>
    <xf numFmtId="0" fontId="3" fillId="0" borderId="32" xfId="5" applyFont="1" applyBorder="1"/>
    <xf numFmtId="171" fontId="26" fillId="11" borderId="32" xfId="10" applyNumberFormat="1" applyFont="1" applyFill="1" applyBorder="1" applyAlignment="1">
      <alignment horizontal="left" vertical="center"/>
    </xf>
    <xf numFmtId="169" fontId="26" fillId="11" borderId="32" xfId="10" applyNumberFormat="1" applyFont="1" applyFill="1" applyBorder="1" applyAlignment="1">
      <alignment horizontal="center" vertical="center"/>
    </xf>
    <xf numFmtId="171" fontId="26" fillId="11" borderId="32" xfId="10" applyNumberFormat="1" applyFont="1" applyFill="1" applyBorder="1" applyAlignment="1">
      <alignment horizontal="center" vertical="center"/>
    </xf>
    <xf numFmtId="9" fontId="26" fillId="11" borderId="32" xfId="2" applyFont="1" applyFill="1" applyBorder="1" applyAlignment="1">
      <alignment horizontal="center" vertical="center"/>
    </xf>
    <xf numFmtId="166" fontId="26" fillId="11" borderId="32" xfId="10" applyNumberFormat="1" applyFont="1" applyFill="1" applyBorder="1" applyAlignment="1">
      <alignment horizontal="center" vertical="center"/>
    </xf>
    <xf numFmtId="167" fontId="26" fillId="11" borderId="32" xfId="4" applyNumberFormat="1" applyFont="1" applyFill="1" applyBorder="1" applyAlignment="1">
      <alignment horizontal="center" vertical="center"/>
    </xf>
    <xf numFmtId="171" fontId="31" fillId="11" borderId="32" xfId="10" applyNumberFormat="1" applyFont="1" applyFill="1" applyBorder="1" applyAlignment="1">
      <alignment horizontal="center" vertical="center"/>
    </xf>
    <xf numFmtId="0" fontId="29" fillId="0" borderId="32" xfId="5" applyFont="1" applyBorder="1" applyAlignment="1">
      <alignment horizontal="center" vertical="center"/>
    </xf>
    <xf numFmtId="167" fontId="29" fillId="0" borderId="32" xfId="4" applyNumberFormat="1" applyFont="1" applyFill="1" applyBorder="1" applyAlignment="1"/>
    <xf numFmtId="9" fontId="29" fillId="0" borderId="32" xfId="2" applyFont="1" applyFill="1" applyBorder="1"/>
    <xf numFmtId="168" fontId="27" fillId="0" borderId="32" xfId="4" applyNumberFormat="1" applyFont="1" applyFill="1" applyBorder="1" applyAlignment="1">
      <alignment horizontal="center" vertical="center"/>
    </xf>
    <xf numFmtId="1" fontId="29" fillId="0" borderId="32" xfId="4" applyNumberFormat="1" applyFont="1" applyFill="1" applyBorder="1"/>
    <xf numFmtId="167" fontId="29" fillId="0" borderId="32" xfId="8" applyNumberFormat="1" applyFont="1" applyFill="1" applyBorder="1"/>
    <xf numFmtId="167" fontId="26" fillId="0" borderId="32" xfId="8" applyNumberFormat="1" applyFont="1" applyFill="1" applyBorder="1"/>
    <xf numFmtId="171" fontId="29" fillId="14" borderId="32" xfId="9" applyNumberFormat="1" applyFont="1" applyFill="1" applyBorder="1"/>
    <xf numFmtId="167" fontId="29" fillId="14" borderId="32" xfId="5" applyNumberFormat="1" applyFont="1" applyFill="1" applyBorder="1"/>
    <xf numFmtId="9" fontId="29" fillId="14" borderId="32" xfId="2" applyFont="1" applyFill="1" applyBorder="1"/>
    <xf numFmtId="167" fontId="29" fillId="0" borderId="32" xfId="4" applyNumberFormat="1" applyFont="1" applyBorder="1" applyAlignment="1">
      <alignment horizontal="left" indent="1"/>
    </xf>
    <xf numFmtId="0" fontId="29" fillId="0" borderId="32" xfId="4" applyNumberFormat="1" applyFont="1" applyBorder="1"/>
    <xf numFmtId="0" fontId="29" fillId="0" borderId="32" xfId="4" applyNumberFormat="1" applyFont="1" applyFill="1" applyBorder="1"/>
    <xf numFmtId="171" fontId="33" fillId="6" borderId="32" xfId="9" applyNumberFormat="1" applyFont="1" applyFill="1" applyBorder="1"/>
    <xf numFmtId="9" fontId="33" fillId="6" borderId="32" xfId="9" applyNumberFormat="1" applyFont="1" applyFill="1" applyBorder="1"/>
    <xf numFmtId="171" fontId="26" fillId="12" borderId="32" xfId="10" applyNumberFormat="1" applyFont="1" applyFill="1" applyBorder="1" applyAlignment="1">
      <alignment horizontal="left" vertical="center"/>
    </xf>
    <xf numFmtId="169" fontId="26" fillId="12" borderId="32" xfId="10" applyNumberFormat="1" applyFont="1" applyFill="1" applyBorder="1" applyAlignment="1">
      <alignment horizontal="center" vertical="center"/>
    </xf>
    <xf numFmtId="171" fontId="26" fillId="12" borderId="32" xfId="10" applyNumberFormat="1" applyFont="1" applyFill="1" applyBorder="1" applyAlignment="1">
      <alignment horizontal="center" vertical="center"/>
    </xf>
    <xf numFmtId="9" fontId="26" fillId="12" borderId="32" xfId="2" applyFont="1" applyFill="1" applyBorder="1" applyAlignment="1">
      <alignment horizontal="center" vertical="center"/>
    </xf>
    <xf numFmtId="166" fontId="26" fillId="12" borderId="32" xfId="10" applyNumberFormat="1" applyFont="1" applyFill="1" applyBorder="1" applyAlignment="1">
      <alignment horizontal="center" vertical="center"/>
    </xf>
    <xf numFmtId="1" fontId="26" fillId="12" borderId="32" xfId="10" applyNumberFormat="1" applyFont="1" applyFill="1" applyBorder="1" applyAlignment="1">
      <alignment horizontal="center" vertical="center"/>
    </xf>
    <xf numFmtId="167" fontId="26" fillId="12" borderId="32" xfId="4" applyNumberFormat="1" applyFont="1" applyFill="1" applyBorder="1" applyAlignment="1">
      <alignment horizontal="center" vertical="center"/>
    </xf>
    <xf numFmtId="171" fontId="31" fillId="12" borderId="32" xfId="10" applyNumberFormat="1" applyFont="1" applyFill="1" applyBorder="1" applyAlignment="1">
      <alignment horizontal="center" vertical="center"/>
    </xf>
    <xf numFmtId="171" fontId="26" fillId="0" borderId="32" xfId="10" applyNumberFormat="1" applyFont="1" applyFill="1" applyBorder="1" applyAlignment="1">
      <alignment horizontal="center" vertical="center"/>
    </xf>
    <xf numFmtId="171" fontId="3" fillId="0" borderId="32" xfId="10" applyNumberFormat="1" applyFont="1" applyBorder="1" applyAlignment="1">
      <alignment horizontal="left" vertical="center" indent="1"/>
    </xf>
    <xf numFmtId="169" fontId="29" fillId="0" borderId="32" xfId="10" applyNumberFormat="1" applyFont="1" applyBorder="1" applyAlignment="1">
      <alignment horizontal="left" vertical="center" indent="1"/>
    </xf>
    <xf numFmtId="171" fontId="29" fillId="0" borderId="32" xfId="10" applyNumberFormat="1" applyFont="1" applyBorder="1" applyAlignment="1">
      <alignment horizontal="left" vertical="center" indent="1"/>
    </xf>
    <xf numFmtId="171" fontId="29" fillId="0" borderId="32" xfId="10" applyNumberFormat="1" applyFont="1" applyBorder="1" applyAlignment="1">
      <alignment horizontal="center" vertical="center"/>
    </xf>
    <xf numFmtId="171" fontId="29" fillId="0" borderId="32" xfId="10" applyNumberFormat="1" applyFont="1" applyFill="1" applyBorder="1" applyAlignment="1">
      <alignment horizontal="center" vertical="center"/>
    </xf>
    <xf numFmtId="171" fontId="3" fillId="0" borderId="32" xfId="10" applyNumberFormat="1" applyFont="1" applyBorder="1" applyAlignment="1">
      <alignment horizontal="center" vertical="center"/>
    </xf>
    <xf numFmtId="171" fontId="31" fillId="0" borderId="32" xfId="10" applyNumberFormat="1" applyFont="1" applyFill="1" applyBorder="1" applyAlignment="1">
      <alignment horizontal="center" vertical="center"/>
    </xf>
    <xf numFmtId="171" fontId="31" fillId="0" borderId="32" xfId="10" applyNumberFormat="1" applyFont="1" applyBorder="1" applyAlignment="1">
      <alignment horizontal="center" vertical="center"/>
    </xf>
    <xf numFmtId="170" fontId="31" fillId="0" borderId="32" xfId="10" applyFont="1" applyFill="1" applyBorder="1" applyAlignment="1">
      <alignment horizontal="center" vertical="center"/>
    </xf>
    <xf numFmtId="168" fontId="27" fillId="0" borderId="32" xfId="10" applyNumberFormat="1" applyFont="1" applyFill="1" applyBorder="1" applyAlignment="1">
      <alignment horizontal="center" vertical="center"/>
    </xf>
    <xf numFmtId="1" fontId="29" fillId="0" borderId="32" xfId="4" applyNumberFormat="1" applyFont="1" applyBorder="1" applyAlignment="1">
      <alignment horizontal="center" vertical="center"/>
    </xf>
    <xf numFmtId="167" fontId="3" fillId="0" borderId="32" xfId="4" applyNumberFormat="1" applyFont="1" applyFill="1" applyBorder="1" applyAlignment="1">
      <alignment horizontal="center" vertical="center"/>
    </xf>
    <xf numFmtId="171" fontId="29" fillId="14" borderId="32" xfId="10" applyNumberFormat="1" applyFont="1" applyFill="1" applyBorder="1" applyAlignment="1">
      <alignment horizontal="center" vertical="center"/>
    </xf>
    <xf numFmtId="171" fontId="3" fillId="14" borderId="32" xfId="10" applyNumberFormat="1" applyFont="1" applyFill="1" applyBorder="1" applyAlignment="1">
      <alignment horizontal="center" vertical="center"/>
    </xf>
    <xf numFmtId="171" fontId="26" fillId="10" borderId="32" xfId="10" applyNumberFormat="1" applyFont="1" applyFill="1" applyBorder="1" applyAlignment="1">
      <alignment horizontal="left" vertical="center"/>
    </xf>
    <xf numFmtId="169" fontId="26" fillId="10" borderId="32" xfId="10" applyNumberFormat="1" applyFont="1" applyFill="1" applyBorder="1" applyAlignment="1">
      <alignment horizontal="center" vertical="center"/>
    </xf>
    <xf numFmtId="171" fontId="26" fillId="10" borderId="32" xfId="10" applyNumberFormat="1" applyFont="1" applyFill="1" applyBorder="1" applyAlignment="1">
      <alignment horizontal="center" vertical="center"/>
    </xf>
    <xf numFmtId="9" fontId="26" fillId="10" borderId="32" xfId="2" applyFont="1" applyFill="1" applyBorder="1" applyAlignment="1">
      <alignment horizontal="center" vertical="center"/>
    </xf>
    <xf numFmtId="166" fontId="26" fillId="10" borderId="32" xfId="10" applyNumberFormat="1" applyFont="1" applyFill="1" applyBorder="1" applyAlignment="1">
      <alignment horizontal="center" vertical="center"/>
    </xf>
    <xf numFmtId="171" fontId="26" fillId="10" borderId="32" xfId="10" applyNumberFormat="1" applyFont="1" applyFill="1" applyBorder="1" applyAlignment="1">
      <alignment horizontal="center"/>
    </xf>
    <xf numFmtId="1" fontId="34" fillId="16" borderId="32" xfId="10" applyNumberFormat="1" applyFont="1" applyFill="1" applyBorder="1" applyAlignment="1">
      <alignment horizontal="center"/>
    </xf>
    <xf numFmtId="171" fontId="31" fillId="10" borderId="32" xfId="10" applyNumberFormat="1" applyFont="1" applyFill="1" applyBorder="1" applyAlignment="1">
      <alignment horizontal="center" vertical="center"/>
    </xf>
    <xf numFmtId="171" fontId="26" fillId="0" borderId="32" xfId="10" applyNumberFormat="1" applyFont="1" applyBorder="1" applyAlignment="1">
      <alignment horizontal="center" vertical="center"/>
    </xf>
    <xf numFmtId="171" fontId="27" fillId="0" borderId="32" xfId="10" applyNumberFormat="1" applyFont="1" applyBorder="1" applyAlignment="1">
      <alignment horizontal="left" vertical="center" indent="1"/>
    </xf>
    <xf numFmtId="167" fontId="29" fillId="0" borderId="32" xfId="4" applyNumberFormat="1" applyFont="1" applyBorder="1" applyAlignment="1">
      <alignment horizontal="right" vertical="center"/>
    </xf>
    <xf numFmtId="0" fontId="29" fillId="0" borderId="32" xfId="5" applyFont="1" applyBorder="1" applyAlignment="1">
      <alignment horizontal="left" indent="1"/>
    </xf>
    <xf numFmtId="0" fontId="29" fillId="0" borderId="32" xfId="0" applyFont="1" applyBorder="1" applyAlignment="1">
      <alignment horizontal="left" indent="1"/>
    </xf>
    <xf numFmtId="167" fontId="29" fillId="0" borderId="32" xfId="6" applyNumberFormat="1" applyFont="1" applyBorder="1"/>
    <xf numFmtId="9" fontId="29" fillId="0" borderId="32" xfId="7" applyFont="1" applyBorder="1"/>
    <xf numFmtId="1" fontId="29" fillId="0" borderId="32" xfId="4" applyNumberFormat="1" applyFont="1" applyBorder="1"/>
    <xf numFmtId="169" fontId="29" fillId="0" borderId="32" xfId="5" applyNumberFormat="1" applyFont="1" applyBorder="1" applyAlignment="1">
      <alignment horizontal="left" indent="1"/>
    </xf>
    <xf numFmtId="0" fontId="6" fillId="0" borderId="6" xfId="0" applyFont="1" applyFill="1" applyBorder="1" applyAlignment="1">
      <alignment horizontal="center" wrapText="1"/>
    </xf>
    <xf numFmtId="2" fontId="6" fillId="0" borderId="0" xfId="0" applyNumberFormat="1" applyFont="1" applyFill="1" applyAlignment="1">
      <alignment horizontal="center" wrapText="1"/>
    </xf>
    <xf numFmtId="49" fontId="6" fillId="0" borderId="6" xfId="0" applyNumberFormat="1" applyFont="1" applyFill="1" applyBorder="1" applyAlignment="1">
      <alignment horizontal="center" wrapText="1"/>
    </xf>
    <xf numFmtId="0" fontId="6" fillId="0" borderId="10" xfId="0" applyFont="1" applyFill="1" applyBorder="1" applyAlignment="1">
      <alignment horizontal="center" wrapText="1"/>
    </xf>
    <xf numFmtId="49" fontId="6" fillId="0" borderId="36" xfId="0" applyNumberFormat="1" applyFont="1" applyFill="1" applyBorder="1" applyAlignment="1">
      <alignment horizontal="center" wrapText="1"/>
    </xf>
    <xf numFmtId="0" fontId="6" fillId="0" borderId="36" xfId="0" applyFont="1" applyFill="1" applyBorder="1" applyAlignment="1">
      <alignment horizontal="center" wrapText="1"/>
    </xf>
    <xf numFmtId="2" fontId="6" fillId="0" borderId="7" xfId="0" applyNumberFormat="1" applyFont="1" applyFill="1" applyBorder="1" applyAlignment="1">
      <alignment horizontal="center" wrapText="1"/>
    </xf>
    <xf numFmtId="49" fontId="6" fillId="0" borderId="4" xfId="0" applyNumberFormat="1" applyFont="1" applyFill="1" applyBorder="1" applyAlignment="1">
      <alignment horizontal="center" wrapText="1"/>
    </xf>
    <xf numFmtId="0" fontId="6" fillId="0" borderId="8" xfId="0" applyFont="1" applyFill="1" applyBorder="1" applyAlignment="1">
      <alignment horizontal="center" wrapText="1"/>
    </xf>
    <xf numFmtId="2" fontId="6" fillId="0" borderId="9" xfId="0" applyNumberFormat="1" applyFont="1" applyFill="1" applyBorder="1" applyAlignment="1">
      <alignment horizontal="center" wrapText="1"/>
    </xf>
    <xf numFmtId="43" fontId="29" fillId="0" borderId="32" xfId="4" applyNumberFormat="1" applyFont="1" applyBorder="1"/>
    <xf numFmtId="168" fontId="27" fillId="0" borderId="32" xfId="4" applyNumberFormat="1" applyFont="1" applyFill="1" applyBorder="1" applyAlignment="1">
      <alignment vertical="center"/>
    </xf>
    <xf numFmtId="168" fontId="27" fillId="0" borderId="32" xfId="10" applyNumberFormat="1" applyFont="1" applyFill="1" applyBorder="1" applyAlignment="1">
      <alignment vertical="center"/>
    </xf>
    <xf numFmtId="0" fontId="37" fillId="0" borderId="40" xfId="0" applyFont="1" applyBorder="1" applyAlignment="1">
      <alignment horizontal="center" vertical="center" wrapText="1"/>
    </xf>
    <xf numFmtId="0" fontId="36" fillId="17" borderId="41" xfId="0" applyFont="1" applyFill="1" applyBorder="1" applyAlignment="1">
      <alignment horizontal="center" vertical="center" wrapText="1"/>
    </xf>
    <xf numFmtId="0" fontId="38" fillId="0" borderId="40" xfId="0" applyFont="1" applyBorder="1" applyAlignment="1">
      <alignment horizontal="center" vertical="center" wrapText="1"/>
    </xf>
    <xf numFmtId="0" fontId="36" fillId="14" borderId="41" xfId="0" applyFont="1" applyFill="1" applyBorder="1" applyAlignment="1">
      <alignment horizontal="center" vertical="center" wrapText="1"/>
    </xf>
    <xf numFmtId="1" fontId="38" fillId="0" borderId="0" xfId="0" applyNumberFormat="1" applyFont="1" applyAlignment="1">
      <alignment horizontal="center" vertical="center" wrapText="1"/>
    </xf>
    <xf numFmtId="9" fontId="38" fillId="0" borderId="0" xfId="0" applyNumberFormat="1" applyFont="1" applyAlignment="1">
      <alignment horizontal="center" vertical="center" wrapText="1"/>
    </xf>
    <xf numFmtId="0" fontId="38" fillId="0" borderId="0" xfId="0" applyFont="1" applyAlignment="1">
      <alignment horizontal="center" vertical="center"/>
    </xf>
    <xf numFmtId="0" fontId="38" fillId="18" borderId="42" xfId="0" applyFont="1" applyFill="1" applyBorder="1" applyAlignment="1">
      <alignment horizontal="center" wrapText="1"/>
    </xf>
    <xf numFmtId="9" fontId="38" fillId="0" borderId="42" xfId="0" applyNumberFormat="1" applyFont="1" applyBorder="1" applyAlignment="1">
      <alignment horizontal="center" vertical="center" wrapText="1"/>
    </xf>
    <xf numFmtId="0" fontId="38" fillId="19" borderId="42" xfId="0" applyFont="1" applyFill="1" applyBorder="1" applyAlignment="1">
      <alignment horizontal="center" wrapText="1"/>
    </xf>
    <xf numFmtId="0" fontId="38" fillId="20" borderId="42" xfId="0" applyFont="1" applyFill="1" applyBorder="1" applyAlignment="1">
      <alignment horizontal="center" wrapText="1"/>
    </xf>
    <xf numFmtId="1" fontId="37" fillId="0" borderId="0" xfId="0" applyNumberFormat="1" applyFont="1" applyAlignment="1">
      <alignment horizontal="center" vertical="center" wrapText="1"/>
    </xf>
    <xf numFmtId="9" fontId="37" fillId="0" borderId="0" xfId="0" applyNumberFormat="1" applyFont="1" applyAlignment="1">
      <alignment horizontal="center" vertical="center" wrapText="1"/>
    </xf>
    <xf numFmtId="0" fontId="5" fillId="0" borderId="0" xfId="0" applyFont="1"/>
    <xf numFmtId="0" fontId="36" fillId="16" borderId="41" xfId="0" applyFont="1" applyFill="1" applyBorder="1" applyAlignment="1">
      <alignment horizontal="center" vertical="center" wrapText="1"/>
    </xf>
    <xf numFmtId="0" fontId="38" fillId="0" borderId="42" xfId="0" applyFont="1" applyBorder="1" applyAlignment="1">
      <alignment vertical="top" wrapText="1"/>
    </xf>
    <xf numFmtId="9" fontId="37" fillId="0" borderId="0" xfId="0" applyNumberFormat="1" applyFont="1" applyAlignment="1">
      <alignment horizontal="center" vertical="center"/>
    </xf>
    <xf numFmtId="49" fontId="6" fillId="0" borderId="2" xfId="0" applyNumberFormat="1" applyFont="1" applyFill="1" applyBorder="1" applyAlignment="1">
      <alignment horizontal="center" vertical="center" wrapText="1"/>
    </xf>
    <xf numFmtId="0" fontId="27" fillId="8" borderId="32" xfId="5" applyFont="1" applyFill="1" applyBorder="1" applyAlignment="1">
      <alignment horizontal="center" vertical="center"/>
    </xf>
    <xf numFmtId="49" fontId="29" fillId="0" borderId="32" xfId="4" applyNumberFormat="1" applyFont="1" applyFill="1" applyBorder="1" applyAlignment="1">
      <alignment horizontal="center" vertical="center"/>
    </xf>
    <xf numFmtId="168" fontId="27" fillId="0" borderId="32" xfId="4" applyNumberFormat="1" applyFont="1" applyFill="1" applyBorder="1" applyAlignment="1">
      <alignment horizontal="center" vertical="center"/>
    </xf>
    <xf numFmtId="168" fontId="27" fillId="0" borderId="32" xfId="10" applyNumberFormat="1" applyFont="1" applyFill="1" applyBorder="1" applyAlignment="1">
      <alignment horizontal="center" vertical="center"/>
    </xf>
    <xf numFmtId="167" fontId="29" fillId="16" borderId="32" xfId="4" applyNumberFormat="1" applyFont="1" applyFill="1" applyBorder="1"/>
    <xf numFmtId="0" fontId="27" fillId="0" borderId="32" xfId="5" applyFont="1" applyFill="1" applyBorder="1" applyAlignment="1">
      <alignment vertical="center" wrapText="1"/>
    </xf>
    <xf numFmtId="0" fontId="26" fillId="0" borderId="32" xfId="5" applyFont="1" applyFill="1" applyBorder="1" applyAlignment="1">
      <alignment vertical="center" wrapText="1"/>
    </xf>
    <xf numFmtId="2" fontId="29" fillId="0" borderId="32" xfId="0" applyNumberFormat="1" applyFont="1" applyBorder="1"/>
    <xf numFmtId="0" fontId="6" fillId="0" borderId="1" xfId="0" applyFont="1" applyFill="1" applyBorder="1" applyAlignment="1">
      <alignment horizontal="center" wrapText="1"/>
    </xf>
    <xf numFmtId="2" fontId="6" fillId="0" borderId="25" xfId="0" applyNumberFormat="1" applyFont="1" applyFill="1" applyBorder="1" applyAlignment="1">
      <alignment horizontal="center" wrapText="1"/>
    </xf>
    <xf numFmtId="2" fontId="6" fillId="0" borderId="1" xfId="0" applyNumberFormat="1" applyFont="1" applyFill="1" applyBorder="1" applyAlignment="1">
      <alignment horizontal="center" wrapText="1"/>
    </xf>
    <xf numFmtId="168" fontId="27" fillId="0" borderId="32" xfId="4" applyNumberFormat="1" applyFont="1" applyFill="1" applyBorder="1" applyAlignment="1">
      <alignment horizontal="center" vertical="center"/>
    </xf>
    <xf numFmtId="168" fontId="27" fillId="0" borderId="32" xfId="10" applyNumberFormat="1" applyFont="1" applyFill="1" applyBorder="1" applyAlignment="1">
      <alignment horizontal="center" vertical="center"/>
    </xf>
    <xf numFmtId="0" fontId="27" fillId="8" borderId="32" xfId="5" applyFont="1" applyFill="1" applyBorder="1" applyAlignment="1">
      <alignment horizontal="center" vertical="center"/>
    </xf>
    <xf numFmtId="49" fontId="29" fillId="0" borderId="32" xfId="4" applyNumberFormat="1" applyFont="1" applyFill="1" applyBorder="1" applyAlignment="1">
      <alignment horizontal="center" vertical="center"/>
    </xf>
    <xf numFmtId="4" fontId="9" fillId="0" borderId="4" xfId="4" applyNumberFormat="1" applyFont="1" applyBorder="1"/>
    <xf numFmtId="4" fontId="9" fillId="0" borderId="19" xfId="4" applyNumberFormat="1" applyFont="1" applyBorder="1"/>
    <xf numFmtId="4" fontId="9" fillId="0" borderId="9" xfId="4" applyNumberFormat="1" applyFont="1" applyBorder="1"/>
    <xf numFmtId="49" fontId="6" fillId="0" borderId="10" xfId="0" applyNumberFormat="1" applyFont="1" applyFill="1" applyBorder="1" applyAlignment="1">
      <alignment horizontal="center" wrapText="1"/>
    </xf>
    <xf numFmtId="10" fontId="11" fillId="0" borderId="0" xfId="2" applyNumberFormat="1" applyFont="1" applyBorder="1" applyAlignment="1">
      <alignment horizontal="center" vertical="center"/>
    </xf>
    <xf numFmtId="10" fontId="11" fillId="0" borderId="27" xfId="2" applyNumberFormat="1" applyFont="1" applyBorder="1" applyAlignment="1">
      <alignment horizontal="center" vertical="center"/>
    </xf>
    <xf numFmtId="10" fontId="9" fillId="0" borderId="27" xfId="0" applyNumberFormat="1" applyFont="1" applyBorder="1" applyAlignment="1">
      <alignment horizontal="center" vertical="center"/>
    </xf>
    <xf numFmtId="168" fontId="27" fillId="0" borderId="32" xfId="4" applyNumberFormat="1" applyFont="1" applyFill="1" applyBorder="1" applyAlignment="1">
      <alignment horizontal="center" vertical="center"/>
    </xf>
    <xf numFmtId="168" fontId="27" fillId="0" borderId="32" xfId="10" applyNumberFormat="1" applyFont="1" applyFill="1" applyBorder="1" applyAlignment="1">
      <alignment horizontal="center" vertical="center"/>
    </xf>
    <xf numFmtId="0" fontId="27" fillId="8" borderId="32" xfId="5" applyFont="1" applyFill="1" applyBorder="1" applyAlignment="1">
      <alignment horizontal="center" vertical="center"/>
    </xf>
    <xf numFmtId="49" fontId="29" fillId="0" borderId="32" xfId="4" applyNumberFormat="1" applyFont="1" applyFill="1" applyBorder="1" applyAlignment="1">
      <alignment horizontal="center" vertical="center"/>
    </xf>
    <xf numFmtId="49" fontId="9" fillId="13" borderId="30" xfId="0" applyNumberFormat="1" applyFont="1" applyFill="1" applyBorder="1"/>
    <xf numFmtId="166" fontId="9" fillId="0" borderId="20" xfId="4" applyNumberFormat="1" applyFont="1" applyFill="1" applyBorder="1"/>
    <xf numFmtId="3" fontId="9" fillId="0" borderId="20" xfId="4" applyNumberFormat="1" applyFont="1" applyFill="1" applyBorder="1"/>
    <xf numFmtId="3" fontId="9" fillId="0" borderId="20" xfId="4" applyNumberFormat="1" applyFont="1" applyBorder="1"/>
    <xf numFmtId="167" fontId="9" fillId="0" borderId="43" xfId="4" applyNumberFormat="1" applyFont="1" applyBorder="1"/>
    <xf numFmtId="4" fontId="9" fillId="0" borderId="20" xfId="4" applyNumberFormat="1" applyFont="1" applyBorder="1"/>
    <xf numFmtId="3" fontId="9" fillId="0" borderId="43" xfId="4" applyNumberFormat="1" applyFont="1" applyBorder="1"/>
    <xf numFmtId="3" fontId="9" fillId="0" borderId="43" xfId="4" applyNumberFormat="1" applyFont="1" applyFill="1" applyBorder="1"/>
    <xf numFmtId="3" fontId="9" fillId="13" borderId="20" xfId="4" applyNumberFormat="1" applyFont="1" applyFill="1" applyBorder="1"/>
    <xf numFmtId="165" fontId="11" fillId="9" borderId="29" xfId="1" applyNumberFormat="1" applyFont="1" applyFill="1" applyBorder="1" applyAlignment="1">
      <alignment vertical="center"/>
    </xf>
    <xf numFmtId="166" fontId="13" fillId="0" borderId="4" xfId="4" applyNumberFormat="1" applyFont="1" applyFill="1" applyBorder="1"/>
    <xf numFmtId="14" fontId="9" fillId="13" borderId="44" xfId="3" applyNumberFormat="1" applyFont="1" applyFill="1" applyBorder="1" applyAlignment="1">
      <alignment horizontal="center"/>
    </xf>
    <xf numFmtId="49" fontId="9" fillId="13" borderId="45" xfId="0" applyNumberFormat="1" applyFont="1" applyFill="1" applyBorder="1"/>
    <xf numFmtId="49" fontId="9" fillId="13" borderId="11" xfId="0" applyNumberFormat="1" applyFont="1" applyFill="1" applyBorder="1"/>
    <xf numFmtId="49" fontId="9" fillId="13" borderId="4" xfId="3" applyNumberFormat="1" applyFont="1" applyFill="1" applyBorder="1" applyAlignment="1">
      <alignment horizontal="left"/>
    </xf>
    <xf numFmtId="49" fontId="11" fillId="0" borderId="0" xfId="0" applyNumberFormat="1" applyFont="1" applyAlignment="1">
      <alignment horizontal="right"/>
    </xf>
    <xf numFmtId="168" fontId="9" fillId="0" borderId="27" xfId="0" applyNumberFormat="1" applyFont="1" applyBorder="1" applyAlignment="1">
      <alignment horizontal="right" vertical="center"/>
    </xf>
    <xf numFmtId="168" fontId="11" fillId="0" borderId="0" xfId="0" applyNumberFormat="1" applyFont="1" applyAlignment="1">
      <alignment wrapText="1"/>
    </xf>
    <xf numFmtId="44" fontId="11" fillId="0" borderId="0" xfId="0" applyNumberFormat="1" applyFont="1" applyAlignment="1">
      <alignment wrapText="1"/>
    </xf>
    <xf numFmtId="9" fontId="9" fillId="0" borderId="0" xfId="2" applyFont="1" applyBorder="1" applyAlignment="1">
      <alignment horizontal="center" vertical="center"/>
    </xf>
    <xf numFmtId="10" fontId="9" fillId="0" borderId="0" xfId="2" applyNumberFormat="1" applyFont="1" applyBorder="1" applyAlignment="1">
      <alignment horizontal="center" vertical="center"/>
    </xf>
    <xf numFmtId="168" fontId="27" fillId="0" borderId="32" xfId="4" applyNumberFormat="1" applyFont="1" applyFill="1" applyBorder="1" applyAlignment="1">
      <alignment horizontal="center" vertical="center"/>
    </xf>
    <xf numFmtId="168" fontId="27" fillId="0" borderId="32" xfId="10" applyNumberFormat="1" applyFont="1" applyFill="1" applyBorder="1" applyAlignment="1">
      <alignment horizontal="center" vertical="center"/>
    </xf>
    <xf numFmtId="0" fontId="27" fillId="8" borderId="32" xfId="5" applyFont="1" applyFill="1" applyBorder="1" applyAlignment="1">
      <alignment horizontal="center" vertical="center"/>
    </xf>
    <xf numFmtId="49" fontId="29" fillId="0" borderId="32" xfId="4" applyNumberFormat="1" applyFont="1" applyFill="1" applyBorder="1" applyAlignment="1">
      <alignment horizontal="center" vertical="center"/>
    </xf>
    <xf numFmtId="165" fontId="9" fillId="0" borderId="0" xfId="0" applyNumberFormat="1" applyFont="1"/>
    <xf numFmtId="4" fontId="9" fillId="0" borderId="4" xfId="4" applyNumberFormat="1" applyFont="1" applyFill="1" applyBorder="1"/>
    <xf numFmtId="4" fontId="9" fillId="0" borderId="19" xfId="4" applyNumberFormat="1" applyFont="1" applyFill="1" applyBorder="1"/>
    <xf numFmtId="4" fontId="9" fillId="2" borderId="4" xfId="4" applyNumberFormat="1" applyFont="1" applyFill="1" applyBorder="1"/>
    <xf numFmtId="4" fontId="9" fillId="2" borderId="20" xfId="4" applyNumberFormat="1" applyFont="1" applyFill="1" applyBorder="1"/>
    <xf numFmtId="4" fontId="11" fillId="0" borderId="20" xfId="0" applyNumberFormat="1" applyFont="1" applyBorder="1"/>
    <xf numFmtId="43" fontId="29" fillId="0" borderId="32" xfId="8" applyNumberFormat="1" applyFont="1" applyBorder="1"/>
    <xf numFmtId="43" fontId="3" fillId="0" borderId="32" xfId="8" applyNumberFormat="1" applyFont="1" applyBorder="1"/>
    <xf numFmtId="43" fontId="26" fillId="11" borderId="32" xfId="10" applyNumberFormat="1" applyFont="1" applyFill="1" applyBorder="1" applyAlignment="1">
      <alignment horizontal="center" vertical="center"/>
    </xf>
    <xf numFmtId="43" fontId="29" fillId="0" borderId="32" xfId="8" applyNumberFormat="1" applyFont="1" applyFill="1" applyBorder="1"/>
    <xf numFmtId="43" fontId="26" fillId="12" borderId="32" xfId="10" applyNumberFormat="1" applyFont="1" applyFill="1" applyBorder="1" applyAlignment="1">
      <alignment horizontal="center" vertical="center"/>
    </xf>
    <xf numFmtId="43" fontId="29" fillId="0" borderId="32" xfId="10" applyNumberFormat="1" applyFont="1" applyBorder="1" applyAlignment="1">
      <alignment horizontal="center" vertical="center"/>
    </xf>
    <xf numFmtId="43" fontId="26" fillId="10" borderId="32" xfId="10" applyNumberFormat="1" applyFont="1" applyFill="1" applyBorder="1" applyAlignment="1">
      <alignment horizontal="center" vertical="center"/>
    </xf>
    <xf numFmtId="3" fontId="9" fillId="0" borderId="0" xfId="0" applyNumberFormat="1" applyFont="1"/>
    <xf numFmtId="1" fontId="39" fillId="0" borderId="0" xfId="0" applyNumberFormat="1" applyFont="1" applyAlignment="1">
      <alignment horizontal="center" vertical="center" wrapText="1"/>
    </xf>
    <xf numFmtId="0" fontId="39" fillId="0" borderId="0" xfId="0" applyFont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49" fontId="6" fillId="0" borderId="2" xfId="0" applyNumberFormat="1" applyFont="1" applyFill="1" applyBorder="1" applyAlignment="1">
      <alignment horizontal="center" vertical="center" wrapText="1"/>
    </xf>
    <xf numFmtId="49" fontId="6" fillId="0" borderId="10" xfId="0" applyNumberFormat="1" applyFont="1" applyFill="1" applyBorder="1" applyAlignment="1">
      <alignment horizontal="center" vertical="center" wrapText="1"/>
    </xf>
    <xf numFmtId="49" fontId="6" fillId="0" borderId="4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9" fontId="11" fillId="0" borderId="0" xfId="2" applyFont="1" applyBorder="1" applyAlignment="1">
      <alignment horizontal="center" vertical="center" wrapText="1"/>
    </xf>
    <xf numFmtId="0" fontId="11" fillId="7" borderId="12" xfId="0" applyFont="1" applyFill="1" applyBorder="1" applyAlignment="1">
      <alignment horizontal="center" vertical="center" wrapText="1"/>
    </xf>
    <xf numFmtId="0" fontId="11" fillId="7" borderId="19" xfId="0" applyFont="1" applyFill="1" applyBorder="1" applyAlignment="1">
      <alignment horizontal="center" vertical="center" wrapText="1"/>
    </xf>
    <xf numFmtId="0" fontId="11" fillId="6" borderId="12" xfId="0" applyFont="1" applyFill="1" applyBorder="1" applyAlignment="1">
      <alignment horizontal="center" vertical="center" wrapText="1"/>
    </xf>
    <xf numFmtId="0" fontId="11" fillId="6" borderId="19" xfId="0" applyFont="1" applyFill="1" applyBorder="1" applyAlignment="1">
      <alignment horizontal="center" vertical="center" wrapText="1"/>
    </xf>
    <xf numFmtId="0" fontId="11" fillId="8" borderId="16" xfId="0" applyFont="1" applyFill="1" applyBorder="1" applyAlignment="1">
      <alignment horizontal="center" vertical="center" wrapText="1"/>
    </xf>
    <xf numFmtId="0" fontId="11" fillId="8" borderId="20" xfId="0" applyFont="1" applyFill="1" applyBorder="1" applyAlignment="1">
      <alignment horizontal="center" vertical="center" wrapText="1"/>
    </xf>
    <xf numFmtId="0" fontId="11" fillId="9" borderId="12" xfId="0" applyFont="1" applyFill="1" applyBorder="1" applyAlignment="1">
      <alignment horizontal="center" vertical="center" wrapText="1"/>
    </xf>
    <xf numFmtId="0" fontId="11" fillId="9" borderId="19" xfId="0" applyFont="1" applyFill="1" applyBorder="1" applyAlignment="1">
      <alignment horizontal="center" vertical="center" wrapText="1"/>
    </xf>
    <xf numFmtId="0" fontId="11" fillId="9" borderId="17" xfId="0" applyFont="1" applyFill="1" applyBorder="1" applyAlignment="1">
      <alignment horizontal="center" vertical="center" wrapText="1"/>
    </xf>
    <xf numFmtId="0" fontId="11" fillId="9" borderId="21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165" fontId="11" fillId="9" borderId="23" xfId="1" applyNumberFormat="1" applyFont="1" applyFill="1" applyBorder="1" applyAlignment="1">
      <alignment horizontal="center" vertical="center"/>
    </xf>
    <xf numFmtId="165" fontId="11" fillId="9" borderId="26" xfId="1" applyNumberFormat="1" applyFont="1" applyFill="1" applyBorder="1" applyAlignment="1">
      <alignment horizontal="center" vertical="center"/>
    </xf>
    <xf numFmtId="165" fontId="11" fillId="9" borderId="29" xfId="1" applyNumberFormat="1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 wrapText="1"/>
    </xf>
    <xf numFmtId="0" fontId="11" fillId="3" borderId="12" xfId="0" applyFont="1" applyFill="1" applyBorder="1" applyAlignment="1">
      <alignment horizontal="center" vertical="center" wrapText="1"/>
    </xf>
    <xf numFmtId="164" fontId="12" fillId="3" borderId="12" xfId="0" applyNumberFormat="1" applyFont="1" applyFill="1" applyBorder="1" applyAlignment="1">
      <alignment horizontal="center" vertical="center" wrapText="1"/>
    </xf>
    <xf numFmtId="164" fontId="12" fillId="3" borderId="19" xfId="0" applyNumberFormat="1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2" fillId="3" borderId="19" xfId="0" applyFont="1" applyFill="1" applyBorder="1" applyAlignment="1">
      <alignment horizontal="center" vertical="center" wrapText="1"/>
    </xf>
    <xf numFmtId="0" fontId="11" fillId="2" borderId="13" xfId="0" applyFont="1" applyFill="1" applyBorder="1" applyAlignment="1">
      <alignment horizontal="center" vertical="center" wrapText="1"/>
    </xf>
    <xf numFmtId="0" fontId="11" fillId="2" borderId="14" xfId="0" applyFont="1" applyFill="1" applyBorder="1" applyAlignment="1">
      <alignment horizontal="center" vertical="center" wrapText="1"/>
    </xf>
    <xf numFmtId="0" fontId="11" fillId="2" borderId="15" xfId="0" applyFont="1" applyFill="1" applyBorder="1" applyAlignment="1">
      <alignment horizontal="center" vertical="center" wrapText="1"/>
    </xf>
    <xf numFmtId="0" fontId="11" fillId="4" borderId="12" xfId="0" applyFont="1" applyFill="1" applyBorder="1" applyAlignment="1">
      <alignment horizontal="center" vertical="center" wrapText="1"/>
    </xf>
    <xf numFmtId="0" fontId="11" fillId="5" borderId="12" xfId="0" applyFont="1" applyFill="1" applyBorder="1" applyAlignment="1">
      <alignment horizontal="center" vertical="center" wrapText="1"/>
    </xf>
    <xf numFmtId="0" fontId="11" fillId="7" borderId="13" xfId="0" applyFont="1" applyFill="1" applyBorder="1" applyAlignment="1">
      <alignment horizontal="center" vertical="center" wrapText="1"/>
    </xf>
    <xf numFmtId="0" fontId="11" fillId="7" borderId="46" xfId="0" applyFont="1" applyFill="1" applyBorder="1" applyAlignment="1">
      <alignment horizontal="center" vertical="center" wrapText="1"/>
    </xf>
    <xf numFmtId="0" fontId="36" fillId="11" borderId="37" xfId="0" applyFont="1" applyFill="1" applyBorder="1" applyAlignment="1">
      <alignment horizontal="center" vertical="center" wrapText="1"/>
    </xf>
    <xf numFmtId="0" fontId="36" fillId="11" borderId="38" xfId="0" applyFont="1" applyFill="1" applyBorder="1" applyAlignment="1">
      <alignment horizontal="center" vertical="center" wrapText="1"/>
    </xf>
    <xf numFmtId="0" fontId="36" fillId="11" borderId="39" xfId="0" applyFont="1" applyFill="1" applyBorder="1" applyAlignment="1">
      <alignment horizontal="center" vertical="center" wrapText="1"/>
    </xf>
    <xf numFmtId="0" fontId="36" fillId="12" borderId="37" xfId="0" applyFont="1" applyFill="1" applyBorder="1" applyAlignment="1">
      <alignment horizontal="center" vertical="center" wrapText="1"/>
    </xf>
    <xf numFmtId="0" fontId="36" fillId="12" borderId="38" xfId="0" applyFont="1" applyFill="1" applyBorder="1" applyAlignment="1">
      <alignment horizontal="center" vertical="center" wrapText="1"/>
    </xf>
    <xf numFmtId="0" fontId="36" fillId="12" borderId="39" xfId="0" applyFont="1" applyFill="1" applyBorder="1" applyAlignment="1">
      <alignment horizontal="center" vertical="center" wrapText="1"/>
    </xf>
    <xf numFmtId="0" fontId="2" fillId="14" borderId="33" xfId="5" applyFont="1" applyFill="1" applyBorder="1" applyAlignment="1">
      <alignment horizontal="center" vertical="center"/>
    </xf>
    <xf numFmtId="0" fontId="2" fillId="14" borderId="35" xfId="5" applyFont="1" applyFill="1" applyBorder="1" applyAlignment="1">
      <alignment horizontal="center" vertical="center"/>
    </xf>
    <xf numFmtId="0" fontId="2" fillId="14" borderId="34" xfId="5" applyFont="1" applyFill="1" applyBorder="1" applyAlignment="1">
      <alignment horizontal="center" vertical="center"/>
    </xf>
    <xf numFmtId="168" fontId="27" fillId="0" borderId="32" xfId="4" applyNumberFormat="1" applyFont="1" applyFill="1" applyBorder="1" applyAlignment="1">
      <alignment horizontal="center" vertical="center"/>
    </xf>
    <xf numFmtId="168" fontId="27" fillId="0" borderId="32" xfId="10" applyNumberFormat="1" applyFont="1" applyFill="1" applyBorder="1" applyAlignment="1">
      <alignment horizontal="center" vertical="center"/>
    </xf>
    <xf numFmtId="0" fontId="27" fillId="8" borderId="32" xfId="5" applyFont="1" applyFill="1" applyBorder="1" applyAlignment="1">
      <alignment horizontal="center" vertical="center"/>
    </xf>
    <xf numFmtId="0" fontId="27" fillId="0" borderId="32" xfId="5" applyFont="1" applyFill="1" applyBorder="1" applyAlignment="1">
      <alignment horizontal="center" vertical="center" wrapText="1"/>
    </xf>
    <xf numFmtId="0" fontId="27" fillId="0" borderId="33" xfId="5" applyFont="1" applyFill="1" applyBorder="1" applyAlignment="1">
      <alignment horizontal="center" vertical="center" wrapText="1"/>
    </xf>
    <xf numFmtId="0" fontId="26" fillId="0" borderId="34" xfId="5" applyFont="1" applyFill="1" applyBorder="1" applyAlignment="1">
      <alignment horizontal="center" vertical="center" wrapText="1"/>
    </xf>
    <xf numFmtId="49" fontId="29" fillId="0" borderId="32" xfId="4" applyNumberFormat="1" applyFont="1" applyFill="1" applyBorder="1" applyAlignment="1">
      <alignment horizontal="center" vertical="center"/>
    </xf>
  </cellXfs>
  <cellStyles count="14">
    <cellStyle name="Денежный" xfId="1" builtinId="4"/>
    <cellStyle name="Обычный" xfId="0" builtinId="0"/>
    <cellStyle name="Обычный 2 2" xfId="5" xr:uid="{043EE7D7-E54A-46DB-ADBB-5F5992D4667D}"/>
    <cellStyle name="Обычный 3 2" xfId="11" xr:uid="{A53C25FE-B224-4FBA-8938-B6C90CDB7AD2}"/>
    <cellStyle name="Обычный 4" xfId="3" xr:uid="{3D0D874E-2FBD-4B92-B5E0-AD875D74DA4A}"/>
    <cellStyle name="Процентный" xfId="2" builtinId="5"/>
    <cellStyle name="Процентный 2" xfId="13" xr:uid="{F1076946-1B3B-482E-A530-7F66ACF33553}"/>
    <cellStyle name="Процентный 2 2" xfId="7" xr:uid="{8B4D1C73-1130-4F38-BBF8-530B9E842DB5}"/>
    <cellStyle name="Финансовый 2" xfId="4" xr:uid="{CA5BB175-668E-4A06-B6F0-D1F735F236CF}"/>
    <cellStyle name="Финансовый 2 2" xfId="6" xr:uid="{DC818348-0C1D-48E2-9B9B-D36B530F7725}"/>
    <cellStyle name="Финансовый 3" xfId="9" xr:uid="{87D4E3E5-4E13-4552-841D-E7BB7D29A3DE}"/>
    <cellStyle name="Финансовый 3 2" xfId="10" xr:uid="{C66EC4C4-9DFC-4EF4-9007-723AD0522FF7}"/>
    <cellStyle name="Финансовый 8 2" xfId="8" xr:uid="{D543161B-FE2F-4424-B288-AE2033A5F5BD}"/>
    <cellStyle name="Финансовый 8 2 2 2" xfId="12" xr:uid="{70BAFC66-077E-4D63-8FBD-54338CC19609}"/>
  </cellStyles>
  <dxfs count="13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7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8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9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0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1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2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3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O39"/>
  <sheetViews>
    <sheetView zoomScale="60" zoomScaleNormal="60" workbookViewId="0">
      <selection activeCell="L11" sqref="L11"/>
    </sheetView>
  </sheetViews>
  <sheetFormatPr defaultRowHeight="14.5"/>
  <cols>
    <col min="1" max="1" width="4.36328125" customWidth="1"/>
    <col min="2" max="2" width="14.1796875" customWidth="1"/>
    <col min="3" max="3" width="13.54296875" bestFit="1" customWidth="1"/>
    <col min="4" max="4" width="9" bestFit="1" customWidth="1"/>
    <col min="6" max="6" width="13.54296875" bestFit="1" customWidth="1"/>
    <col min="7" max="7" width="9" bestFit="1" customWidth="1"/>
    <col min="11" max="11" width="19.36328125" customWidth="1"/>
    <col min="13" max="13" width="13.7265625" bestFit="1" customWidth="1"/>
  </cols>
  <sheetData>
    <row r="2" spans="2:15" ht="15.5" customHeight="1">
      <c r="B2" s="305" t="s">
        <v>0</v>
      </c>
      <c r="C2" s="306" t="s">
        <v>1</v>
      </c>
      <c r="D2" s="306"/>
      <c r="E2" s="306"/>
      <c r="F2" s="306" t="s">
        <v>2</v>
      </c>
      <c r="G2" s="306"/>
      <c r="H2" s="306"/>
      <c r="I2" s="307" t="s">
        <v>3</v>
      </c>
      <c r="J2" s="301"/>
      <c r="O2" s="1"/>
    </row>
    <row r="3" spans="2:15" ht="31">
      <c r="B3" s="305"/>
      <c r="C3" s="2" t="s">
        <v>4</v>
      </c>
      <c r="D3" s="2" t="s">
        <v>5</v>
      </c>
      <c r="E3" s="3" t="s">
        <v>6</v>
      </c>
      <c r="F3" s="2" t="s">
        <v>4</v>
      </c>
      <c r="G3" s="2" t="s">
        <v>5</v>
      </c>
      <c r="H3" s="2" t="s">
        <v>6</v>
      </c>
      <c r="I3" s="308"/>
      <c r="J3" s="301"/>
    </row>
    <row r="4" spans="2:15" ht="15.5">
      <c r="B4" s="4" t="s">
        <v>136</v>
      </c>
      <c r="C4" s="203"/>
      <c r="D4" s="203"/>
      <c r="E4" s="205"/>
      <c r="F4" s="203">
        <v>277607349</v>
      </c>
      <c r="G4" s="244">
        <v>4738</v>
      </c>
      <c r="H4" s="205" t="s">
        <v>136</v>
      </c>
      <c r="I4" s="233" t="s">
        <v>41</v>
      </c>
    </row>
    <row r="5" spans="2:15" ht="15.5">
      <c r="B5" s="4" t="s">
        <v>137</v>
      </c>
      <c r="C5" s="203"/>
      <c r="D5" s="242"/>
      <c r="E5" s="205"/>
      <c r="F5" s="242">
        <v>279228154</v>
      </c>
      <c r="G5" s="243">
        <v>6535</v>
      </c>
      <c r="H5" s="205" t="s">
        <v>137</v>
      </c>
      <c r="I5" s="233" t="s">
        <v>42</v>
      </c>
    </row>
    <row r="6" spans="2:15" ht="15.5">
      <c r="B6" s="4" t="s">
        <v>141</v>
      </c>
      <c r="C6" s="203">
        <v>280305485</v>
      </c>
      <c r="D6" s="204">
        <v>2922</v>
      </c>
      <c r="E6" s="205" t="s">
        <v>109</v>
      </c>
      <c r="F6" s="208">
        <v>280297200</v>
      </c>
      <c r="G6" s="204">
        <v>3464</v>
      </c>
      <c r="H6" s="205" t="s">
        <v>111</v>
      </c>
      <c r="I6" s="302" t="s">
        <v>43</v>
      </c>
    </row>
    <row r="7" spans="2:15" ht="15.5">
      <c r="B7" s="6"/>
      <c r="C7" s="206">
        <v>0</v>
      </c>
      <c r="D7" s="209">
        <v>923</v>
      </c>
      <c r="E7" s="210" t="s">
        <v>110</v>
      </c>
      <c r="F7" s="211">
        <v>0</v>
      </c>
      <c r="G7" s="212">
        <v>114</v>
      </c>
      <c r="H7" s="210" t="s">
        <v>110</v>
      </c>
      <c r="I7" s="303"/>
    </row>
    <row r="8" spans="2:15" ht="15.5">
      <c r="B8" s="4" t="s">
        <v>142</v>
      </c>
      <c r="C8" s="203">
        <v>281290485</v>
      </c>
      <c r="D8" s="204">
        <v>5916</v>
      </c>
      <c r="E8" s="207" t="s">
        <v>143</v>
      </c>
      <c r="F8" s="208">
        <v>281290488</v>
      </c>
      <c r="G8" s="204">
        <v>2033</v>
      </c>
      <c r="H8" s="205" t="s">
        <v>142</v>
      </c>
      <c r="I8" s="302" t="s">
        <v>44</v>
      </c>
    </row>
    <row r="9" spans="2:15" ht="15.5">
      <c r="B9" s="5"/>
      <c r="C9" s="211">
        <v>0</v>
      </c>
      <c r="D9" s="209">
        <v>1216</v>
      </c>
      <c r="E9" s="210" t="s">
        <v>144</v>
      </c>
      <c r="F9" s="211"/>
      <c r="G9" s="212"/>
      <c r="H9" s="210"/>
      <c r="I9" s="304"/>
    </row>
    <row r="10" spans="2:15" ht="15.5">
      <c r="B10" s="4" t="s">
        <v>147</v>
      </c>
      <c r="C10" s="203">
        <v>282283796</v>
      </c>
      <c r="D10" s="204">
        <v>12613</v>
      </c>
      <c r="E10" s="207" t="s">
        <v>146</v>
      </c>
      <c r="F10" s="208">
        <v>282343451</v>
      </c>
      <c r="G10" s="204">
        <v>9553</v>
      </c>
      <c r="H10" s="205" t="s">
        <v>150</v>
      </c>
      <c r="I10" s="302">
        <v>5</v>
      </c>
    </row>
    <row r="11" spans="2:15" ht="15.5">
      <c r="B11" s="6"/>
      <c r="C11" s="206">
        <v>282375547</v>
      </c>
      <c r="D11" s="204">
        <v>1000</v>
      </c>
      <c r="E11" s="252" t="s">
        <v>148</v>
      </c>
      <c r="F11" s="206">
        <v>282385566</v>
      </c>
      <c r="G11" s="204">
        <v>79</v>
      </c>
      <c r="H11" s="252" t="s">
        <v>148</v>
      </c>
      <c r="I11" s="303"/>
    </row>
    <row r="12" spans="2:15" ht="15.5">
      <c r="B12" s="5"/>
      <c r="C12" s="211">
        <v>0</v>
      </c>
      <c r="D12" s="209">
        <v>1791</v>
      </c>
      <c r="E12" s="210" t="s">
        <v>148</v>
      </c>
      <c r="F12" s="211">
        <v>0</v>
      </c>
      <c r="G12" s="212">
        <v>539</v>
      </c>
      <c r="H12" s="210" t="s">
        <v>148</v>
      </c>
      <c r="I12" s="304"/>
    </row>
    <row r="13" spans="2:15" ht="15.5">
      <c r="B13" s="4" t="s">
        <v>171</v>
      </c>
      <c r="C13" s="203">
        <v>283356234</v>
      </c>
      <c r="D13" s="204">
        <v>9526</v>
      </c>
      <c r="E13" s="207" t="s">
        <v>172</v>
      </c>
      <c r="F13" s="208">
        <v>283392061</v>
      </c>
      <c r="G13" s="204">
        <v>17308</v>
      </c>
      <c r="H13" s="205" t="s">
        <v>171</v>
      </c>
      <c r="I13" s="302" t="s">
        <v>155</v>
      </c>
    </row>
    <row r="14" spans="2:15" ht="15.5">
      <c r="B14" s="5"/>
      <c r="C14" s="211"/>
      <c r="D14" s="209"/>
      <c r="E14" s="210"/>
      <c r="F14" s="211">
        <v>0</v>
      </c>
      <c r="G14" s="212">
        <v>3305</v>
      </c>
      <c r="H14" s="210" t="s">
        <v>173</v>
      </c>
      <c r="I14" s="304"/>
    </row>
    <row r="15" spans="2:15" ht="15.5">
      <c r="B15" s="4" t="s">
        <v>197</v>
      </c>
      <c r="C15" s="203">
        <v>284419876</v>
      </c>
      <c r="D15" s="204">
        <v>16968</v>
      </c>
      <c r="E15" s="207" t="s">
        <v>199</v>
      </c>
      <c r="F15" s="208">
        <v>284354982</v>
      </c>
      <c r="G15" s="204">
        <v>25029</v>
      </c>
      <c r="H15" s="205" t="s">
        <v>197</v>
      </c>
      <c r="I15" s="302" t="s">
        <v>156</v>
      </c>
    </row>
    <row r="16" spans="2:15" ht="15.5">
      <c r="B16" s="5"/>
      <c r="C16" s="211"/>
      <c r="D16" s="209"/>
      <c r="E16" s="210"/>
      <c r="F16" s="211">
        <v>0</v>
      </c>
      <c r="G16" s="212">
        <v>4431</v>
      </c>
      <c r="H16" s="210" t="s">
        <v>200</v>
      </c>
      <c r="I16" s="304"/>
    </row>
    <row r="17" spans="2:9" ht="15.5">
      <c r="B17" s="4" t="s">
        <v>198</v>
      </c>
      <c r="C17" s="203"/>
      <c r="D17" s="204"/>
      <c r="E17" s="207"/>
      <c r="F17" s="208"/>
      <c r="G17" s="204"/>
      <c r="H17" s="205"/>
      <c r="I17" s="302" t="s">
        <v>157</v>
      </c>
    </row>
    <row r="18" spans="2:9" ht="15.5">
      <c r="B18" s="5"/>
      <c r="C18" s="211"/>
      <c r="D18" s="209"/>
      <c r="E18" s="210"/>
      <c r="F18" s="211"/>
      <c r="G18" s="212"/>
      <c r="H18" s="210"/>
      <c r="I18" s="304"/>
    </row>
    <row r="39" spans="8:8">
      <c r="H39" t="s">
        <v>149</v>
      </c>
    </row>
  </sheetData>
  <mergeCells count="11">
    <mergeCell ref="J2:J3"/>
    <mergeCell ref="I6:I7"/>
    <mergeCell ref="I8:I9"/>
    <mergeCell ref="I17:I18"/>
    <mergeCell ref="B2:B3"/>
    <mergeCell ref="C2:E2"/>
    <mergeCell ref="F2:H2"/>
    <mergeCell ref="I2:I3"/>
    <mergeCell ref="I15:I16"/>
    <mergeCell ref="I13:I14"/>
    <mergeCell ref="I10:I12"/>
  </mergeCells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211FD-4307-487D-BBFB-0A6E94729239}">
  <dimension ref="A1:AH26"/>
  <sheetViews>
    <sheetView zoomScale="50" zoomScaleNormal="50" workbookViewId="0">
      <selection activeCell="J21" sqref="J21"/>
    </sheetView>
  </sheetViews>
  <sheetFormatPr defaultColWidth="12.08984375" defaultRowHeight="13.5"/>
  <cols>
    <col min="1" max="1" width="3.08984375" style="7" customWidth="1"/>
    <col min="2" max="2" width="12.453125" style="8" customWidth="1"/>
    <col min="3" max="3" width="12.6328125" style="8" customWidth="1"/>
    <col min="4" max="4" width="10.08984375" style="9" customWidth="1"/>
    <col min="5" max="5" width="13.6328125" style="10" hidden="1" customWidth="1"/>
    <col min="6" max="6" width="17" style="7" customWidth="1"/>
    <col min="7" max="7" width="9.54296875" style="7" customWidth="1"/>
    <col min="8" max="8" width="10.90625" style="7" customWidth="1"/>
    <col min="9" max="9" width="12.90625" style="7" customWidth="1"/>
    <col min="10" max="10" width="17.1796875" style="7" bestFit="1" customWidth="1"/>
    <col min="11" max="11" width="13.90625" style="7" bestFit="1" customWidth="1"/>
    <col min="12" max="12" width="17.1796875" style="7" bestFit="1" customWidth="1"/>
    <col min="13" max="13" width="18.36328125" style="7" customWidth="1"/>
    <col min="14" max="14" width="16.54296875" style="7" customWidth="1"/>
    <col min="15" max="15" width="17.81640625" style="7" customWidth="1"/>
    <col min="16" max="17" width="16.453125" style="7" customWidth="1"/>
    <col min="18" max="18" width="17.36328125" style="7" customWidth="1"/>
    <col min="19" max="19" width="15.54296875" style="7" customWidth="1"/>
    <col min="20" max="20" width="15.90625" style="7" customWidth="1"/>
    <col min="21" max="21" width="14.453125" style="7" bestFit="1" customWidth="1"/>
    <col min="22" max="22" width="18.81640625" style="7" customWidth="1"/>
    <col min="23" max="23" width="15.6328125" style="7" customWidth="1"/>
    <col min="24" max="24" width="13.90625" style="7" customWidth="1"/>
    <col min="25" max="25" width="15.7265625" style="7" customWidth="1"/>
    <col min="26" max="26" width="13.81640625" style="7" customWidth="1"/>
    <col min="27" max="28" width="15" style="7" customWidth="1"/>
    <col min="29" max="30" width="16.90625" style="7" customWidth="1"/>
    <col min="31" max="31" width="18.26953125" style="7" customWidth="1"/>
    <col min="32" max="34" width="18.26953125" style="11" customWidth="1"/>
    <col min="35" max="16384" width="12.08984375" style="7"/>
  </cols>
  <sheetData>
    <row r="1" spans="1:34" ht="14" thickBot="1"/>
    <row r="2" spans="1:34" s="12" customFormat="1" ht="26" customHeight="1">
      <c r="B2" s="324" t="s">
        <v>12</v>
      </c>
      <c r="C2" s="325"/>
      <c r="D2" s="325"/>
      <c r="E2" s="326" t="s">
        <v>13</v>
      </c>
      <c r="F2" s="328" t="s">
        <v>14</v>
      </c>
      <c r="G2" s="330" t="s">
        <v>15</v>
      </c>
      <c r="H2" s="331"/>
      <c r="I2" s="332"/>
      <c r="J2" s="333" t="s">
        <v>16</v>
      </c>
      <c r="K2" s="333"/>
      <c r="L2" s="333"/>
      <c r="M2" s="334" t="s">
        <v>17</v>
      </c>
      <c r="N2" s="334"/>
      <c r="O2" s="334"/>
      <c r="P2" s="312" t="s">
        <v>18</v>
      </c>
      <c r="Q2" s="310" t="s">
        <v>19</v>
      </c>
      <c r="R2" s="310" t="s">
        <v>20</v>
      </c>
      <c r="S2" s="310" t="s">
        <v>21</v>
      </c>
      <c r="T2" s="310" t="s">
        <v>22</v>
      </c>
      <c r="U2" s="310" t="s">
        <v>23</v>
      </c>
      <c r="V2" s="310" t="s">
        <v>24</v>
      </c>
      <c r="W2" s="310" t="s">
        <v>25</v>
      </c>
      <c r="X2" s="312" t="s">
        <v>26</v>
      </c>
      <c r="Y2" s="314" t="s">
        <v>27</v>
      </c>
      <c r="Z2" s="310" t="s">
        <v>28</v>
      </c>
      <c r="AA2" s="310" t="s">
        <v>29</v>
      </c>
      <c r="AB2" s="335" t="s">
        <v>195</v>
      </c>
      <c r="AC2" s="316" t="s">
        <v>196</v>
      </c>
      <c r="AD2" s="318" t="s">
        <v>31</v>
      </c>
      <c r="AE2" s="320" t="s">
        <v>32</v>
      </c>
      <c r="AF2" s="309" t="s">
        <v>33</v>
      </c>
      <c r="AG2" s="309" t="s">
        <v>34</v>
      </c>
      <c r="AH2" s="309" t="s">
        <v>35</v>
      </c>
    </row>
    <row r="3" spans="1:34" s="12" customFormat="1" ht="24" customHeight="1" thickBot="1">
      <c r="B3" s="14" t="s">
        <v>36</v>
      </c>
      <c r="C3" s="15" t="s">
        <v>6</v>
      </c>
      <c r="D3" s="16" t="s">
        <v>37</v>
      </c>
      <c r="E3" s="327"/>
      <c r="F3" s="329"/>
      <c r="G3" s="17" t="s">
        <v>38</v>
      </c>
      <c r="H3" s="17" t="s">
        <v>39</v>
      </c>
      <c r="I3" s="17" t="s">
        <v>10</v>
      </c>
      <c r="J3" s="18" t="s">
        <v>39</v>
      </c>
      <c r="K3" s="18" t="s">
        <v>10</v>
      </c>
      <c r="L3" s="18" t="s">
        <v>40</v>
      </c>
      <c r="M3" s="19" t="s">
        <v>39</v>
      </c>
      <c r="N3" s="19" t="s">
        <v>10</v>
      </c>
      <c r="O3" s="19" t="s">
        <v>40</v>
      </c>
      <c r="P3" s="313"/>
      <c r="Q3" s="311"/>
      <c r="R3" s="311"/>
      <c r="S3" s="311"/>
      <c r="T3" s="311"/>
      <c r="U3" s="311"/>
      <c r="V3" s="311"/>
      <c r="W3" s="311"/>
      <c r="X3" s="313"/>
      <c r="Y3" s="315"/>
      <c r="Z3" s="311"/>
      <c r="AA3" s="311"/>
      <c r="AB3" s="336"/>
      <c r="AC3" s="317"/>
      <c r="AD3" s="319"/>
      <c r="AE3" s="320"/>
      <c r="AF3" s="309"/>
      <c r="AG3" s="309"/>
      <c r="AH3" s="309"/>
    </row>
    <row r="4" spans="1:34" s="20" customFormat="1" ht="25.75" customHeight="1">
      <c r="B4" s="32" t="s">
        <v>122</v>
      </c>
      <c r="C4" s="21" t="s">
        <v>126</v>
      </c>
      <c r="D4" s="30" t="s">
        <v>41</v>
      </c>
      <c r="E4" s="50"/>
      <c r="F4" s="49">
        <f t="shared" ref="F4:F5" si="0">IFERROR(O4-SUM(Q4:W4)+AA4,0)</f>
        <v>29279.639999999996</v>
      </c>
      <c r="G4" s="35">
        <f>'Юнит 1'!L$17</f>
        <v>66</v>
      </c>
      <c r="H4" s="35">
        <f>'Юнит 1'!Q$17</f>
        <v>45</v>
      </c>
      <c r="I4" s="35">
        <f>'Юнит 1'!R$17</f>
        <v>0</v>
      </c>
      <c r="J4" s="22">
        <f>'Юнит 1'!T$74</f>
        <v>46145.63</v>
      </c>
      <c r="K4" s="23">
        <f>'Юнит 1'!U$74</f>
        <v>0</v>
      </c>
      <c r="L4" s="24">
        <f t="shared" ref="L4:L5" si="1">IFERROR(J4+K4,0)</f>
        <v>46145.63</v>
      </c>
      <c r="M4" s="22">
        <f>'Юнит 1'!W$74</f>
        <v>54988.62000000001</v>
      </c>
      <c r="N4" s="23">
        <f>'Юнит 1'!X$74</f>
        <v>0</v>
      </c>
      <c r="O4" s="24">
        <f t="shared" ref="O4:O5" si="2">IFERROR(M4+N4,0)</f>
        <v>54988.62000000001</v>
      </c>
      <c r="P4" s="249">
        <f>'Юнит 1'!AB$74</f>
        <v>5712.2100000000009</v>
      </c>
      <c r="Q4" s="251">
        <f>'Юнит 1'!AE$74</f>
        <v>4543.050000000002</v>
      </c>
      <c r="R4" s="23">
        <f>'Юнит 1'!AC$74</f>
        <v>19854.220000000008</v>
      </c>
      <c r="S4" s="25">
        <f>'Юнит 1'!AI$74</f>
        <v>1049.6300000000001</v>
      </c>
      <c r="T4" s="23"/>
      <c r="U4" s="23">
        <f>'Юнит 1'!AJ$74</f>
        <v>0</v>
      </c>
      <c r="V4" s="249">
        <v>262.08</v>
      </c>
      <c r="W4" s="26">
        <f>'Юнит 1'!AF$74</f>
        <v>0</v>
      </c>
      <c r="X4" s="27">
        <f>'Юнит 1'!AG$74</f>
        <v>4738</v>
      </c>
      <c r="Y4" s="27">
        <f>'Юнит 1'!AH84</f>
        <v>0</v>
      </c>
      <c r="Z4" s="286">
        <v>457.89</v>
      </c>
      <c r="AA4" s="27"/>
      <c r="AB4" s="27">
        <f>O4-SUM(P4:Y4)+AA4</f>
        <v>18829.429999999993</v>
      </c>
      <c r="AC4" s="36">
        <f>O4-SUM(P4:Z4)+AA4</f>
        <v>18371.539999999994</v>
      </c>
      <c r="AD4" s="321">
        <f>SUM(AC4:AC8)</f>
        <v>67154.079999999987</v>
      </c>
      <c r="AE4" s="11">
        <f t="shared" ref="AE4:AE8" si="3">P4/O4</f>
        <v>0.10387985732320615</v>
      </c>
      <c r="AF4" s="11">
        <f t="shared" ref="AF4:AF6" si="4">AC4/P4</f>
        <v>3.2161877802111603</v>
      </c>
      <c r="AG4" s="11">
        <f t="shared" ref="AG4:AG14" si="5">AC4/O4</f>
        <v>0.3340971277329744</v>
      </c>
      <c r="AH4" s="11">
        <f t="shared" ref="AH4:AH8" si="6">(W4+X4+Y4)/O4</f>
        <v>8.6163282511908815E-2</v>
      </c>
    </row>
    <row r="5" spans="1:34" s="20" customFormat="1" ht="25.75" customHeight="1">
      <c r="B5" s="32" t="s">
        <v>123</v>
      </c>
      <c r="C5" s="28" t="s">
        <v>127</v>
      </c>
      <c r="D5" s="29" t="s">
        <v>42</v>
      </c>
      <c r="E5" s="51"/>
      <c r="F5" s="49">
        <f t="shared" si="0"/>
        <v>25524.230000000003</v>
      </c>
      <c r="G5" s="35">
        <f>'Юнит 2'!L$17</f>
        <v>86</v>
      </c>
      <c r="H5" s="35">
        <f>'Юнит 2'!Q$17</f>
        <v>43</v>
      </c>
      <c r="I5" s="35">
        <f>'Юнит 2'!R$17</f>
        <v>-1</v>
      </c>
      <c r="J5" s="22">
        <f>'Юнит 2'!T$74</f>
        <v>43245.32</v>
      </c>
      <c r="K5" s="23">
        <f>'Юнит 2'!U$74</f>
        <v>-931</v>
      </c>
      <c r="L5" s="24">
        <f t="shared" si="1"/>
        <v>42314.32</v>
      </c>
      <c r="M5" s="22">
        <f>'Юнит 2'!W$74</f>
        <v>52197.86</v>
      </c>
      <c r="N5" s="23">
        <f>'Юнит 2'!X$74</f>
        <v>-1199</v>
      </c>
      <c r="O5" s="24">
        <f t="shared" si="2"/>
        <v>50998.86</v>
      </c>
      <c r="P5" s="249">
        <f>'Юнит 2'!AB$74</f>
        <v>5562.9000000000005</v>
      </c>
      <c r="Q5" s="25">
        <f>'Юнит 2'!AE$74</f>
        <v>5752.8</v>
      </c>
      <c r="R5" s="23">
        <f>'Юнит 2'!AC$74</f>
        <v>18463.039999999997</v>
      </c>
      <c r="S5" s="25">
        <f>'Юнит 2'!AI$74</f>
        <v>1083.1099999999999</v>
      </c>
      <c r="T5" s="23"/>
      <c r="U5" s="23">
        <f>'Юнит 2'!AJ$74</f>
        <v>0</v>
      </c>
      <c r="V5" s="249">
        <v>175.68</v>
      </c>
      <c r="W5" s="26">
        <f>'Юнит 2'!AF$74</f>
        <v>0</v>
      </c>
      <c r="X5" s="27">
        <f>'Юнит 2'!AG$74</f>
        <v>6535</v>
      </c>
      <c r="Y5" s="27">
        <f>'Юнит 2'!AH85</f>
        <v>0</v>
      </c>
      <c r="Z5" s="286">
        <v>416.28</v>
      </c>
      <c r="AA5" s="27"/>
      <c r="AB5" s="27">
        <f t="shared" ref="AB5:AB13" si="7">O5-SUM(P5:Y5)+AA5</f>
        <v>13426.330000000002</v>
      </c>
      <c r="AC5" s="36">
        <f t="shared" ref="AC5:AC13" si="8">O5-SUM(P5:Z5)+AA5</f>
        <v>13010.050000000003</v>
      </c>
      <c r="AD5" s="322"/>
      <c r="AE5" s="11">
        <f t="shared" si="3"/>
        <v>0.10907890882266781</v>
      </c>
      <c r="AF5" s="11">
        <f t="shared" si="4"/>
        <v>2.3387172158406591</v>
      </c>
      <c r="AG5" s="11">
        <f t="shared" si="5"/>
        <v>0.25510472194868677</v>
      </c>
      <c r="AH5" s="11">
        <f t="shared" si="6"/>
        <v>0.12814011921050783</v>
      </c>
    </row>
    <row r="6" spans="1:34" s="20" customFormat="1" ht="25.75" customHeight="1">
      <c r="B6" s="32" t="s">
        <v>124</v>
      </c>
      <c r="C6" s="33" t="s">
        <v>128</v>
      </c>
      <c r="D6" s="34" t="s">
        <v>43</v>
      </c>
      <c r="E6" s="50"/>
      <c r="F6" s="49">
        <f t="shared" ref="F6" si="9">IFERROR(O6-SUM(Q6:W6)+AA6,0)</f>
        <v>25982.83</v>
      </c>
      <c r="G6" s="35">
        <f>'Юнит 3'!L$17</f>
        <v>62</v>
      </c>
      <c r="H6" s="35">
        <f>'Юнит 3'!Q$17</f>
        <v>49</v>
      </c>
      <c r="I6" s="35">
        <f>'Юнит 3'!R$17</f>
        <v>-1</v>
      </c>
      <c r="J6" s="22">
        <f>'Юнит 3'!T$74</f>
        <v>45785.47</v>
      </c>
      <c r="K6" s="23">
        <f>'Юнит 3'!U$74</f>
        <v>-948</v>
      </c>
      <c r="L6" s="24">
        <f t="shared" ref="L6" si="10">IFERROR(J6+K6,0)</f>
        <v>44837.47</v>
      </c>
      <c r="M6" s="22">
        <f>'Юнит 3'!W$74</f>
        <v>56919.740000000005</v>
      </c>
      <c r="N6" s="23">
        <f>'Юнит 3'!X$74</f>
        <v>-1174</v>
      </c>
      <c r="O6" s="24">
        <f t="shared" ref="O6" si="11">IFERROR(M6+N6,0)</f>
        <v>55745.740000000005</v>
      </c>
      <c r="P6" s="249">
        <f>'Юнит 3'!AB$74</f>
        <v>6528.420000000001</v>
      </c>
      <c r="Q6" s="25">
        <f>'Юнит 3'!AE$74</f>
        <v>6055.25</v>
      </c>
      <c r="R6" s="23">
        <f>'Юнит 3'!AC$74</f>
        <v>19306.860000000004</v>
      </c>
      <c r="S6" s="25">
        <f>'Юнит 3'!AI$74</f>
        <v>1361.68</v>
      </c>
      <c r="T6" s="23"/>
      <c r="U6" s="23">
        <f>'Юнит 3'!AJ$74</f>
        <v>0</v>
      </c>
      <c r="V6" s="249">
        <v>117.12</v>
      </c>
      <c r="W6" s="26">
        <f>'Юнит 3'!AF$74</f>
        <v>2922</v>
      </c>
      <c r="X6" s="27">
        <f>'Юнит 3'!AG$74</f>
        <v>3464</v>
      </c>
      <c r="Y6" s="27">
        <f>'Юнит 3'!AH86</f>
        <v>0</v>
      </c>
      <c r="Z6" s="286">
        <v>467.24</v>
      </c>
      <c r="AA6" s="27"/>
      <c r="AB6" s="27">
        <f t="shared" si="7"/>
        <v>15990.409999999996</v>
      </c>
      <c r="AC6" s="36">
        <f t="shared" si="8"/>
        <v>15523.169999999998</v>
      </c>
      <c r="AD6" s="322"/>
      <c r="AE6" s="11">
        <f t="shared" si="3"/>
        <v>0.11711065276019299</v>
      </c>
      <c r="AF6" s="11">
        <f t="shared" si="4"/>
        <v>2.3777835984817148</v>
      </c>
      <c r="AG6" s="11">
        <f t="shared" si="5"/>
        <v>0.27846378934067423</v>
      </c>
      <c r="AH6" s="11">
        <f t="shared" si="6"/>
        <v>0.11455583870624014</v>
      </c>
    </row>
    <row r="7" spans="1:34" s="20" customFormat="1" ht="25.5" customHeight="1">
      <c r="B7" s="32" t="s">
        <v>125</v>
      </c>
      <c r="C7" s="33" t="s">
        <v>130</v>
      </c>
      <c r="D7" s="34" t="s">
        <v>44</v>
      </c>
      <c r="E7" s="50"/>
      <c r="F7" s="49">
        <f t="shared" ref="F7:F8" si="12">IFERROR(O7-SUM(Q7:W7)+AA7,0)</f>
        <v>22836.85</v>
      </c>
      <c r="G7" s="35">
        <f>'Юнит 4'!L$17</f>
        <v>86</v>
      </c>
      <c r="H7" s="35">
        <f>'Юнит 4'!Q$17</f>
        <v>49</v>
      </c>
      <c r="I7" s="35">
        <f>'Юнит 4'!R$17</f>
        <v>-2</v>
      </c>
      <c r="J7" s="22">
        <f>'Юнит 4'!T$74</f>
        <v>44338.880000000005</v>
      </c>
      <c r="K7" s="23">
        <f>'Юнит 4'!U$74</f>
        <v>-1888</v>
      </c>
      <c r="L7" s="24">
        <f t="shared" ref="L7:L9" si="13">IFERROR(J7+K7,0)</f>
        <v>42450.880000000005</v>
      </c>
      <c r="M7" s="22">
        <f>'Юнит 4'!W$74</f>
        <v>59321.67</v>
      </c>
      <c r="N7" s="23">
        <f>'Юнит 4'!X$74</f>
        <v>-2412</v>
      </c>
      <c r="O7" s="24">
        <f t="shared" ref="O7:O9" si="14">IFERROR(M7+N7,0)</f>
        <v>56909.67</v>
      </c>
      <c r="P7" s="249">
        <f>'Юнит 4'!AB$74</f>
        <v>6764.5200000000013</v>
      </c>
      <c r="Q7" s="25">
        <f>'Юнит 4'!AE$74</f>
        <v>6115.35</v>
      </c>
      <c r="R7" s="23">
        <f>'Юнит 4'!AC$74</f>
        <v>20543.919999999998</v>
      </c>
      <c r="S7" s="25">
        <f>'Юнит 4'!AI$74</f>
        <v>1438.99</v>
      </c>
      <c r="T7" s="23"/>
      <c r="U7" s="23">
        <f>'Юнит 4'!AJ$74</f>
        <v>0</v>
      </c>
      <c r="V7" s="249">
        <v>58.56</v>
      </c>
      <c r="W7" s="26">
        <f>'Юнит 4'!AF$74</f>
        <v>5916</v>
      </c>
      <c r="X7" s="27">
        <f>'Юнит 4'!AG$74</f>
        <v>2033</v>
      </c>
      <c r="Y7" s="27">
        <f>'Юнит 4'!AH87</f>
        <v>0</v>
      </c>
      <c r="Z7" s="286">
        <v>456.13</v>
      </c>
      <c r="AA7" s="27"/>
      <c r="AB7" s="27">
        <f t="shared" si="7"/>
        <v>14039.330000000002</v>
      </c>
      <c r="AC7" s="36">
        <f t="shared" si="8"/>
        <v>13583.200000000004</v>
      </c>
      <c r="AD7" s="322"/>
      <c r="AE7" s="11">
        <f t="shared" ref="AE7" si="15">P7/O7</f>
        <v>0.11886415788388865</v>
      </c>
      <c r="AF7" s="11">
        <f>AC7/P7</f>
        <v>2.0080064808737355</v>
      </c>
      <c r="AG7" s="11">
        <f t="shared" ref="AG7" si="16">AC7/O7</f>
        <v>0.23867999937444734</v>
      </c>
      <c r="AH7" s="11">
        <f t="shared" ref="AH7" si="17">(W7+X7+Y7)/O7</f>
        <v>0.13967749241912666</v>
      </c>
    </row>
    <row r="8" spans="1:34" s="20" customFormat="1" ht="25.5" customHeight="1" thickBot="1">
      <c r="B8" s="37" t="s">
        <v>129</v>
      </c>
      <c r="C8" s="38" t="s">
        <v>131</v>
      </c>
      <c r="D8" s="39" t="s">
        <v>45</v>
      </c>
      <c r="E8" s="51"/>
      <c r="F8" s="40">
        <f t="shared" si="12"/>
        <v>26541.809999999998</v>
      </c>
      <c r="G8" s="41">
        <f>'Юнит 5'!L$17</f>
        <v>157</v>
      </c>
      <c r="H8" s="41">
        <f>'Юнит 5'!Q$17</f>
        <v>70</v>
      </c>
      <c r="I8" s="41">
        <f>'Юнит 5'!R$17</f>
        <v>-1</v>
      </c>
      <c r="J8" s="42">
        <f>'Юнит 5'!T$74</f>
        <v>53707.42</v>
      </c>
      <c r="K8" s="43">
        <f>'Юнит 5'!U$74</f>
        <v>-813</v>
      </c>
      <c r="L8" s="44">
        <f t="shared" si="13"/>
        <v>52894.42</v>
      </c>
      <c r="M8" s="42">
        <f>'Юнит 5'!W$74</f>
        <v>80352</v>
      </c>
      <c r="N8" s="43">
        <f>'Юнит 5'!X$74</f>
        <v>-1238</v>
      </c>
      <c r="O8" s="44">
        <f t="shared" si="14"/>
        <v>79114</v>
      </c>
      <c r="P8" s="250">
        <f>'Юнит 5'!AB$74</f>
        <v>9760.3200000000015</v>
      </c>
      <c r="Q8" s="45">
        <f>'Юнит 5'!AE$74</f>
        <v>8509.6</v>
      </c>
      <c r="R8" s="43">
        <f>'Юнит 5'!AC$74</f>
        <v>28720.66</v>
      </c>
      <c r="S8" s="45">
        <f>'Юнит 5'!AI$74</f>
        <v>1377.57</v>
      </c>
      <c r="T8" s="43"/>
      <c r="U8" s="43">
        <f>'Юнит 5'!AJ$74</f>
        <v>0</v>
      </c>
      <c r="V8" s="250">
        <v>351.36</v>
      </c>
      <c r="W8" s="46">
        <f>'Юнит 5'!AF$74</f>
        <v>13613</v>
      </c>
      <c r="X8" s="47">
        <f>'Юнит 5'!AG$74</f>
        <v>9632</v>
      </c>
      <c r="Y8" s="47">
        <f>'Юнит 5'!AH88</f>
        <v>0</v>
      </c>
      <c r="Z8" s="287">
        <v>483.37</v>
      </c>
      <c r="AA8" s="47"/>
      <c r="AB8" s="47">
        <f t="shared" si="7"/>
        <v>7149.4899999999907</v>
      </c>
      <c r="AC8" s="48">
        <f t="shared" si="8"/>
        <v>6666.1199999999953</v>
      </c>
      <c r="AD8" s="323"/>
      <c r="AE8" s="11">
        <f t="shared" si="3"/>
        <v>0.12337032636448671</v>
      </c>
      <c r="AF8" s="11">
        <f>AC8/P8</f>
        <v>0.68298170551785131</v>
      </c>
      <c r="AG8" s="11">
        <f t="shared" si="5"/>
        <v>8.4259675910711068E-2</v>
      </c>
      <c r="AH8" s="11">
        <f t="shared" si="6"/>
        <v>0.29381651793614277</v>
      </c>
    </row>
    <row r="9" spans="1:34" s="20" customFormat="1" ht="25.5" customHeight="1">
      <c r="A9" s="272"/>
      <c r="B9" s="273" t="s">
        <v>159</v>
      </c>
      <c r="C9" s="274" t="s">
        <v>151</v>
      </c>
      <c r="D9" s="50" t="s">
        <v>155</v>
      </c>
      <c r="E9" s="49"/>
      <c r="F9" s="49">
        <f t="shared" ref="F9" si="18">IFERROR(O9-SUM(Q9:W9)+AA9,0)</f>
        <v>59865</v>
      </c>
      <c r="G9" s="35">
        <f>'Юнит 6'!L$36</f>
        <v>286</v>
      </c>
      <c r="H9" s="35">
        <f>'Юнит 6'!Q$36</f>
        <v>118</v>
      </c>
      <c r="I9" s="35">
        <f>'Юнит 6'!R$36</f>
        <v>-1</v>
      </c>
      <c r="J9" s="22">
        <f>'Юнит 6'!T$93</f>
        <v>85982.959999999992</v>
      </c>
      <c r="K9" s="23">
        <f>'Юнит 6'!U$93</f>
        <v>-777</v>
      </c>
      <c r="L9" s="24">
        <f t="shared" si="13"/>
        <v>85205.959999999992</v>
      </c>
      <c r="M9" s="22">
        <f>'Юнит 6'!W$93</f>
        <v>132376.93</v>
      </c>
      <c r="N9" s="23">
        <f>'Юнит 6'!X$93</f>
        <v>-1238</v>
      </c>
      <c r="O9" s="24">
        <f t="shared" si="14"/>
        <v>131138.93</v>
      </c>
      <c r="P9" s="249">
        <f>'Юнит 6'!AB$93</f>
        <v>15974.009999999998</v>
      </c>
      <c r="Q9" s="251">
        <f>'Юнит 6'!AE$93</f>
        <v>12544.649999999998</v>
      </c>
      <c r="R9" s="23">
        <f>'Юнит 6'!AC$93</f>
        <v>47795.469999999994</v>
      </c>
      <c r="S9" s="25">
        <f>'Юнит 6'!AI$93</f>
        <v>1261.4100000000001</v>
      </c>
      <c r="T9" s="23"/>
      <c r="U9" s="23">
        <f>'Юнит 6'!AJ$93</f>
        <v>0</v>
      </c>
      <c r="V9" s="249">
        <v>146.4</v>
      </c>
      <c r="W9" s="26">
        <f>'Юнит 6'!AF$93</f>
        <v>9526</v>
      </c>
      <c r="X9" s="27">
        <f>'Юнит 6'!AG$93</f>
        <v>17308</v>
      </c>
      <c r="Y9" s="27">
        <f>'Юнит 6'!AH108</f>
        <v>0</v>
      </c>
      <c r="Z9" s="288">
        <f t="shared" ref="Z9" si="19">IFERROR((L9)*0.01,0)</f>
        <v>852.05959999999993</v>
      </c>
      <c r="AA9" s="27"/>
      <c r="AB9" s="27">
        <f t="shared" si="7"/>
        <v>26582.990000000005</v>
      </c>
      <c r="AC9" s="36">
        <f>O9-SUM(P9:Z9)+AA9</f>
        <v>25730.930400000012</v>
      </c>
      <c r="AD9" s="321">
        <f>SUM(AC9:AC12)</f>
        <v>77284.918399999966</v>
      </c>
      <c r="AE9" s="11">
        <f t="shared" ref="AE9:AE13" si="20">P9/O9</f>
        <v>0.12180982413079014</v>
      </c>
      <c r="AF9" s="11">
        <f t="shared" ref="AF9:AF13" si="21">AC9/P9</f>
        <v>1.6107996927509132</v>
      </c>
      <c r="AG9" s="11">
        <f t="shared" ref="AG9:AG13" si="22">AC9/O9</f>
        <v>0.19621122728391954</v>
      </c>
      <c r="AH9" s="11">
        <f t="shared" ref="AH9:AH13" si="23">(W9+X9+Y9)/O9</f>
        <v>0.20462268526973645</v>
      </c>
    </row>
    <row r="10" spans="1:34" s="20" customFormat="1" ht="25.5" customHeight="1">
      <c r="B10" s="32" t="s">
        <v>160</v>
      </c>
      <c r="C10" s="28" t="s">
        <v>152</v>
      </c>
      <c r="D10" s="29" t="s">
        <v>156</v>
      </c>
      <c r="E10" s="51"/>
      <c r="F10" s="49">
        <f t="shared" ref="F10" si="24">IFERROR(O10-SUM(Q10:W10)+AA10,0)</f>
        <v>105982.03999999998</v>
      </c>
      <c r="G10" s="35">
        <f>'Юнит 7'!L$36</f>
        <v>388</v>
      </c>
      <c r="H10" s="35">
        <f>'Юнит 7'!Q$36</f>
        <v>212</v>
      </c>
      <c r="I10" s="35">
        <f>'Юнит 7'!R$36</f>
        <v>-2</v>
      </c>
      <c r="J10" s="22">
        <f>'Юнит 7'!T$93</f>
        <v>149383.20000000001</v>
      </c>
      <c r="K10" s="23">
        <f>'Юнит 7'!U$93</f>
        <v>-1458</v>
      </c>
      <c r="L10" s="24">
        <f t="shared" ref="L10" si="25">IFERROR(J10+K10,0)</f>
        <v>147925.20000000001</v>
      </c>
      <c r="M10" s="22">
        <f>'Юнит 7'!W$93</f>
        <v>234275.74</v>
      </c>
      <c r="N10" s="23">
        <f>'Юнит 7'!X$93</f>
        <v>-2388</v>
      </c>
      <c r="O10" s="24">
        <f t="shared" ref="O10" si="26">IFERROR(M10+N10,0)</f>
        <v>231887.74</v>
      </c>
      <c r="P10" s="249">
        <f>'Юнит 7'!AB$93</f>
        <v>27919.799999999996</v>
      </c>
      <c r="Q10" s="251">
        <f>'Юнит 7'!AE$93</f>
        <v>22767.799999999996</v>
      </c>
      <c r="R10" s="23">
        <f>'Юнит 7'!AC$93</f>
        <v>84374.680000000022</v>
      </c>
      <c r="S10" s="25">
        <f>'Юнит 7'!AI$93</f>
        <v>1132.46</v>
      </c>
      <c r="T10" s="23">
        <v>165</v>
      </c>
      <c r="U10" s="23">
        <f>'Юнит 7'!AJ$93</f>
        <v>0</v>
      </c>
      <c r="V10" s="249">
        <v>497.76</v>
      </c>
      <c r="W10" s="26">
        <f>'Юнит 7'!AF$93</f>
        <v>16968</v>
      </c>
      <c r="X10" s="27">
        <f>'Юнит 7'!AG$93</f>
        <v>25029</v>
      </c>
      <c r="Y10" s="27">
        <f>'Юнит 7'!AH109</f>
        <v>0</v>
      </c>
      <c r="Z10" s="288">
        <f>IFERROR((L10)*0.01,0)</f>
        <v>1479.2520000000002</v>
      </c>
      <c r="AA10" s="27"/>
      <c r="AB10" s="27">
        <f t="shared" si="7"/>
        <v>53033.239999999962</v>
      </c>
      <c r="AC10" s="36">
        <f t="shared" si="8"/>
        <v>51553.987999999954</v>
      </c>
      <c r="AD10" s="322"/>
      <c r="AE10" s="11">
        <f t="shared" si="20"/>
        <v>0.12040222566315924</v>
      </c>
      <c r="AF10" s="11">
        <f t="shared" si="21"/>
        <v>1.8465027686444733</v>
      </c>
      <c r="AG10" s="11">
        <f t="shared" si="22"/>
        <v>0.22232304303798017</v>
      </c>
      <c r="AH10" s="11">
        <f t="shared" si="23"/>
        <v>0.18110918671250151</v>
      </c>
    </row>
    <row r="11" spans="1:34" s="20" customFormat="1" ht="25.5" customHeight="1">
      <c r="B11" s="32" t="s">
        <v>161</v>
      </c>
      <c r="C11" s="28" t="s">
        <v>153</v>
      </c>
      <c r="D11" s="29" t="s">
        <v>157</v>
      </c>
      <c r="E11" s="51"/>
      <c r="F11" s="49"/>
      <c r="G11" s="35"/>
      <c r="H11" s="35"/>
      <c r="I11" s="35"/>
      <c r="J11" s="22"/>
      <c r="K11" s="23"/>
      <c r="L11" s="24"/>
      <c r="M11" s="22"/>
      <c r="N11" s="23"/>
      <c r="O11" s="24"/>
      <c r="P11" s="249"/>
      <c r="Q11" s="25"/>
      <c r="R11" s="23"/>
      <c r="S11" s="25"/>
      <c r="T11" s="23"/>
      <c r="U11" s="23"/>
      <c r="V11" s="249"/>
      <c r="W11" s="26"/>
      <c r="X11" s="27"/>
      <c r="Y11" s="27"/>
      <c r="Z11" s="288"/>
      <c r="AA11" s="27"/>
      <c r="AB11" s="27">
        <f t="shared" si="7"/>
        <v>0</v>
      </c>
      <c r="AC11" s="36">
        <f t="shared" si="8"/>
        <v>0</v>
      </c>
      <c r="AD11" s="322"/>
      <c r="AE11" s="11" t="e">
        <f t="shared" si="20"/>
        <v>#DIV/0!</v>
      </c>
      <c r="AF11" s="11" t="e">
        <f t="shared" si="21"/>
        <v>#DIV/0!</v>
      </c>
      <c r="AG11" s="11" t="e">
        <f t="shared" si="22"/>
        <v>#DIV/0!</v>
      </c>
      <c r="AH11" s="11" t="e">
        <f t="shared" si="23"/>
        <v>#DIV/0!</v>
      </c>
    </row>
    <row r="12" spans="1:34" s="20" customFormat="1" ht="25.5" customHeight="1" thickBot="1">
      <c r="B12" s="260" t="s">
        <v>162</v>
      </c>
      <c r="C12" s="38" t="s">
        <v>154</v>
      </c>
      <c r="D12" s="39" t="s">
        <v>158</v>
      </c>
      <c r="E12" s="271"/>
      <c r="F12" s="40"/>
      <c r="G12" s="261"/>
      <c r="H12" s="261"/>
      <c r="I12" s="261"/>
      <c r="J12" s="262"/>
      <c r="K12" s="263"/>
      <c r="L12" s="264"/>
      <c r="M12" s="262"/>
      <c r="N12" s="263"/>
      <c r="O12" s="264"/>
      <c r="P12" s="265"/>
      <c r="Q12" s="266"/>
      <c r="R12" s="263"/>
      <c r="S12" s="266"/>
      <c r="T12" s="263"/>
      <c r="U12" s="263"/>
      <c r="V12" s="265"/>
      <c r="W12" s="267"/>
      <c r="X12" s="268"/>
      <c r="Y12" s="268"/>
      <c r="Z12" s="289"/>
      <c r="AA12" s="268"/>
      <c r="AB12" s="47">
        <f t="shared" si="7"/>
        <v>0</v>
      </c>
      <c r="AC12" s="48">
        <f t="shared" si="8"/>
        <v>0</v>
      </c>
      <c r="AD12" s="323"/>
      <c r="AE12" s="11" t="e">
        <f t="shared" si="20"/>
        <v>#DIV/0!</v>
      </c>
      <c r="AF12" s="11" t="e">
        <f t="shared" si="21"/>
        <v>#DIV/0!</v>
      </c>
      <c r="AG12" s="11" t="e">
        <f t="shared" si="22"/>
        <v>#DIV/0!</v>
      </c>
      <c r="AH12" s="11" t="e">
        <f t="shared" si="23"/>
        <v>#DIV/0!</v>
      </c>
    </row>
    <row r="13" spans="1:34" s="20" customFormat="1" ht="25.5" customHeight="1" thickBot="1">
      <c r="B13" s="32"/>
      <c r="C13" s="21"/>
      <c r="D13" s="30"/>
      <c r="E13" s="50"/>
      <c r="F13" s="270"/>
      <c r="G13" s="35"/>
      <c r="H13" s="35"/>
      <c r="I13" s="35"/>
      <c r="J13" s="22"/>
      <c r="K13" s="23"/>
      <c r="L13" s="24"/>
      <c r="M13" s="22"/>
      <c r="N13" s="23"/>
      <c r="O13" s="24"/>
      <c r="P13" s="249"/>
      <c r="Q13" s="25"/>
      <c r="R13" s="23"/>
      <c r="S13" s="25"/>
      <c r="T13" s="23"/>
      <c r="U13" s="23"/>
      <c r="V13" s="249"/>
      <c r="W13" s="26"/>
      <c r="X13" s="27"/>
      <c r="Y13" s="27"/>
      <c r="Z13" s="286"/>
      <c r="AA13" s="27"/>
      <c r="AB13" s="27">
        <f t="shared" si="7"/>
        <v>0</v>
      </c>
      <c r="AC13" s="36">
        <f t="shared" si="8"/>
        <v>0</v>
      </c>
      <c r="AD13" s="269"/>
      <c r="AE13" s="11" t="e">
        <f t="shared" si="20"/>
        <v>#DIV/0!</v>
      </c>
      <c r="AF13" s="11" t="e">
        <f t="shared" si="21"/>
        <v>#DIV/0!</v>
      </c>
      <c r="AG13" s="11" t="e">
        <f t="shared" si="22"/>
        <v>#DIV/0!</v>
      </c>
      <c r="AH13" s="11" t="e">
        <f t="shared" si="23"/>
        <v>#DIV/0!</v>
      </c>
    </row>
    <row r="14" spans="1:34" ht="22" customHeight="1" thickBot="1">
      <c r="B14" s="52" t="s">
        <v>30</v>
      </c>
      <c r="C14" s="53"/>
      <c r="D14" s="54"/>
      <c r="E14" s="55"/>
      <c r="F14" s="56">
        <f t="shared" ref="F14:AD14" si="27">SUM(F4:F13)</f>
        <v>296012.39999999997</v>
      </c>
      <c r="G14" s="57">
        <f t="shared" si="27"/>
        <v>1131</v>
      </c>
      <c r="H14" s="57">
        <f t="shared" si="27"/>
        <v>586</v>
      </c>
      <c r="I14" s="57">
        <f t="shared" si="27"/>
        <v>-8</v>
      </c>
      <c r="J14" s="56">
        <f t="shared" si="27"/>
        <v>468588.87999999995</v>
      </c>
      <c r="K14" s="56">
        <f t="shared" si="27"/>
        <v>-6815</v>
      </c>
      <c r="L14" s="56">
        <f t="shared" si="27"/>
        <v>461773.87999999995</v>
      </c>
      <c r="M14" s="56">
        <f t="shared" si="27"/>
        <v>670432.56000000006</v>
      </c>
      <c r="N14" s="56">
        <f t="shared" si="27"/>
        <v>-9649</v>
      </c>
      <c r="O14" s="56">
        <f t="shared" si="27"/>
        <v>660783.56000000006</v>
      </c>
      <c r="P14" s="56">
        <f t="shared" si="27"/>
        <v>78222.179999999993</v>
      </c>
      <c r="Q14" s="56">
        <f t="shared" si="27"/>
        <v>66288.5</v>
      </c>
      <c r="R14" s="56">
        <f t="shared" si="27"/>
        <v>239058.85000000003</v>
      </c>
      <c r="S14" s="56">
        <f t="shared" si="27"/>
        <v>8704.8499999999985</v>
      </c>
      <c r="T14" s="56">
        <f t="shared" si="27"/>
        <v>165</v>
      </c>
      <c r="U14" s="56">
        <f t="shared" si="27"/>
        <v>0</v>
      </c>
      <c r="V14" s="56">
        <f t="shared" si="27"/>
        <v>1608.96</v>
      </c>
      <c r="W14" s="56">
        <f t="shared" si="27"/>
        <v>48945</v>
      </c>
      <c r="X14" s="56">
        <f t="shared" si="27"/>
        <v>68739</v>
      </c>
      <c r="Y14" s="56">
        <f t="shared" si="27"/>
        <v>0</v>
      </c>
      <c r="Z14" s="290">
        <f t="shared" si="27"/>
        <v>4612.2215999999999</v>
      </c>
      <c r="AA14" s="56">
        <f t="shared" si="27"/>
        <v>0</v>
      </c>
      <c r="AB14" s="56">
        <f t="shared" si="27"/>
        <v>149051.21999999997</v>
      </c>
      <c r="AC14" s="56">
        <f>SUM(AC4:AC13)</f>
        <v>144438.99839999995</v>
      </c>
      <c r="AD14" s="56">
        <f t="shared" si="27"/>
        <v>144438.99839999995</v>
      </c>
      <c r="AE14" s="58">
        <f>P14/O14</f>
        <v>0.11837791485006072</v>
      </c>
      <c r="AF14" s="58">
        <f t="shared" ref="AF14" si="28">AC14/P14</f>
        <v>1.8465222830660046</v>
      </c>
      <c r="AG14" s="58">
        <f t="shared" si="5"/>
        <v>0.21858745759352721</v>
      </c>
      <c r="AH14" s="58">
        <f>(W14+X14+Y14)/O14</f>
        <v>0.17809765121880453</v>
      </c>
    </row>
    <row r="15" spans="1:34" ht="13.5" customHeight="1">
      <c r="B15" s="59"/>
      <c r="C15" s="59"/>
      <c r="D15" s="31"/>
      <c r="E15" s="60"/>
      <c r="F15" s="61"/>
      <c r="G15" s="61"/>
      <c r="H15" s="61"/>
      <c r="I15" s="61"/>
      <c r="J15" s="61"/>
      <c r="K15" s="61"/>
      <c r="L15" s="61"/>
      <c r="M15" s="62" t="s">
        <v>46</v>
      </c>
      <c r="N15" s="62"/>
      <c r="O15" s="62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  <c r="AB15" s="61"/>
      <c r="AC15" s="61"/>
      <c r="AD15" s="61"/>
      <c r="AE15" s="58"/>
      <c r="AF15" s="58"/>
      <c r="AG15" s="58"/>
      <c r="AH15" s="58"/>
    </row>
    <row r="16" spans="1:34" s="9" customFormat="1">
      <c r="B16" s="63"/>
      <c r="C16" s="63"/>
      <c r="E16" s="64"/>
      <c r="F16" s="65"/>
      <c r="G16" s="66"/>
      <c r="H16" s="66"/>
      <c r="I16" s="66"/>
      <c r="J16" s="66"/>
      <c r="K16" s="66"/>
      <c r="L16" s="66"/>
      <c r="M16" s="62"/>
      <c r="N16" s="67">
        <f>-N14/M14</f>
        <v>1.4392200760655179E-2</v>
      </c>
      <c r="O16" s="68"/>
      <c r="P16" s="253">
        <f t="shared" ref="P16:Z16" si="29">P14/$O$14</f>
        <v>0.11837791485006072</v>
      </c>
      <c r="Q16" s="253">
        <f t="shared" si="29"/>
        <v>0.10031802243990452</v>
      </c>
      <c r="R16" s="253">
        <f t="shared" si="29"/>
        <v>0.36178086815598137</v>
      </c>
      <c r="S16" s="253">
        <f t="shared" si="29"/>
        <v>1.3173526895856788E-2</v>
      </c>
      <c r="T16" s="253">
        <f t="shared" si="29"/>
        <v>2.4970354892001246E-4</v>
      </c>
      <c r="U16" s="253">
        <f t="shared" si="29"/>
        <v>0</v>
      </c>
      <c r="V16" s="253">
        <f t="shared" si="29"/>
        <v>2.4349274064869287E-3</v>
      </c>
      <c r="W16" s="253">
        <f t="shared" si="29"/>
        <v>7.4071152738727331E-2</v>
      </c>
      <c r="X16" s="253">
        <f t="shared" si="29"/>
        <v>0.1040264984800772</v>
      </c>
      <c r="Y16" s="253">
        <f t="shared" si="29"/>
        <v>0</v>
      </c>
      <c r="Z16" s="253">
        <f t="shared" si="29"/>
        <v>6.9799278904578068E-3</v>
      </c>
      <c r="AA16" s="69"/>
      <c r="AB16" s="69"/>
      <c r="AC16" s="67">
        <f>AC14/P14</f>
        <v>1.8465222830660046</v>
      </c>
      <c r="AD16" s="13" t="s">
        <v>33</v>
      </c>
      <c r="AE16" s="69"/>
      <c r="AF16" s="70"/>
      <c r="AG16" s="70"/>
      <c r="AH16" s="70"/>
    </row>
    <row r="17" spans="2:34" s="9" customFormat="1">
      <c r="B17" s="71"/>
      <c r="C17" s="71"/>
      <c r="D17" s="72"/>
      <c r="E17" s="73"/>
      <c r="F17" s="74"/>
      <c r="G17" s="276"/>
      <c r="H17" s="276"/>
      <c r="I17" s="276"/>
      <c r="J17" s="74"/>
      <c r="K17" s="74"/>
      <c r="L17" s="74"/>
      <c r="M17" s="75"/>
      <c r="N17" s="76"/>
      <c r="O17" s="77"/>
      <c r="P17" s="254"/>
      <c r="Q17" s="254"/>
      <c r="R17" s="254"/>
      <c r="S17" s="254"/>
      <c r="T17" s="254"/>
      <c r="U17" s="254"/>
      <c r="V17" s="254"/>
      <c r="W17" s="254">
        <f>(W14+X14)/O14</f>
        <v>0.17809765121880453</v>
      </c>
      <c r="X17" s="254"/>
      <c r="Y17" s="255"/>
      <c r="Z17" s="254"/>
      <c r="AA17" s="78"/>
      <c r="AB17" s="78"/>
      <c r="AC17" s="76">
        <f>AC14/O14</f>
        <v>0.21858745759352721</v>
      </c>
      <c r="AD17" s="79" t="s">
        <v>34</v>
      </c>
      <c r="AE17" s="69"/>
      <c r="AF17" s="70"/>
      <c r="AG17" s="70"/>
      <c r="AH17" s="70"/>
    </row>
    <row r="18" spans="2:34">
      <c r="B18" s="275" t="s">
        <v>170</v>
      </c>
      <c r="F18" s="82"/>
      <c r="G18" s="277">
        <f>SUM(G4:G8)</f>
        <v>457</v>
      </c>
      <c r="H18" s="277">
        <f t="shared" ref="H18:AC18" si="30">SUM(H4:H8)</f>
        <v>256</v>
      </c>
      <c r="I18" s="277">
        <f t="shared" si="30"/>
        <v>-5</v>
      </c>
      <c r="J18" s="278">
        <f t="shared" si="30"/>
        <v>233222.71999999997</v>
      </c>
      <c r="K18" s="278">
        <f t="shared" si="30"/>
        <v>-4580</v>
      </c>
      <c r="L18" s="278">
        <f t="shared" si="30"/>
        <v>228642.71999999997</v>
      </c>
      <c r="M18" s="278">
        <f t="shared" si="30"/>
        <v>303779.89</v>
      </c>
      <c r="N18" s="278">
        <f t="shared" si="30"/>
        <v>-6023</v>
      </c>
      <c r="O18" s="278">
        <f t="shared" si="30"/>
        <v>297756.89</v>
      </c>
      <c r="P18" s="278">
        <f t="shared" si="30"/>
        <v>34328.370000000003</v>
      </c>
      <c r="Q18" s="278">
        <f t="shared" si="30"/>
        <v>30976.050000000003</v>
      </c>
      <c r="R18" s="278">
        <f t="shared" si="30"/>
        <v>106888.70000000001</v>
      </c>
      <c r="S18" s="278">
        <f t="shared" si="30"/>
        <v>6310.98</v>
      </c>
      <c r="T18" s="278">
        <f t="shared" si="30"/>
        <v>0</v>
      </c>
      <c r="U18" s="278">
        <f t="shared" si="30"/>
        <v>0</v>
      </c>
      <c r="V18" s="278">
        <f>SUM(V4:V8)</f>
        <v>964.80000000000007</v>
      </c>
      <c r="W18" s="278">
        <f t="shared" si="30"/>
        <v>22451</v>
      </c>
      <c r="X18" s="278">
        <f t="shared" si="30"/>
        <v>26402</v>
      </c>
      <c r="Y18" s="278">
        <f t="shared" si="30"/>
        <v>0</v>
      </c>
      <c r="Z18" s="278">
        <f t="shared" si="30"/>
        <v>2280.91</v>
      </c>
      <c r="AA18" s="278">
        <f t="shared" si="30"/>
        <v>0</v>
      </c>
      <c r="AB18" s="278"/>
      <c r="AC18" s="278">
        <f t="shared" si="30"/>
        <v>67154.079999999987</v>
      </c>
      <c r="AD18" s="254">
        <f>AC14/O14</f>
        <v>0.21858745759352721</v>
      </c>
    </row>
    <row r="19" spans="2:34">
      <c r="F19" s="82"/>
      <c r="G19" s="82"/>
      <c r="H19" s="82"/>
      <c r="I19" s="82"/>
      <c r="J19" s="82"/>
      <c r="K19" s="82"/>
      <c r="L19" s="82"/>
      <c r="M19" s="82"/>
      <c r="N19" s="279">
        <f>-N18/M18</f>
        <v>1.982685555650178E-2</v>
      </c>
      <c r="O19" s="68"/>
      <c r="P19" s="280">
        <f t="shared" ref="P19:AA19" si="31">P18/$O$14</f>
        <v>5.1951004955389631E-2</v>
      </c>
      <c r="Q19" s="280">
        <f t="shared" si="31"/>
        <v>4.6877755251659103E-2</v>
      </c>
      <c r="R19" s="280">
        <f t="shared" si="31"/>
        <v>0.16176053169361537</v>
      </c>
      <c r="S19" s="280">
        <f t="shared" si="31"/>
        <v>9.5507521403831522E-3</v>
      </c>
      <c r="T19" s="280">
        <f t="shared" si="31"/>
        <v>0</v>
      </c>
      <c r="U19" s="280">
        <f t="shared" si="31"/>
        <v>0</v>
      </c>
      <c r="V19" s="280">
        <f t="shared" si="31"/>
        <v>1.4600847515032001E-3</v>
      </c>
      <c r="W19" s="280">
        <f t="shared" si="31"/>
        <v>3.3976329556383029E-2</v>
      </c>
      <c r="X19" s="280">
        <f t="shared" si="31"/>
        <v>3.9955594536885873E-2</v>
      </c>
      <c r="Y19" s="280">
        <f t="shared" si="31"/>
        <v>0</v>
      </c>
      <c r="Z19" s="280">
        <f t="shared" si="31"/>
        <v>3.4518261925281552E-3</v>
      </c>
      <c r="AA19" s="280">
        <f t="shared" si="31"/>
        <v>0</v>
      </c>
      <c r="AB19" s="280"/>
      <c r="AC19" s="280">
        <f>AC18/O18</f>
        <v>0.22553325298366725</v>
      </c>
    </row>
    <row r="20" spans="2:34" ht="15.5">
      <c r="F20" s="82"/>
      <c r="G20" s="82"/>
      <c r="H20" s="82"/>
      <c r="I20" s="82"/>
      <c r="J20" s="82"/>
      <c r="K20" s="82"/>
      <c r="L20" s="82"/>
      <c r="M20" s="85"/>
      <c r="N20" s="82"/>
      <c r="O20" s="82"/>
      <c r="P20" s="86"/>
      <c r="Q20" s="87"/>
      <c r="R20" s="82"/>
      <c r="S20" s="82"/>
      <c r="T20" s="82"/>
    </row>
    <row r="21" spans="2:34">
      <c r="F21" s="82"/>
      <c r="G21" s="82"/>
      <c r="H21" s="82"/>
      <c r="I21" s="82"/>
      <c r="J21" s="82"/>
      <c r="K21" s="82"/>
      <c r="L21" s="82"/>
      <c r="M21" s="88"/>
      <c r="N21" s="82"/>
      <c r="O21" s="82"/>
      <c r="P21" s="83"/>
      <c r="Q21" s="89"/>
      <c r="R21" s="82"/>
      <c r="S21" s="82"/>
      <c r="T21" s="82"/>
    </row>
    <row r="22" spans="2:34">
      <c r="F22" s="82"/>
      <c r="G22" s="82"/>
      <c r="H22" s="82"/>
      <c r="I22" s="82"/>
      <c r="J22" s="82"/>
      <c r="K22" s="82"/>
      <c r="L22" s="82"/>
      <c r="M22" s="83"/>
      <c r="N22" s="82"/>
      <c r="O22" s="82"/>
      <c r="P22" s="83"/>
      <c r="Q22" s="89"/>
      <c r="R22" s="82"/>
      <c r="S22" s="82"/>
      <c r="T22" s="82"/>
    </row>
    <row r="23" spans="2:34">
      <c r="F23" s="82"/>
      <c r="G23" s="82"/>
      <c r="H23" s="82"/>
      <c r="I23" s="82"/>
      <c r="J23" s="82"/>
      <c r="K23" s="82"/>
      <c r="L23" s="82"/>
      <c r="M23" s="83"/>
      <c r="N23" s="82"/>
      <c r="O23" s="82"/>
      <c r="P23" s="83"/>
      <c r="Q23" s="89"/>
      <c r="R23" s="82"/>
      <c r="S23" s="82"/>
      <c r="T23" s="82"/>
      <c r="AB23" s="298"/>
      <c r="AC23" s="285"/>
    </row>
    <row r="24" spans="2:34">
      <c r="F24" s="82"/>
      <c r="G24" s="82"/>
      <c r="H24" s="82"/>
      <c r="I24" s="82"/>
      <c r="J24" s="82"/>
      <c r="K24" s="82"/>
      <c r="L24" s="82"/>
      <c r="M24" s="83"/>
      <c r="N24" s="84"/>
      <c r="O24" s="82"/>
      <c r="P24" s="83"/>
      <c r="Q24" s="89"/>
      <c r="R24" s="82"/>
      <c r="S24" s="82"/>
      <c r="T24" s="82"/>
    </row>
    <row r="25" spans="2:34">
      <c r="F25" s="82"/>
      <c r="G25" s="82"/>
      <c r="H25" s="82"/>
      <c r="I25" s="82"/>
      <c r="J25" s="82"/>
      <c r="K25" s="82"/>
      <c r="L25" s="82"/>
      <c r="M25" s="82"/>
      <c r="N25" s="82"/>
      <c r="O25" s="82"/>
      <c r="P25" s="82"/>
      <c r="Q25" s="82"/>
      <c r="R25" s="82"/>
      <c r="S25" s="82"/>
      <c r="T25" s="82"/>
    </row>
    <row r="26" spans="2:34" ht="15.5">
      <c r="F26" s="80"/>
      <c r="G26" s="80"/>
      <c r="H26" s="80"/>
      <c r="I26" s="80"/>
      <c r="J26" s="80"/>
      <c r="K26" s="80"/>
      <c r="L26" s="80"/>
      <c r="M26" s="81"/>
      <c r="N26" s="80"/>
      <c r="O26" s="80"/>
      <c r="P26" s="90"/>
      <c r="Q26" s="80"/>
      <c r="R26" s="80"/>
      <c r="S26" s="80"/>
      <c r="T26" s="91"/>
    </row>
  </sheetData>
  <mergeCells count="27">
    <mergeCell ref="AD9:AD12"/>
    <mergeCell ref="U2:U3"/>
    <mergeCell ref="B2:D2"/>
    <mergeCell ref="E2:E3"/>
    <mergeCell ref="F2:F3"/>
    <mergeCell ref="G2:I2"/>
    <mergeCell ref="J2:L2"/>
    <mergeCell ref="M2:O2"/>
    <mergeCell ref="P2:P3"/>
    <mergeCell ref="Q2:Q3"/>
    <mergeCell ref="R2:R3"/>
    <mergeCell ref="S2:S3"/>
    <mergeCell ref="T2:T3"/>
    <mergeCell ref="AD4:AD8"/>
    <mergeCell ref="AB2:AB3"/>
    <mergeCell ref="AG2:AG3"/>
    <mergeCell ref="AH2:AH3"/>
    <mergeCell ref="V2:V3"/>
    <mergeCell ref="W2:W3"/>
    <mergeCell ref="X2:X3"/>
    <mergeCell ref="Y2:Y3"/>
    <mergeCell ref="Z2:Z3"/>
    <mergeCell ref="AA2:AA3"/>
    <mergeCell ref="AC2:AC3"/>
    <mergeCell ref="AD2:AD3"/>
    <mergeCell ref="AE2:AE3"/>
    <mergeCell ref="AF2:AF3"/>
  </mergeCells>
  <conditionalFormatting sqref="O3">
    <cfRule type="dataBar" priority="27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{9BCD1EB3-941F-4E81-AA8F-D3C8CC50CAE2}</x14:id>
        </ext>
      </extLst>
    </cfRule>
  </conditionalFormatting>
  <conditionalFormatting sqref="L3">
    <cfRule type="dataBar" priority="25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{D0EA1FE8-3B31-4663-AEFB-1BEC2B462890}</x14:id>
        </ext>
      </extLst>
    </cfRule>
  </conditionalFormatting>
  <conditionalFormatting sqref="O6">
    <cfRule type="dataBar" priority="6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{CB99ECE6-73F6-4B62-A26B-D4BABEF44306}</x14:id>
        </ext>
      </extLst>
    </cfRule>
    <cfRule type="dataBar" priority="6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{32D19077-6923-4CB7-8EDC-BDA3FB7D15F5}</x14:id>
        </ext>
      </extLst>
    </cfRule>
  </conditionalFormatting>
  <conditionalFormatting sqref="O6">
    <cfRule type="dataBar" priority="6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{0A36570D-8AAF-4777-A689-481093F2A0D8}</x14:id>
        </ext>
      </extLst>
    </cfRule>
  </conditionalFormatting>
  <conditionalFormatting sqref="O6">
    <cfRule type="dataBar" priority="6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{E4726A8F-D5CA-428E-AB72-C8A776E3CA34}</x14:id>
        </ext>
      </extLst>
    </cfRule>
  </conditionalFormatting>
  <conditionalFormatting sqref="L6">
    <cfRule type="dataBar" priority="6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{C1371943-EE23-4864-92D4-0ECBDD20611B}</x14:id>
        </ext>
      </extLst>
    </cfRule>
    <cfRule type="dataBar" priority="6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{54BDD607-6A60-431C-9673-0BE096B14A25}</x14:id>
        </ext>
      </extLst>
    </cfRule>
  </conditionalFormatting>
  <conditionalFormatting sqref="L6">
    <cfRule type="dataBar" priority="6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{B02642E0-BA37-43A9-B688-07B8A6A49A25}</x14:id>
        </ext>
      </extLst>
    </cfRule>
  </conditionalFormatting>
  <conditionalFormatting sqref="L6">
    <cfRule type="dataBar" priority="6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{25FA34C6-0251-420F-96DB-BF9244C96D3E}</x14:id>
        </ext>
      </extLst>
    </cfRule>
  </conditionalFormatting>
  <conditionalFormatting sqref="O6">
    <cfRule type="dataBar" priority="6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{6BBB1474-E4E0-4F81-A606-6255E7BD5F9B}</x14:id>
        </ext>
      </extLst>
    </cfRule>
  </conditionalFormatting>
  <conditionalFormatting sqref="L6">
    <cfRule type="dataBar" priority="6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{6AC94A1C-0130-4D1B-AAF0-22B11A234E56}</x14:id>
        </ext>
      </extLst>
    </cfRule>
  </conditionalFormatting>
  <conditionalFormatting sqref="L6">
    <cfRule type="dataBar" priority="61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{014AC85A-129F-457A-B201-B6FD79B4961F}</x14:id>
        </ext>
      </extLst>
    </cfRule>
  </conditionalFormatting>
  <conditionalFormatting sqref="O6">
    <cfRule type="dataBar" priority="6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{53BC48B4-F304-4A18-BAC8-528F3B34E561}</x14:id>
        </ext>
      </extLst>
    </cfRule>
  </conditionalFormatting>
  <conditionalFormatting sqref="L6">
    <cfRule type="dataBar" priority="61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{6110DD41-C058-450E-A52B-17F69BEC6788}</x14:id>
        </ext>
      </extLst>
    </cfRule>
  </conditionalFormatting>
  <conditionalFormatting sqref="O6">
    <cfRule type="dataBar" priority="6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{0FD03174-7F21-4559-84D3-86E67832A071}</x14:id>
        </ext>
      </extLst>
    </cfRule>
  </conditionalFormatting>
  <conditionalFormatting sqref="L6">
    <cfRule type="dataBar" priority="60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{5B1AC38F-BF54-42B4-BB6E-5DE7617068B8}</x14:id>
        </ext>
      </extLst>
    </cfRule>
  </conditionalFormatting>
  <conditionalFormatting sqref="O6">
    <cfRule type="dataBar" priority="6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{040EEA6C-F888-4278-A498-7F1CBA051166}</x14:id>
        </ext>
      </extLst>
    </cfRule>
  </conditionalFormatting>
  <conditionalFormatting sqref="AF4:AF6 AF8:AF15">
    <cfRule type="dataBar" priority="28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{4A73C5EB-E014-4FAE-BBAD-032B2C6B93E3}</x14:id>
        </ext>
      </extLst>
    </cfRule>
  </conditionalFormatting>
  <conditionalFormatting sqref="AG4:AG6 AG8:AG15">
    <cfRule type="dataBar" priority="28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{354E5559-3184-4D88-AE0D-F20E29774CBB}</x14:id>
        </ext>
      </extLst>
    </cfRule>
  </conditionalFormatting>
  <conditionalFormatting sqref="AH4:AH6 AH8:AH15">
    <cfRule type="dataBar" priority="28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{6A4A32A1-C720-4103-8DF5-7A90BF0C803A}</x14:id>
        </ext>
      </extLst>
    </cfRule>
  </conditionalFormatting>
  <conditionalFormatting sqref="AF7">
    <cfRule type="dataBar" priority="5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{004FD9F6-D6CE-4147-90A4-FD0C015C5D0A}</x14:id>
        </ext>
      </extLst>
    </cfRule>
  </conditionalFormatting>
  <conditionalFormatting sqref="AG7">
    <cfRule type="dataBar" priority="56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{3A6E6DA9-C4F3-4716-B72F-F7BB814B7243}</x14:id>
        </ext>
      </extLst>
    </cfRule>
  </conditionalFormatting>
  <conditionalFormatting sqref="AH7">
    <cfRule type="dataBar" priority="5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{06003ADE-40F9-4E35-A2E6-5923F673C6FC}</x14:id>
        </ext>
      </extLst>
    </cfRule>
  </conditionalFormatting>
  <conditionalFormatting sqref="Q4">
    <cfRule type="dataBar" priority="4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{874B4F9D-98A5-49A0-9737-4B703D900AC9}</x14:id>
        </ext>
      </extLst>
    </cfRule>
  </conditionalFormatting>
  <conditionalFormatting sqref="Q4">
    <cfRule type="dataBar" priority="49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{B06D65AD-F47A-4CA0-838F-A8DDF83C8083}</x14:id>
        </ext>
      </extLst>
    </cfRule>
  </conditionalFormatting>
  <conditionalFormatting sqref="R4">
    <cfRule type="dataBar" priority="48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{E7442BD1-0A62-4037-94EE-00679A1E5A43}</x14:id>
        </ext>
      </extLst>
    </cfRule>
    <cfRule type="dataBar" priority="49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{2B2A35C1-E586-4DD1-923C-F2301F95187A}</x14:id>
        </ext>
      </extLst>
    </cfRule>
  </conditionalFormatting>
  <conditionalFormatting sqref="Q4">
    <cfRule type="dataBar" priority="4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{71C1DC55-C608-4126-BAE9-EE2E77A7C7BF}</x14:id>
        </ext>
      </extLst>
    </cfRule>
  </conditionalFormatting>
  <conditionalFormatting sqref="R4">
    <cfRule type="dataBar" priority="48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{3133D215-BFB3-4CEC-8B98-518BD01DAE49}</x14:id>
        </ext>
      </extLst>
    </cfRule>
  </conditionalFormatting>
  <conditionalFormatting sqref="Q4">
    <cfRule type="dataBar" priority="48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{7F3939CE-A8C7-43A3-B441-52BCAD8B092E}</x14:id>
        </ext>
      </extLst>
    </cfRule>
  </conditionalFormatting>
  <conditionalFormatting sqref="R4">
    <cfRule type="dataBar" priority="48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{AAC7A19A-2257-435E-94CE-682EC90BB487}</x14:id>
        </ext>
      </extLst>
    </cfRule>
  </conditionalFormatting>
  <conditionalFormatting sqref="Q4">
    <cfRule type="dataBar" priority="4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{73C55CEB-ECDB-4308-A316-B8CF8F650247}</x14:id>
        </ext>
      </extLst>
    </cfRule>
  </conditionalFormatting>
  <conditionalFormatting sqref="R4">
    <cfRule type="dataBar" priority="48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{1FB685D8-EB07-44E3-8D9F-89E022C2D0EF}</x14:id>
        </ext>
      </extLst>
    </cfRule>
  </conditionalFormatting>
  <conditionalFormatting sqref="R4">
    <cfRule type="dataBar" priority="48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{A2E4A6AF-A15A-4192-BE75-A158404234DD}</x14:id>
        </ext>
      </extLst>
    </cfRule>
  </conditionalFormatting>
  <conditionalFormatting sqref="O4">
    <cfRule type="dataBar" priority="4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{B079B2DB-AE57-4FB6-8745-0002BB1E7FA3}</x14:id>
        </ext>
      </extLst>
    </cfRule>
    <cfRule type="dataBar" priority="49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{39539873-A6C8-4A8C-84F9-AA857BFB2606}</x14:id>
        </ext>
      </extLst>
    </cfRule>
  </conditionalFormatting>
  <conditionalFormatting sqref="O4">
    <cfRule type="dataBar" priority="4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{334CFEE1-3D5B-4932-AC84-C6B0169B56A6}</x14:id>
        </ext>
      </extLst>
    </cfRule>
  </conditionalFormatting>
  <conditionalFormatting sqref="O4">
    <cfRule type="dataBar" priority="4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{CFAA8471-CD1F-47BF-82D0-AEE474B27080}</x14:id>
        </ext>
      </extLst>
    </cfRule>
  </conditionalFormatting>
  <conditionalFormatting sqref="L4">
    <cfRule type="dataBar" priority="4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{2EF8F583-4109-4D83-BC91-EAEDB9D3F1A6}</x14:id>
        </ext>
      </extLst>
    </cfRule>
    <cfRule type="dataBar" priority="4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{58A517AC-24E3-48D5-AB61-B5D711DD7B05}</x14:id>
        </ext>
      </extLst>
    </cfRule>
  </conditionalFormatting>
  <conditionalFormatting sqref="L4">
    <cfRule type="dataBar" priority="4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{21F18470-F7D1-469B-A337-7A4F29569C24}</x14:id>
        </ext>
      </extLst>
    </cfRule>
  </conditionalFormatting>
  <conditionalFormatting sqref="L4">
    <cfRule type="dataBar" priority="48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{96DE8B0E-F78B-4D68-B7DF-DDAFA0FCF4C9}</x14:id>
        </ext>
      </extLst>
    </cfRule>
  </conditionalFormatting>
  <conditionalFormatting sqref="O4">
    <cfRule type="dataBar" priority="4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{C87DF648-3F44-47DF-A1A9-3F7294927D39}</x14:id>
        </ext>
      </extLst>
    </cfRule>
  </conditionalFormatting>
  <conditionalFormatting sqref="Q4">
    <cfRule type="dataBar" priority="4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{0485B17C-CA54-4AA4-8742-64B76ABA4F66}</x14:id>
        </ext>
      </extLst>
    </cfRule>
  </conditionalFormatting>
  <conditionalFormatting sqref="R4">
    <cfRule type="dataBar" priority="47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{523A816D-2F2A-40C8-9725-219A71DD67D3}</x14:id>
        </ext>
      </extLst>
    </cfRule>
  </conditionalFormatting>
  <conditionalFormatting sqref="L4">
    <cfRule type="dataBar" priority="47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{17E85AF9-309F-4267-BD64-EC8347A489E8}</x14:id>
        </ext>
      </extLst>
    </cfRule>
  </conditionalFormatting>
  <conditionalFormatting sqref="L4">
    <cfRule type="dataBar" priority="47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{110EDEB9-C5E5-494F-9DC7-82F73AB3365C}</x14:id>
        </ext>
      </extLst>
    </cfRule>
  </conditionalFormatting>
  <conditionalFormatting sqref="O4">
    <cfRule type="dataBar" priority="4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{0E3461C2-131F-4A4A-9042-1B7719068669}</x14:id>
        </ext>
      </extLst>
    </cfRule>
  </conditionalFormatting>
  <conditionalFormatting sqref="Q4">
    <cfRule type="dataBar" priority="47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{5F175157-F8F7-43F6-8B2A-B6A92668CA7C}</x14:id>
        </ext>
      </extLst>
    </cfRule>
  </conditionalFormatting>
  <conditionalFormatting sqref="R4">
    <cfRule type="dataBar" priority="47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{21EDBB07-BDB5-4426-B7B2-3D01E0C40932}</x14:id>
        </ext>
      </extLst>
    </cfRule>
  </conditionalFormatting>
  <conditionalFormatting sqref="L4">
    <cfRule type="dataBar" priority="46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{AD665EDE-1C39-4990-9FD5-9CD6AD9C2BE0}</x14:id>
        </ext>
      </extLst>
    </cfRule>
  </conditionalFormatting>
  <conditionalFormatting sqref="O4">
    <cfRule type="dataBar" priority="46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{6B32E44A-6937-45E8-83C8-0F38A5567549}</x14:id>
        </ext>
      </extLst>
    </cfRule>
  </conditionalFormatting>
  <conditionalFormatting sqref="Q4">
    <cfRule type="dataBar" priority="46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{AC6A08A2-2EBB-457A-AB38-790B080AF228}</x14:id>
        </ext>
      </extLst>
    </cfRule>
  </conditionalFormatting>
  <conditionalFormatting sqref="R4">
    <cfRule type="dataBar" priority="46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{1CE3226F-3F34-4E8F-B22F-D0CB3D2B068B}</x14:id>
        </ext>
      </extLst>
    </cfRule>
  </conditionalFormatting>
  <conditionalFormatting sqref="L4">
    <cfRule type="dataBar" priority="46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{12D7FE28-4E9E-4BEE-B4FE-ABBDE0681171}</x14:id>
        </ext>
      </extLst>
    </cfRule>
  </conditionalFormatting>
  <conditionalFormatting sqref="O4">
    <cfRule type="dataBar" priority="4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{D0A8C419-090D-4ED7-A47A-C0F5543CFCFF}</x14:id>
        </ext>
      </extLst>
    </cfRule>
  </conditionalFormatting>
  <conditionalFormatting sqref="Q4">
    <cfRule type="dataBar" priority="4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{E3A0A6D7-F1C0-41F9-901C-B942B3425D86}</x14:id>
        </ext>
      </extLst>
    </cfRule>
  </conditionalFormatting>
  <conditionalFormatting sqref="R4">
    <cfRule type="dataBar" priority="46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{A0CD5C8F-099F-416B-BF43-033C37F02105}</x14:id>
        </ext>
      </extLst>
    </cfRule>
  </conditionalFormatting>
  <conditionalFormatting sqref="O5">
    <cfRule type="dataBar" priority="4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{7564C205-06E1-483C-83B1-E90A2D05BEDD}</x14:id>
        </ext>
      </extLst>
    </cfRule>
    <cfRule type="dataBar" priority="4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{0A6F2B7B-B2B6-46E1-B71B-ECAC8A6CF537}</x14:id>
        </ext>
      </extLst>
    </cfRule>
  </conditionalFormatting>
  <conditionalFormatting sqref="O5">
    <cfRule type="dataBar" priority="4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{1C6F9EFF-C357-46E4-88A6-CED53814A2C7}</x14:id>
        </ext>
      </extLst>
    </cfRule>
  </conditionalFormatting>
  <conditionalFormatting sqref="O5">
    <cfRule type="dataBar" priority="4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{D57366ED-E35C-45CA-809D-8C09CD6A553D}</x14:id>
        </ext>
      </extLst>
    </cfRule>
  </conditionalFormatting>
  <conditionalFormatting sqref="L5">
    <cfRule type="dataBar" priority="4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{AED1EAE2-4C2F-417A-B775-0C9078A58284}</x14:id>
        </ext>
      </extLst>
    </cfRule>
    <cfRule type="dataBar" priority="4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{E0025E76-5398-4203-9025-3FC663DB0B14}</x14:id>
        </ext>
      </extLst>
    </cfRule>
  </conditionalFormatting>
  <conditionalFormatting sqref="L5">
    <cfRule type="dataBar" priority="4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{3EE994D2-C95D-4B9C-A5B7-C0D9C264989B}</x14:id>
        </ext>
      </extLst>
    </cfRule>
  </conditionalFormatting>
  <conditionalFormatting sqref="L5">
    <cfRule type="dataBar" priority="4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{756E94C9-67FA-4D3D-B5B0-0FCE3C0E8E86}</x14:id>
        </ext>
      </extLst>
    </cfRule>
  </conditionalFormatting>
  <conditionalFormatting sqref="O5">
    <cfRule type="dataBar" priority="4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{36C16F86-A593-48AC-9F10-A020C9E20B69}</x14:id>
        </ext>
      </extLst>
    </cfRule>
  </conditionalFormatting>
  <conditionalFormatting sqref="L5">
    <cfRule type="dataBar" priority="4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{310C273E-03F4-4848-963F-527BAB8CD346}</x14:id>
        </ext>
      </extLst>
    </cfRule>
  </conditionalFormatting>
  <conditionalFormatting sqref="L5">
    <cfRule type="dataBar" priority="43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{63F402B7-4850-4487-9976-B1AE99D08BA2}</x14:id>
        </ext>
      </extLst>
    </cfRule>
  </conditionalFormatting>
  <conditionalFormatting sqref="O5">
    <cfRule type="dataBar" priority="4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{AEE44CCD-9415-4008-A522-6BF31CE9E43C}</x14:id>
        </ext>
      </extLst>
    </cfRule>
  </conditionalFormatting>
  <conditionalFormatting sqref="L5">
    <cfRule type="dataBar" priority="43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{60B5D511-0312-4FD7-B953-45148516F48F}</x14:id>
        </ext>
      </extLst>
    </cfRule>
  </conditionalFormatting>
  <conditionalFormatting sqref="O5">
    <cfRule type="dataBar" priority="4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{529E410B-38B8-4A3C-B254-59AB232CE46C}</x14:id>
        </ext>
      </extLst>
    </cfRule>
  </conditionalFormatting>
  <conditionalFormatting sqref="L5">
    <cfRule type="dataBar" priority="43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{1E791089-790E-4327-BACD-3ADE9F700551}</x14:id>
        </ext>
      </extLst>
    </cfRule>
  </conditionalFormatting>
  <conditionalFormatting sqref="O5">
    <cfRule type="dataBar" priority="4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{C3D25D05-7B9A-40D9-AA03-B33B8D4AB7AF}</x14:id>
        </ext>
      </extLst>
    </cfRule>
  </conditionalFormatting>
  <conditionalFormatting sqref="O7">
    <cfRule type="dataBar" priority="4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{536FA57E-2CAB-43C5-AA37-0FB8BF20BB6F}</x14:id>
        </ext>
      </extLst>
    </cfRule>
    <cfRule type="dataBar" priority="4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{832D3543-A8CF-499A-B2B2-3A356867419B}</x14:id>
        </ext>
      </extLst>
    </cfRule>
  </conditionalFormatting>
  <conditionalFormatting sqref="O7">
    <cfRule type="dataBar" priority="4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{B2CBD6C5-59A5-45CD-BE3A-F2AD122FC22B}</x14:id>
        </ext>
      </extLst>
    </cfRule>
  </conditionalFormatting>
  <conditionalFormatting sqref="O7">
    <cfRule type="dataBar" priority="4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{1EBAD25D-2013-4C48-8A41-962CC1C02355}</x14:id>
        </ext>
      </extLst>
    </cfRule>
  </conditionalFormatting>
  <conditionalFormatting sqref="L7">
    <cfRule type="dataBar" priority="40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{2508DBF5-588A-489A-ACE3-6664844384B8}</x14:id>
        </ext>
      </extLst>
    </cfRule>
    <cfRule type="dataBar" priority="40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{6D06DCB7-9DED-4AE8-8203-8EF47358CE2A}</x14:id>
        </ext>
      </extLst>
    </cfRule>
  </conditionalFormatting>
  <conditionalFormatting sqref="L7">
    <cfRule type="dataBar" priority="4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{E8450AF5-7B6A-4E06-A914-DEFD2BFA8838}</x14:id>
        </ext>
      </extLst>
    </cfRule>
  </conditionalFormatting>
  <conditionalFormatting sqref="L7">
    <cfRule type="dataBar" priority="4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{A87B87F9-B533-40FD-B0F9-31C86AB2CFC6}</x14:id>
        </ext>
      </extLst>
    </cfRule>
  </conditionalFormatting>
  <conditionalFormatting sqref="O7">
    <cfRule type="dataBar" priority="4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{F420622F-0DA9-41F2-897A-4CA1B5D76EC6}</x14:id>
        </ext>
      </extLst>
    </cfRule>
  </conditionalFormatting>
  <conditionalFormatting sqref="L7">
    <cfRule type="dataBar" priority="40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{D858CC05-43B9-4244-87E2-BCD5FF6BFB8A}</x14:id>
        </ext>
      </extLst>
    </cfRule>
  </conditionalFormatting>
  <conditionalFormatting sqref="L7">
    <cfRule type="dataBar" priority="40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{15E0D5D2-2436-4600-A028-EE4A621E63CE}</x14:id>
        </ext>
      </extLst>
    </cfRule>
  </conditionalFormatting>
  <conditionalFormatting sqref="O7">
    <cfRule type="dataBar" priority="4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{895447E9-D63A-4A5A-BC5E-16D9A85384EF}</x14:id>
        </ext>
      </extLst>
    </cfRule>
  </conditionalFormatting>
  <conditionalFormatting sqref="L7">
    <cfRule type="dataBar" priority="39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{0440AFBB-988E-4EF8-9C15-1E5E532D35D8}</x14:id>
        </ext>
      </extLst>
    </cfRule>
  </conditionalFormatting>
  <conditionalFormatting sqref="O7">
    <cfRule type="dataBar" priority="39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{84FB1594-EABD-4D13-B77B-18F19728ABAF}</x14:id>
        </ext>
      </extLst>
    </cfRule>
  </conditionalFormatting>
  <conditionalFormatting sqref="L7">
    <cfRule type="dataBar" priority="39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{F0B5E1C5-EC09-4D18-8807-23336BA8BD05}</x14:id>
        </ext>
      </extLst>
    </cfRule>
  </conditionalFormatting>
  <conditionalFormatting sqref="O7">
    <cfRule type="dataBar" priority="3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{1B3FACB3-8F33-41C6-BFE9-EB21B20BC0B5}</x14:id>
        </ext>
      </extLst>
    </cfRule>
  </conditionalFormatting>
  <conditionalFormatting sqref="O8">
    <cfRule type="dataBar" priority="38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{9FC94D53-17C4-4946-B000-94B9E59214F9}</x14:id>
        </ext>
      </extLst>
    </cfRule>
    <cfRule type="dataBar" priority="3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{E7B95960-375A-4F63-B6C3-05F794BFB4A6}</x14:id>
        </ext>
      </extLst>
    </cfRule>
  </conditionalFormatting>
  <conditionalFormatting sqref="O8">
    <cfRule type="dataBar" priority="3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{8A4A6A64-B40E-4828-BD69-04CDD613D7FE}</x14:id>
        </ext>
      </extLst>
    </cfRule>
  </conditionalFormatting>
  <conditionalFormatting sqref="O8">
    <cfRule type="dataBar" priority="39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{3297D46C-B055-4C1A-9DFA-EA3C897DAA14}</x14:id>
        </ext>
      </extLst>
    </cfRule>
  </conditionalFormatting>
  <conditionalFormatting sqref="L8">
    <cfRule type="dataBar" priority="3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{EBE5882A-4B96-44D8-9138-94CAAA1E1B99}</x14:id>
        </ext>
      </extLst>
    </cfRule>
    <cfRule type="dataBar" priority="37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{BEFAF701-71B5-426D-9BB4-D0FF76A5D279}</x14:id>
        </ext>
      </extLst>
    </cfRule>
  </conditionalFormatting>
  <conditionalFormatting sqref="L8">
    <cfRule type="dataBar" priority="3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{005AD710-AF72-4AA3-8CFF-F828F251C71C}</x14:id>
        </ext>
      </extLst>
    </cfRule>
  </conditionalFormatting>
  <conditionalFormatting sqref="L8">
    <cfRule type="dataBar" priority="37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{26059503-ED5E-45CF-BF31-717C50E5B56C}</x14:id>
        </ext>
      </extLst>
    </cfRule>
  </conditionalFormatting>
  <conditionalFormatting sqref="O8">
    <cfRule type="dataBar" priority="3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{C5BCDB82-1F4A-4DF2-9484-814332050A58}</x14:id>
        </ext>
      </extLst>
    </cfRule>
  </conditionalFormatting>
  <conditionalFormatting sqref="L8">
    <cfRule type="dataBar" priority="3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{7BFE2036-1878-4E17-8B7B-D81F163AC403}</x14:id>
        </ext>
      </extLst>
    </cfRule>
  </conditionalFormatting>
  <conditionalFormatting sqref="L8">
    <cfRule type="dataBar" priority="36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{5DB33246-25D5-413B-A7D1-CD0589B6732F}</x14:id>
        </ext>
      </extLst>
    </cfRule>
  </conditionalFormatting>
  <conditionalFormatting sqref="O8">
    <cfRule type="dataBar" priority="3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{521C12A1-86F8-4B42-A38F-667D52C5EAC0}</x14:id>
        </ext>
      </extLst>
    </cfRule>
  </conditionalFormatting>
  <conditionalFormatting sqref="L8">
    <cfRule type="dataBar" priority="36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{73C04A16-3F72-4066-AA83-3DEAE810BB45}</x14:id>
        </ext>
      </extLst>
    </cfRule>
  </conditionalFormatting>
  <conditionalFormatting sqref="O8">
    <cfRule type="dataBar" priority="3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{75B4A50C-4BAF-4A14-8DDC-8676E8289EFD}</x14:id>
        </ext>
      </extLst>
    </cfRule>
  </conditionalFormatting>
  <conditionalFormatting sqref="L8">
    <cfRule type="dataBar" priority="36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{AFF1EB70-D86E-4F5B-9D4C-7543E17B303B}</x14:id>
        </ext>
      </extLst>
    </cfRule>
  </conditionalFormatting>
  <conditionalFormatting sqref="O8">
    <cfRule type="dataBar" priority="3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{00F7CB58-8E02-4B69-BBD2-C9762EA7DCCC}</x14:id>
        </ext>
      </extLst>
    </cfRule>
  </conditionalFormatting>
  <conditionalFormatting sqref="Q5">
    <cfRule type="dataBar" priority="3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{DA0DA7F9-AC0B-410F-AEB7-79A90FD985B7}</x14:id>
        </ext>
      </extLst>
    </cfRule>
  </conditionalFormatting>
  <conditionalFormatting sqref="Q5">
    <cfRule type="dataBar" priority="3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{5B696F81-EB52-46B2-BC4B-C62B7D2781C8}</x14:id>
        </ext>
      </extLst>
    </cfRule>
  </conditionalFormatting>
  <conditionalFormatting sqref="R5">
    <cfRule type="dataBar" priority="35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{4FBB1308-7666-4CB3-9AC2-B09C7CF6B9C4}</x14:id>
        </ext>
      </extLst>
    </cfRule>
    <cfRule type="dataBar" priority="35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{F6052424-05B9-433B-8E83-0CF093C38CDD}</x14:id>
        </ext>
      </extLst>
    </cfRule>
  </conditionalFormatting>
  <conditionalFormatting sqref="Q5">
    <cfRule type="dataBar" priority="3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{600B15B2-1D7F-48C0-83BA-E9FAC1C19BB9}</x14:id>
        </ext>
      </extLst>
    </cfRule>
  </conditionalFormatting>
  <conditionalFormatting sqref="R5">
    <cfRule type="dataBar" priority="35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{C7774A5E-C4F3-443A-AD19-D5EB41AA3398}</x14:id>
        </ext>
      </extLst>
    </cfRule>
  </conditionalFormatting>
  <conditionalFormatting sqref="Q5">
    <cfRule type="dataBar" priority="3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{24E3A9CD-182E-4306-B18A-845DD55391E1}</x14:id>
        </ext>
      </extLst>
    </cfRule>
  </conditionalFormatting>
  <conditionalFormatting sqref="R5">
    <cfRule type="dataBar" priority="34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{11970E43-9B22-4F03-9AA1-8BAB161A4F4D}</x14:id>
        </ext>
      </extLst>
    </cfRule>
  </conditionalFormatting>
  <conditionalFormatting sqref="Q5">
    <cfRule type="dataBar" priority="3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{9C4AE828-D91C-4180-B0B6-4F26E3D2D4B0}</x14:id>
        </ext>
      </extLst>
    </cfRule>
  </conditionalFormatting>
  <conditionalFormatting sqref="R5">
    <cfRule type="dataBar" priority="34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{805B021B-B514-47D0-8A44-C361E43598CD}</x14:id>
        </ext>
      </extLst>
    </cfRule>
  </conditionalFormatting>
  <conditionalFormatting sqref="R5">
    <cfRule type="dataBar" priority="35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{1049A592-4A10-4A4A-A5BD-3E44C08AE72E}</x14:id>
        </ext>
      </extLst>
    </cfRule>
  </conditionalFormatting>
  <conditionalFormatting sqref="Q5">
    <cfRule type="dataBar" priority="3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{961122A5-57C0-4E4C-BA7F-3FBA461BE991}</x14:id>
        </ext>
      </extLst>
    </cfRule>
  </conditionalFormatting>
  <conditionalFormatting sqref="R5">
    <cfRule type="dataBar" priority="34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{3A1BC644-E149-48BF-BACC-ACBB9309FB98}</x14:id>
        </ext>
      </extLst>
    </cfRule>
  </conditionalFormatting>
  <conditionalFormatting sqref="Q5">
    <cfRule type="dataBar" priority="3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{FDF8B19C-B9AD-4DA6-BDA3-C678E9EA0FD9}</x14:id>
        </ext>
      </extLst>
    </cfRule>
  </conditionalFormatting>
  <conditionalFormatting sqref="R5">
    <cfRule type="dataBar" priority="34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{13BC9C73-A084-4A86-8022-0D122ED80258}</x14:id>
        </ext>
      </extLst>
    </cfRule>
  </conditionalFormatting>
  <conditionalFormatting sqref="Q5">
    <cfRule type="dataBar" priority="3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{FC5AF3D9-AD66-49B8-A2A2-CFDAFE926594}</x14:id>
        </ext>
      </extLst>
    </cfRule>
  </conditionalFormatting>
  <conditionalFormatting sqref="R5">
    <cfRule type="dataBar" priority="34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{438C4BE5-7CC6-469C-AEA0-719389A1810A}</x14:id>
        </ext>
      </extLst>
    </cfRule>
  </conditionalFormatting>
  <conditionalFormatting sqref="Q5">
    <cfRule type="dataBar" priority="3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{C102C1A8-65D3-4BA7-8D8A-F9DF3FFC2B28}</x14:id>
        </ext>
      </extLst>
    </cfRule>
  </conditionalFormatting>
  <conditionalFormatting sqref="R5">
    <cfRule type="dataBar" priority="33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{A145681A-E01C-4D12-8A9E-CCAF931A0D3D}</x14:id>
        </ext>
      </extLst>
    </cfRule>
  </conditionalFormatting>
  <conditionalFormatting sqref="Q6">
    <cfRule type="dataBar" priority="3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{F1A80D8B-0B1E-4A31-99C3-06FD56FBC13B}</x14:id>
        </ext>
      </extLst>
    </cfRule>
  </conditionalFormatting>
  <conditionalFormatting sqref="Q6">
    <cfRule type="dataBar" priority="3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{85FAE56A-B22F-428A-991B-5A311C543D85}</x14:id>
        </ext>
      </extLst>
    </cfRule>
  </conditionalFormatting>
  <conditionalFormatting sqref="R6">
    <cfRule type="dataBar" priority="33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{228A9C37-6683-4B1A-92B9-25B45916F64D}</x14:id>
        </ext>
      </extLst>
    </cfRule>
    <cfRule type="dataBar" priority="33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{0D59B138-4636-46E9-A682-FF252498C976}</x14:id>
        </ext>
      </extLst>
    </cfRule>
  </conditionalFormatting>
  <conditionalFormatting sqref="Q6">
    <cfRule type="dataBar" priority="3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{5363F709-DC39-4272-B702-7010C5851223}</x14:id>
        </ext>
      </extLst>
    </cfRule>
  </conditionalFormatting>
  <conditionalFormatting sqref="R6">
    <cfRule type="dataBar" priority="33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{4FAFEE53-C2B1-44D1-8F9C-DF8A12B03690}</x14:id>
        </ext>
      </extLst>
    </cfRule>
  </conditionalFormatting>
  <conditionalFormatting sqref="Q6">
    <cfRule type="dataBar" priority="3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{714BEA9E-89ED-4CB4-8B45-CE4ACDC4F5C7}</x14:id>
        </ext>
      </extLst>
    </cfRule>
  </conditionalFormatting>
  <conditionalFormatting sqref="R6">
    <cfRule type="dataBar" priority="32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{91A03F8C-AC9E-4F4F-9575-7A23D3AFD445}</x14:id>
        </ext>
      </extLst>
    </cfRule>
  </conditionalFormatting>
  <conditionalFormatting sqref="Q6">
    <cfRule type="dataBar" priority="3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{93E29C45-9142-4D1B-BBFF-C7B2257EC1A4}</x14:id>
        </ext>
      </extLst>
    </cfRule>
  </conditionalFormatting>
  <conditionalFormatting sqref="R6">
    <cfRule type="dataBar" priority="32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{F1FC55AB-D23E-4619-A4CD-446038D774C9}</x14:id>
        </ext>
      </extLst>
    </cfRule>
  </conditionalFormatting>
  <conditionalFormatting sqref="R6">
    <cfRule type="dataBar" priority="33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{83A90DC1-DDE6-40F3-A435-C6C56F343AC0}</x14:id>
        </ext>
      </extLst>
    </cfRule>
  </conditionalFormatting>
  <conditionalFormatting sqref="Q6">
    <cfRule type="dataBar" priority="3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{9E382F0D-3494-4754-BA32-9186747516A7}</x14:id>
        </ext>
      </extLst>
    </cfRule>
  </conditionalFormatting>
  <conditionalFormatting sqref="R6">
    <cfRule type="dataBar" priority="3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{8945064C-A93E-48EE-9D91-FAE630B0410B}</x14:id>
        </ext>
      </extLst>
    </cfRule>
  </conditionalFormatting>
  <conditionalFormatting sqref="Q6">
    <cfRule type="dataBar" priority="3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{E76AC350-F983-4772-8D1B-350D1E48550A}</x14:id>
        </ext>
      </extLst>
    </cfRule>
  </conditionalFormatting>
  <conditionalFormatting sqref="R6">
    <cfRule type="dataBar" priority="32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{0D76775A-F789-4E4C-8FC1-C4CA1B2F6017}</x14:id>
        </ext>
      </extLst>
    </cfRule>
  </conditionalFormatting>
  <conditionalFormatting sqref="Q6">
    <cfRule type="dataBar" priority="3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{DCEAA38F-5955-4D70-9307-19B2B6D09601}</x14:id>
        </ext>
      </extLst>
    </cfRule>
  </conditionalFormatting>
  <conditionalFormatting sqref="R6">
    <cfRule type="dataBar" priority="3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{073B3DDE-952F-42DD-BF6D-20B3E6E6A0B8}</x14:id>
        </ext>
      </extLst>
    </cfRule>
  </conditionalFormatting>
  <conditionalFormatting sqref="Q6">
    <cfRule type="dataBar" priority="3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{771D26FE-E36A-4B36-8E2A-2CC9AFF68876}</x14:id>
        </ext>
      </extLst>
    </cfRule>
  </conditionalFormatting>
  <conditionalFormatting sqref="R6">
    <cfRule type="dataBar" priority="3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{BC55EA5F-9F37-4AF4-ABB6-2B04BB35A371}</x14:id>
        </ext>
      </extLst>
    </cfRule>
  </conditionalFormatting>
  <conditionalFormatting sqref="Q7">
    <cfRule type="dataBar" priority="3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{7585935D-F4E4-4B06-9E4B-AD28946BDBC5}</x14:id>
        </ext>
      </extLst>
    </cfRule>
  </conditionalFormatting>
  <conditionalFormatting sqref="Q7">
    <cfRule type="dataBar" priority="3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{CC281E1A-8F53-48DF-B134-36A74DCE2074}</x14:id>
        </ext>
      </extLst>
    </cfRule>
  </conditionalFormatting>
  <conditionalFormatting sqref="R7">
    <cfRule type="dataBar" priority="3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{7B6FC578-8F12-4899-8A26-3AE7FCFA0DB6}</x14:id>
        </ext>
      </extLst>
    </cfRule>
    <cfRule type="dataBar" priority="31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{AB683B6C-FDF6-4E1A-9C43-84977002547F}</x14:id>
        </ext>
      </extLst>
    </cfRule>
  </conditionalFormatting>
  <conditionalFormatting sqref="Q7">
    <cfRule type="dataBar" priority="3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{FAD473F7-4AE3-478C-991F-38CB72331DF5}</x14:id>
        </ext>
      </extLst>
    </cfRule>
  </conditionalFormatting>
  <conditionalFormatting sqref="R7">
    <cfRule type="dataBar" priority="31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{214FADAF-BA6A-4BAE-81AA-342521BBC00D}</x14:id>
        </ext>
      </extLst>
    </cfRule>
  </conditionalFormatting>
  <conditionalFormatting sqref="Q7">
    <cfRule type="dataBar" priority="3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{68D398ED-56C6-4658-9DA5-BFEE74491E4A}</x14:id>
        </ext>
      </extLst>
    </cfRule>
  </conditionalFormatting>
  <conditionalFormatting sqref="R7">
    <cfRule type="dataBar" priority="31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{6E6F3ABC-5CD5-4A5C-89FC-A46840FAF2B8}</x14:id>
        </ext>
      </extLst>
    </cfRule>
  </conditionalFormatting>
  <conditionalFormatting sqref="Q7">
    <cfRule type="dataBar" priority="30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{9A39E917-E639-4BA4-9859-4B12E4D08AC3}</x14:id>
        </ext>
      </extLst>
    </cfRule>
  </conditionalFormatting>
  <conditionalFormatting sqref="R7">
    <cfRule type="dataBar" priority="30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{38AA7417-6A80-4A84-B54D-7A692FBEE9DC}</x14:id>
        </ext>
      </extLst>
    </cfRule>
  </conditionalFormatting>
  <conditionalFormatting sqref="R7">
    <cfRule type="dataBar" priority="3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{E0EE247A-53BB-407C-A77C-7B74DB8AFBDF}</x14:id>
        </ext>
      </extLst>
    </cfRule>
  </conditionalFormatting>
  <conditionalFormatting sqref="Q7">
    <cfRule type="dataBar" priority="3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{C0969A83-8F99-4C0C-AAF2-96825A749653}</x14:id>
        </ext>
      </extLst>
    </cfRule>
  </conditionalFormatting>
  <conditionalFormatting sqref="R7">
    <cfRule type="dataBar" priority="30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{506FDB8D-294C-493F-A4B0-C0B37E8E9EE3}</x14:id>
        </ext>
      </extLst>
    </cfRule>
  </conditionalFormatting>
  <conditionalFormatting sqref="Q7">
    <cfRule type="dataBar" priority="3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{984AF0FD-3F79-43DF-8EF8-057163EAFC16}</x14:id>
        </ext>
      </extLst>
    </cfRule>
  </conditionalFormatting>
  <conditionalFormatting sqref="R7">
    <cfRule type="dataBar" priority="30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{BDB6177A-78D0-44D6-84D8-F7F3AB365A3F}</x14:id>
        </ext>
      </extLst>
    </cfRule>
  </conditionalFormatting>
  <conditionalFormatting sqref="Q7">
    <cfRule type="dataBar" priority="3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{04582F38-F4AE-4DEF-9559-7094B23A352D}</x14:id>
        </ext>
      </extLst>
    </cfRule>
  </conditionalFormatting>
  <conditionalFormatting sqref="R7">
    <cfRule type="dataBar" priority="30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{F455E1F4-DDBA-436A-A7EB-2CE242989C04}</x14:id>
        </ext>
      </extLst>
    </cfRule>
  </conditionalFormatting>
  <conditionalFormatting sqref="Q7">
    <cfRule type="dataBar" priority="30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{D9F7509D-CDE8-4A68-BEFD-D4C8E30B562F}</x14:id>
        </ext>
      </extLst>
    </cfRule>
  </conditionalFormatting>
  <conditionalFormatting sqref="R7">
    <cfRule type="dataBar" priority="30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{F198B906-CC21-446E-B3D6-0C1377B2699D}</x14:id>
        </ext>
      </extLst>
    </cfRule>
  </conditionalFormatting>
  <conditionalFormatting sqref="Q8">
    <cfRule type="dataBar" priority="29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{70997992-B2A4-4A39-BB5B-173D6A0AD32E}</x14:id>
        </ext>
      </extLst>
    </cfRule>
  </conditionalFormatting>
  <conditionalFormatting sqref="Q8">
    <cfRule type="dataBar" priority="29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{09DC5E69-F702-4DED-A61A-AA9B904DF14D}</x14:id>
        </ext>
      </extLst>
    </cfRule>
  </conditionalFormatting>
  <conditionalFormatting sqref="R8">
    <cfRule type="dataBar" priority="29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{C9FF1225-4673-4B1B-BD46-8092EF2E874B}</x14:id>
        </ext>
      </extLst>
    </cfRule>
    <cfRule type="dataBar" priority="29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{958D0EAD-946C-4B1D-A602-2ED8C0879AF7}</x14:id>
        </ext>
      </extLst>
    </cfRule>
  </conditionalFormatting>
  <conditionalFormatting sqref="Q8">
    <cfRule type="dataBar" priority="2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{C1E3D2BD-1010-43F3-844E-1498623278D5}</x14:id>
        </ext>
      </extLst>
    </cfRule>
  </conditionalFormatting>
  <conditionalFormatting sqref="R8">
    <cfRule type="dataBar" priority="29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{FCB241B7-299D-4655-974A-2F98CE5F0C13}</x14:id>
        </ext>
      </extLst>
    </cfRule>
  </conditionalFormatting>
  <conditionalFormatting sqref="Q8">
    <cfRule type="dataBar" priority="2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{5F6EF330-E90A-46B1-956B-6C2BA0A8D6E1}</x14:id>
        </ext>
      </extLst>
    </cfRule>
  </conditionalFormatting>
  <conditionalFormatting sqref="R8">
    <cfRule type="dataBar" priority="29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{F0F86010-25D4-4C8A-B522-CCA18B0F651C}</x14:id>
        </ext>
      </extLst>
    </cfRule>
  </conditionalFormatting>
  <conditionalFormatting sqref="Q8">
    <cfRule type="dataBar" priority="29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{2DB2D9F9-E229-4C3A-938B-8D011D94F5F1}</x14:id>
        </ext>
      </extLst>
    </cfRule>
  </conditionalFormatting>
  <conditionalFormatting sqref="R8">
    <cfRule type="dataBar" priority="28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{DA6F85E2-44A3-47B9-A245-47E87B4CB876}</x14:id>
        </ext>
      </extLst>
    </cfRule>
  </conditionalFormatting>
  <conditionalFormatting sqref="R8">
    <cfRule type="dataBar" priority="29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{0AE183B0-2509-4941-BA7B-0E8636F8DF28}</x14:id>
        </ext>
      </extLst>
    </cfRule>
  </conditionalFormatting>
  <conditionalFormatting sqref="Q8">
    <cfRule type="dataBar" priority="28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{BC42C9FF-F473-4B65-8E81-A32EC7501820}</x14:id>
        </ext>
      </extLst>
    </cfRule>
  </conditionalFormatting>
  <conditionalFormatting sqref="R8">
    <cfRule type="dataBar" priority="28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{4F0DE032-63B7-44DA-AB45-E5BF127F6A35}</x14:id>
        </ext>
      </extLst>
    </cfRule>
  </conditionalFormatting>
  <conditionalFormatting sqref="Q8">
    <cfRule type="dataBar" priority="28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{14DB5C1E-1D52-4110-A056-6695AB5D5C9C}</x14:id>
        </ext>
      </extLst>
    </cfRule>
  </conditionalFormatting>
  <conditionalFormatting sqref="R8">
    <cfRule type="dataBar" priority="28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{19113000-FA2F-4412-BBDD-3911948CDFE6}</x14:id>
        </ext>
      </extLst>
    </cfRule>
  </conditionalFormatting>
  <conditionalFormatting sqref="Q8">
    <cfRule type="dataBar" priority="28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{F2B2FA93-C252-4C49-A6DB-87C78D52000D}</x14:id>
        </ext>
      </extLst>
    </cfRule>
  </conditionalFormatting>
  <conditionalFormatting sqref="R8">
    <cfRule type="dataBar" priority="28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{202E9EDF-C28B-4D15-A4B3-5891CA7D33C1}</x14:id>
        </ext>
      </extLst>
    </cfRule>
  </conditionalFormatting>
  <conditionalFormatting sqref="Q8">
    <cfRule type="dataBar" priority="28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{83FE3B85-85C5-421D-B27F-6F779E1BBD1A}</x14:id>
        </ext>
      </extLst>
    </cfRule>
  </conditionalFormatting>
  <conditionalFormatting sqref="R8">
    <cfRule type="dataBar" priority="28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{E11A2596-A738-4D4E-BE7D-9B12994A8CBE}</x14:id>
        </ext>
      </extLst>
    </cfRule>
  </conditionalFormatting>
  <conditionalFormatting sqref="O12">
    <cfRule type="dataBar" priority="2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{DF567778-2B18-45ED-8090-70CE7E4B1565}</x14:id>
        </ext>
      </extLst>
    </cfRule>
    <cfRule type="dataBar" priority="2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{2884FB0A-9F52-4647-A7EE-44A5E9A9F728}</x14:id>
        </ext>
      </extLst>
    </cfRule>
  </conditionalFormatting>
  <conditionalFormatting sqref="O12">
    <cfRule type="dataBar" priority="2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{4EC822F3-2F28-4E2E-BA2F-63BA10596AB9}</x14:id>
        </ext>
      </extLst>
    </cfRule>
  </conditionalFormatting>
  <conditionalFormatting sqref="O12">
    <cfRule type="dataBar" priority="2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{226D32FD-47B4-4E22-B767-CEF2318B9750}</x14:id>
        </ext>
      </extLst>
    </cfRule>
  </conditionalFormatting>
  <conditionalFormatting sqref="L12">
    <cfRule type="dataBar" priority="2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{DE3262A7-4D17-46EA-8906-A0D5F56E5FC8}</x14:id>
        </ext>
      </extLst>
    </cfRule>
    <cfRule type="dataBar" priority="27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{0D43AC98-9F1D-4E43-836D-15B163AD2CFF}</x14:id>
        </ext>
      </extLst>
    </cfRule>
  </conditionalFormatting>
  <conditionalFormatting sqref="L12">
    <cfRule type="dataBar" priority="2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{FC391E72-307F-41B2-B800-68B15F2D05C3}</x14:id>
        </ext>
      </extLst>
    </cfRule>
  </conditionalFormatting>
  <conditionalFormatting sqref="L12">
    <cfRule type="dataBar" priority="27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{135B47DF-FBB8-49F7-9F34-C3D68F934CBF}</x14:id>
        </ext>
      </extLst>
    </cfRule>
  </conditionalFormatting>
  <conditionalFormatting sqref="O12">
    <cfRule type="dataBar" priority="2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{A731BF79-5807-485D-B986-909EC6479FD4}</x14:id>
        </ext>
      </extLst>
    </cfRule>
  </conditionalFormatting>
  <conditionalFormatting sqref="L12">
    <cfRule type="dataBar" priority="2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{5A052377-CA1D-4FF8-B178-CE3D34D68196}</x14:id>
        </ext>
      </extLst>
    </cfRule>
  </conditionalFormatting>
  <conditionalFormatting sqref="L12">
    <cfRule type="dataBar" priority="27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{2601FD5B-98DE-4222-831C-986845AB1C77}</x14:id>
        </ext>
      </extLst>
    </cfRule>
  </conditionalFormatting>
  <conditionalFormatting sqref="O12">
    <cfRule type="dataBar" priority="2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{BE3EC3E6-9FF7-4C59-AE90-84A88FA5A5A0}</x14:id>
        </ext>
      </extLst>
    </cfRule>
  </conditionalFormatting>
  <conditionalFormatting sqref="L12">
    <cfRule type="dataBar" priority="26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{68CB6457-80B5-4715-927C-B260583DD5AA}</x14:id>
        </ext>
      </extLst>
    </cfRule>
  </conditionalFormatting>
  <conditionalFormatting sqref="O12">
    <cfRule type="dataBar" priority="2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{1C4F069A-997B-4E79-895B-4EE68E54B5F4}</x14:id>
        </ext>
      </extLst>
    </cfRule>
  </conditionalFormatting>
  <conditionalFormatting sqref="L12">
    <cfRule type="dataBar" priority="26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{CCB725F9-99CF-4CCD-9CF4-6F598706A634}</x14:id>
        </ext>
      </extLst>
    </cfRule>
  </conditionalFormatting>
  <conditionalFormatting sqref="O12">
    <cfRule type="dataBar" priority="2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{5A2EA89F-50AA-43D0-A570-1982D6FC7689}</x14:id>
        </ext>
      </extLst>
    </cfRule>
  </conditionalFormatting>
  <conditionalFormatting sqref="O11">
    <cfRule type="dataBar" priority="2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{B44854F5-5C42-4F94-A3B0-5520E425F247}</x14:id>
        </ext>
      </extLst>
    </cfRule>
    <cfRule type="dataBar" priority="2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{5A4DE109-47A6-448F-A47C-288456AC6B7F}</x14:id>
        </ext>
      </extLst>
    </cfRule>
  </conditionalFormatting>
  <conditionalFormatting sqref="O11">
    <cfRule type="dataBar" priority="2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{1E42A306-985F-4706-B65D-D826FEC6AF44}</x14:id>
        </ext>
      </extLst>
    </cfRule>
  </conditionalFormatting>
  <conditionalFormatting sqref="O11">
    <cfRule type="dataBar" priority="2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{46C3680E-A06F-4718-87B2-F71BC4615D5B}</x14:id>
        </ext>
      </extLst>
    </cfRule>
  </conditionalFormatting>
  <conditionalFormatting sqref="L11">
    <cfRule type="dataBar" priority="2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{B4DAF243-3C4B-4E69-9851-771C8D401E23}</x14:id>
        </ext>
      </extLst>
    </cfRule>
    <cfRule type="dataBar" priority="2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{E29D598C-93F3-4276-BB47-B64C7B8853DF}</x14:id>
        </ext>
      </extLst>
    </cfRule>
  </conditionalFormatting>
  <conditionalFormatting sqref="L11">
    <cfRule type="dataBar" priority="2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{61D1C01F-9A6D-490E-B1B3-CFA900F25BA5}</x14:id>
        </ext>
      </extLst>
    </cfRule>
  </conditionalFormatting>
  <conditionalFormatting sqref="L11">
    <cfRule type="dataBar" priority="2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{65FD8522-273E-4D37-839E-6B8D27980F80}</x14:id>
        </ext>
      </extLst>
    </cfRule>
  </conditionalFormatting>
  <conditionalFormatting sqref="O11">
    <cfRule type="dataBar" priority="2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{F3FF39BA-A541-439D-B5C7-1B15AD6E7D8C}</x14:id>
        </ext>
      </extLst>
    </cfRule>
  </conditionalFormatting>
  <conditionalFormatting sqref="L11">
    <cfRule type="dataBar" priority="2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{62D4084D-932C-4F2E-972D-3695E161317B}</x14:id>
        </ext>
      </extLst>
    </cfRule>
  </conditionalFormatting>
  <conditionalFormatting sqref="L11">
    <cfRule type="dataBar" priority="21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{53C3F9BB-DE8C-4B66-9619-1835DEB2CF72}</x14:id>
        </ext>
      </extLst>
    </cfRule>
  </conditionalFormatting>
  <conditionalFormatting sqref="O11">
    <cfRule type="dataBar" priority="2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{C90D94BC-1CE2-453F-9AE2-8C9B028104AD}</x14:id>
        </ext>
      </extLst>
    </cfRule>
  </conditionalFormatting>
  <conditionalFormatting sqref="L11">
    <cfRule type="dataBar" priority="21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{EC893D0E-0563-4DCB-AE74-4B8F06B9A534}</x14:id>
        </ext>
      </extLst>
    </cfRule>
  </conditionalFormatting>
  <conditionalFormatting sqref="O11">
    <cfRule type="dataBar" priority="2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{44E12A64-BDA9-4438-877F-168414F64601}</x14:id>
        </ext>
      </extLst>
    </cfRule>
  </conditionalFormatting>
  <conditionalFormatting sqref="L11">
    <cfRule type="dataBar" priority="21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{83138B11-A370-4652-A36D-E78D77038006}</x14:id>
        </ext>
      </extLst>
    </cfRule>
  </conditionalFormatting>
  <conditionalFormatting sqref="O11">
    <cfRule type="dataBar" priority="2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{A44C4E24-3BEC-41BE-9335-D624970349DC}</x14:id>
        </ext>
      </extLst>
    </cfRule>
  </conditionalFormatting>
  <conditionalFormatting sqref="O13">
    <cfRule type="dataBar" priority="2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{08E976AC-0010-4648-A1D3-1FCC2261E18C}</x14:id>
        </ext>
      </extLst>
    </cfRule>
    <cfRule type="dataBar" priority="2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{A2B29285-95C3-4F73-B3AF-B248E2F2A6FF}</x14:id>
        </ext>
      </extLst>
    </cfRule>
  </conditionalFormatting>
  <conditionalFormatting sqref="O13">
    <cfRule type="dataBar" priority="2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{3F833D10-6AB1-4E78-9EAF-DB1622DBC607}</x14:id>
        </ext>
      </extLst>
    </cfRule>
  </conditionalFormatting>
  <conditionalFormatting sqref="O13">
    <cfRule type="dataBar" priority="2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{DB7ECC8D-43D9-4423-A9F1-C496033CB3A7}</x14:id>
        </ext>
      </extLst>
    </cfRule>
  </conditionalFormatting>
  <conditionalFormatting sqref="L13">
    <cfRule type="dataBar" priority="2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{C2438916-C693-45A3-B6E9-D47EFA8FD7D7}</x14:id>
        </ext>
      </extLst>
    </cfRule>
    <cfRule type="dataBar" priority="20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{0D27F7FA-2EC1-4E5A-8324-4ECBAD7B0796}</x14:id>
        </ext>
      </extLst>
    </cfRule>
  </conditionalFormatting>
  <conditionalFormatting sqref="L13">
    <cfRule type="dataBar" priority="2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{37307AB6-F3E5-4EAF-B729-0513AEEF4B3F}</x14:id>
        </ext>
      </extLst>
    </cfRule>
  </conditionalFormatting>
  <conditionalFormatting sqref="L13">
    <cfRule type="dataBar" priority="20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{FF6FF2A4-1E23-48AE-B561-9EB9EB12FE04}</x14:id>
        </ext>
      </extLst>
    </cfRule>
  </conditionalFormatting>
  <conditionalFormatting sqref="O13">
    <cfRule type="dataBar" priority="20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{0B2E179B-3569-48FB-9826-3E850B7453FD}</x14:id>
        </ext>
      </extLst>
    </cfRule>
  </conditionalFormatting>
  <conditionalFormatting sqref="L13">
    <cfRule type="dataBar" priority="20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{A2073875-91CE-4BD1-91AE-4D973446E3ED}</x14:id>
        </ext>
      </extLst>
    </cfRule>
  </conditionalFormatting>
  <conditionalFormatting sqref="L13">
    <cfRule type="dataBar" priority="20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{55E41B07-84D0-4D14-A17C-DDE312FFF7D7}</x14:id>
        </ext>
      </extLst>
    </cfRule>
  </conditionalFormatting>
  <conditionalFormatting sqref="O13">
    <cfRule type="dataBar" priority="2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{0947D0E1-CA7E-45FA-B0F3-C70DC8C1ABA1}</x14:id>
        </ext>
      </extLst>
    </cfRule>
  </conditionalFormatting>
  <conditionalFormatting sqref="L13">
    <cfRule type="dataBar" priority="20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{0732BC46-B76A-4BA9-AAD4-28FC93A3CB32}</x14:id>
        </ext>
      </extLst>
    </cfRule>
  </conditionalFormatting>
  <conditionalFormatting sqref="O13">
    <cfRule type="dataBar" priority="20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{0DF77AED-B96E-453F-9B20-E3B840A3362E}</x14:id>
        </ext>
      </extLst>
    </cfRule>
  </conditionalFormatting>
  <conditionalFormatting sqref="L13">
    <cfRule type="dataBar" priority="19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{9165BB07-5FBC-4491-8F4E-0FF2BF4B6A5D}</x14:id>
        </ext>
      </extLst>
    </cfRule>
  </conditionalFormatting>
  <conditionalFormatting sqref="O13">
    <cfRule type="dataBar" priority="19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{1F392BF7-2221-4095-9365-3E3D07EA1EC3}</x14:id>
        </ext>
      </extLst>
    </cfRule>
  </conditionalFormatting>
  <conditionalFormatting sqref="Q11">
    <cfRule type="dataBar" priority="1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{10AE318A-07D9-4084-B1DC-0B73751B3C98}</x14:id>
        </ext>
      </extLst>
    </cfRule>
  </conditionalFormatting>
  <conditionalFormatting sqref="Q11">
    <cfRule type="dataBar" priority="1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{7AB3D327-8B4B-4E42-A00B-3E98C2C3984B}</x14:id>
        </ext>
      </extLst>
    </cfRule>
  </conditionalFormatting>
  <conditionalFormatting sqref="R11">
    <cfRule type="dataBar" priority="19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{4A82B8F4-851C-42E3-AAE5-E0C0FA12231C}</x14:id>
        </ext>
      </extLst>
    </cfRule>
    <cfRule type="dataBar" priority="19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{3A7F134A-DE01-47FD-96D5-174B3C66C521}</x14:id>
        </ext>
      </extLst>
    </cfRule>
  </conditionalFormatting>
  <conditionalFormatting sqref="Q11">
    <cfRule type="dataBar" priority="1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{DE6F3EBB-8DC8-42E0-8442-00F6B75A43D9}</x14:id>
        </ext>
      </extLst>
    </cfRule>
  </conditionalFormatting>
  <conditionalFormatting sqref="R11">
    <cfRule type="dataBar" priority="19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{8553061D-8BB6-40B7-B9A4-9AD15B615A08}</x14:id>
        </ext>
      </extLst>
    </cfRule>
  </conditionalFormatting>
  <conditionalFormatting sqref="Q11">
    <cfRule type="dataBar" priority="19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{F8024EE6-BAD2-497B-953D-7FDB5FBD345F}</x14:id>
        </ext>
      </extLst>
    </cfRule>
  </conditionalFormatting>
  <conditionalFormatting sqref="R11">
    <cfRule type="dataBar" priority="18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{99C1F023-72F9-4EAD-AC8B-C07145837B01}</x14:id>
        </ext>
      </extLst>
    </cfRule>
  </conditionalFormatting>
  <conditionalFormatting sqref="Q11">
    <cfRule type="dataBar" priority="18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{155EE86C-513C-42E0-A6FB-F75628BA97ED}</x14:id>
        </ext>
      </extLst>
    </cfRule>
  </conditionalFormatting>
  <conditionalFormatting sqref="R11">
    <cfRule type="dataBar" priority="18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{9C7A1D23-13F8-4524-9A5F-BDD1C94A2805}</x14:id>
        </ext>
      </extLst>
    </cfRule>
  </conditionalFormatting>
  <conditionalFormatting sqref="R11">
    <cfRule type="dataBar" priority="19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{419A892B-3B4B-4097-BBC4-271A35C4B5C7}</x14:id>
        </ext>
      </extLst>
    </cfRule>
  </conditionalFormatting>
  <conditionalFormatting sqref="Q11">
    <cfRule type="dataBar" priority="1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{76BE1550-B2BF-4A40-8548-0ED809A1D087}</x14:id>
        </ext>
      </extLst>
    </cfRule>
  </conditionalFormatting>
  <conditionalFormatting sqref="R11">
    <cfRule type="dataBar" priority="18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{23FD2295-1D2C-4C44-ABF9-E34128E0EB09}</x14:id>
        </ext>
      </extLst>
    </cfRule>
  </conditionalFormatting>
  <conditionalFormatting sqref="Q11">
    <cfRule type="dataBar" priority="18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{942E0723-0BC8-4E45-99C4-427493E6F7A4}</x14:id>
        </ext>
      </extLst>
    </cfRule>
  </conditionalFormatting>
  <conditionalFormatting sqref="R11">
    <cfRule type="dataBar" priority="18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{828DBF96-9C93-4784-908D-5D5383F43281}</x14:id>
        </ext>
      </extLst>
    </cfRule>
  </conditionalFormatting>
  <conditionalFormatting sqref="Q11">
    <cfRule type="dataBar" priority="18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{EBAA6D1C-3E21-4944-B93E-24384C2248EE}</x14:id>
        </ext>
      </extLst>
    </cfRule>
  </conditionalFormatting>
  <conditionalFormatting sqref="R11">
    <cfRule type="dataBar" priority="18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{5BA4908E-D77C-4CF7-9DA6-475E6D75A914}</x14:id>
        </ext>
      </extLst>
    </cfRule>
  </conditionalFormatting>
  <conditionalFormatting sqref="Q11">
    <cfRule type="dataBar" priority="1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{3F0C0BC2-9742-48C4-8CD4-1C7E7BDA75A7}</x14:id>
        </ext>
      </extLst>
    </cfRule>
  </conditionalFormatting>
  <conditionalFormatting sqref="R11">
    <cfRule type="dataBar" priority="17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{A45E4B75-8E68-436C-8311-F6FDFB788902}</x14:id>
        </ext>
      </extLst>
    </cfRule>
  </conditionalFormatting>
  <conditionalFormatting sqref="Q12">
    <cfRule type="dataBar" priority="1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{41F9E0C2-5FB1-43B1-BE8E-9968C887AD58}</x14:id>
        </ext>
      </extLst>
    </cfRule>
  </conditionalFormatting>
  <conditionalFormatting sqref="Q12">
    <cfRule type="dataBar" priority="17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{D57220EC-0B1C-48DE-9411-85517C174E5D}</x14:id>
        </ext>
      </extLst>
    </cfRule>
  </conditionalFormatting>
  <conditionalFormatting sqref="R12">
    <cfRule type="dataBar" priority="17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{BFF588BF-5753-429D-A569-9AA300FD02D7}</x14:id>
        </ext>
      </extLst>
    </cfRule>
    <cfRule type="dataBar" priority="17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{1EA1F037-0CB5-4D2C-A41C-773C8A8A6C4E}</x14:id>
        </ext>
      </extLst>
    </cfRule>
  </conditionalFormatting>
  <conditionalFormatting sqref="Q12">
    <cfRule type="dataBar" priority="1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{EB0AD384-C96F-4AF7-BB9E-240A8927FC03}</x14:id>
        </ext>
      </extLst>
    </cfRule>
  </conditionalFormatting>
  <conditionalFormatting sqref="R12">
    <cfRule type="dataBar" priority="17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{9010D243-EE5D-4A50-837F-48B0E501A138}</x14:id>
        </ext>
      </extLst>
    </cfRule>
  </conditionalFormatting>
  <conditionalFormatting sqref="Q12">
    <cfRule type="dataBar" priority="1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{8C5FAE3A-85C0-4E06-8E9A-E58A8B3E6AA8}</x14:id>
        </ext>
      </extLst>
    </cfRule>
  </conditionalFormatting>
  <conditionalFormatting sqref="R12">
    <cfRule type="dataBar" priority="17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{BB7AE0DD-0D82-4D37-8F50-B590B378F78B}</x14:id>
        </ext>
      </extLst>
    </cfRule>
  </conditionalFormatting>
  <conditionalFormatting sqref="Q12">
    <cfRule type="dataBar" priority="1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{ACEBC487-626A-4077-AB2C-3746DA19F155}</x14:id>
        </ext>
      </extLst>
    </cfRule>
  </conditionalFormatting>
  <conditionalFormatting sqref="R12">
    <cfRule type="dataBar" priority="16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{E9CD6D3B-4701-477A-BCF0-FE77B2958356}</x14:id>
        </ext>
      </extLst>
    </cfRule>
  </conditionalFormatting>
  <conditionalFormatting sqref="R12">
    <cfRule type="dataBar" priority="17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{E8882EB1-62F4-4223-ACF4-AFF7D58F64AF}</x14:id>
        </ext>
      </extLst>
    </cfRule>
  </conditionalFormatting>
  <conditionalFormatting sqref="Q12">
    <cfRule type="dataBar" priority="1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{0FF582E5-5C5A-422A-905A-A6118E51EA8E}</x14:id>
        </ext>
      </extLst>
    </cfRule>
  </conditionalFormatting>
  <conditionalFormatting sqref="R12">
    <cfRule type="dataBar" priority="16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{7F251981-62AB-4BA0-B4FC-F9F70D5062BC}</x14:id>
        </ext>
      </extLst>
    </cfRule>
  </conditionalFormatting>
  <conditionalFormatting sqref="Q12">
    <cfRule type="dataBar" priority="1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{BB63C271-BF73-4336-BE4A-785E81B5ED22}</x14:id>
        </ext>
      </extLst>
    </cfRule>
  </conditionalFormatting>
  <conditionalFormatting sqref="R12">
    <cfRule type="dataBar" priority="16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{5F95A64A-C5F5-410F-B65D-950FCFAA6101}</x14:id>
        </ext>
      </extLst>
    </cfRule>
  </conditionalFormatting>
  <conditionalFormatting sqref="Q12">
    <cfRule type="dataBar" priority="1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{D71FA6FF-E353-4B50-8F2F-E2B6B0142DB7}</x14:id>
        </ext>
      </extLst>
    </cfRule>
  </conditionalFormatting>
  <conditionalFormatting sqref="R12">
    <cfRule type="dataBar" priority="16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{6688302F-F18C-4708-9847-E0F340CBC76B}</x14:id>
        </ext>
      </extLst>
    </cfRule>
  </conditionalFormatting>
  <conditionalFormatting sqref="Q12">
    <cfRule type="dataBar" priority="1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{1331D267-FC51-49F5-99D0-28AE86193EDC}</x14:id>
        </ext>
      </extLst>
    </cfRule>
  </conditionalFormatting>
  <conditionalFormatting sqref="R12">
    <cfRule type="dataBar" priority="16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{D394B156-87B2-44ED-956E-BE98741DF2BF}</x14:id>
        </ext>
      </extLst>
    </cfRule>
  </conditionalFormatting>
  <conditionalFormatting sqref="Q13">
    <cfRule type="dataBar" priority="1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{BC45CAD5-FAFC-4B44-A431-81238FD77763}</x14:id>
        </ext>
      </extLst>
    </cfRule>
  </conditionalFormatting>
  <conditionalFormatting sqref="Q13">
    <cfRule type="dataBar" priority="1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{D023A417-71F6-4C38-A0DF-C6E45AE999D7}</x14:id>
        </ext>
      </extLst>
    </cfRule>
  </conditionalFormatting>
  <conditionalFormatting sqref="R13">
    <cfRule type="dataBar" priority="15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{487144C9-BA53-4F6E-9B6F-3EDCF4F23BFD}</x14:id>
        </ext>
      </extLst>
    </cfRule>
    <cfRule type="dataBar" priority="15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{67696923-C4F6-402F-9780-1CBE20F6A4E5}</x14:id>
        </ext>
      </extLst>
    </cfRule>
  </conditionalFormatting>
  <conditionalFormatting sqref="Q13">
    <cfRule type="dataBar" priority="1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{1141468E-CF6A-4D7B-AAFC-FDC2660787D1}</x14:id>
        </ext>
      </extLst>
    </cfRule>
  </conditionalFormatting>
  <conditionalFormatting sqref="R13">
    <cfRule type="dataBar" priority="15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{595A1520-26A5-4572-8F61-E52DDE626791}</x14:id>
        </ext>
      </extLst>
    </cfRule>
  </conditionalFormatting>
  <conditionalFormatting sqref="Q13">
    <cfRule type="dataBar" priority="1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{3F305E14-83A0-4971-8C71-ED5DB80AE2DE}</x14:id>
        </ext>
      </extLst>
    </cfRule>
  </conditionalFormatting>
  <conditionalFormatting sqref="R13">
    <cfRule type="dataBar" priority="15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{5F6C5D98-392C-4F15-84AF-8AA80AA25FB9}</x14:id>
        </ext>
      </extLst>
    </cfRule>
  </conditionalFormatting>
  <conditionalFormatting sqref="Q13">
    <cfRule type="dataBar" priority="1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{681E98FC-5AF0-4798-BB59-16C03E3E5AB0}</x14:id>
        </ext>
      </extLst>
    </cfRule>
  </conditionalFormatting>
  <conditionalFormatting sqref="R13">
    <cfRule type="dataBar" priority="14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{0A6E00B4-FF89-48B8-B0C4-BEE6CCA0F2B4}</x14:id>
        </ext>
      </extLst>
    </cfRule>
  </conditionalFormatting>
  <conditionalFormatting sqref="R13">
    <cfRule type="dataBar" priority="15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{1BE454E0-0145-491F-B602-236B413F6FBE}</x14:id>
        </ext>
      </extLst>
    </cfRule>
  </conditionalFormatting>
  <conditionalFormatting sqref="Q13">
    <cfRule type="dataBar" priority="1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{B715854A-917E-4CF4-874C-AC6B93677228}</x14:id>
        </ext>
      </extLst>
    </cfRule>
  </conditionalFormatting>
  <conditionalFormatting sqref="R13">
    <cfRule type="dataBar" priority="14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{ACE6EE0B-6BA9-48BA-9F63-55F3F08D113C}</x14:id>
        </ext>
      </extLst>
    </cfRule>
  </conditionalFormatting>
  <conditionalFormatting sqref="Q13">
    <cfRule type="dataBar" priority="1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{50AF2D59-A2CD-44A4-B548-E2215384F541}</x14:id>
        </ext>
      </extLst>
    </cfRule>
  </conditionalFormatting>
  <conditionalFormatting sqref="R13">
    <cfRule type="dataBar" priority="14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{06F087AB-7C87-4045-8774-FFA72D8A35A3}</x14:id>
        </ext>
      </extLst>
    </cfRule>
  </conditionalFormatting>
  <conditionalFormatting sqref="Q13">
    <cfRule type="dataBar" priority="1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{24D242F4-94F8-43AF-9528-AEBF320B9E26}</x14:id>
        </ext>
      </extLst>
    </cfRule>
  </conditionalFormatting>
  <conditionalFormatting sqref="R13">
    <cfRule type="dataBar" priority="14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{FB649AC3-8CC1-4D83-9615-65F4E24B1FB5}</x14:id>
        </ext>
      </extLst>
    </cfRule>
  </conditionalFormatting>
  <conditionalFormatting sqref="Q13">
    <cfRule type="dataBar" priority="1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{2B5CDE14-6A23-4DF1-9A37-5025256B87B9}</x14:id>
        </ext>
      </extLst>
    </cfRule>
  </conditionalFormatting>
  <conditionalFormatting sqref="R13">
    <cfRule type="dataBar" priority="14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{2C49C25C-9EFB-4ED3-843F-9E9B05AE2E32}</x14:id>
        </ext>
      </extLst>
    </cfRule>
  </conditionalFormatting>
  <conditionalFormatting sqref="Q9">
    <cfRule type="dataBar" priority="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{9121B50E-18EF-4439-BD5E-B981387D18B1}</x14:id>
        </ext>
      </extLst>
    </cfRule>
  </conditionalFormatting>
  <conditionalFormatting sqref="Q9">
    <cfRule type="dataBar" priority="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{646BF79E-CD22-4091-B844-482DAC804338}</x14:id>
        </ext>
      </extLst>
    </cfRule>
  </conditionalFormatting>
  <conditionalFormatting sqref="R9">
    <cfRule type="dataBar" priority="6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{E25BB55E-76B9-4B90-92BC-7DBA0E04A868}</x14:id>
        </ext>
      </extLst>
    </cfRule>
    <cfRule type="dataBar" priority="6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{5A10D24B-E549-4189-A635-F1285BB5096D}</x14:id>
        </ext>
      </extLst>
    </cfRule>
  </conditionalFormatting>
  <conditionalFormatting sqref="Q9">
    <cfRule type="dataBar" priority="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{96B06680-8A2A-420E-9ED8-EA436DDB7FCE}</x14:id>
        </ext>
      </extLst>
    </cfRule>
  </conditionalFormatting>
  <conditionalFormatting sqref="R9">
    <cfRule type="dataBar" priority="6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{D4820352-1CD1-4E6C-9866-EB64AB6A433F}</x14:id>
        </ext>
      </extLst>
    </cfRule>
  </conditionalFormatting>
  <conditionalFormatting sqref="Q9">
    <cfRule type="dataBar" priority="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{56D36C2D-5EB3-4362-8C91-2E15426F4043}</x14:id>
        </ext>
      </extLst>
    </cfRule>
  </conditionalFormatting>
  <conditionalFormatting sqref="R9">
    <cfRule type="dataBar" priority="5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{61283354-BB77-415E-A89A-A18AF129A148}</x14:id>
        </ext>
      </extLst>
    </cfRule>
  </conditionalFormatting>
  <conditionalFormatting sqref="Q9">
    <cfRule type="dataBar" priority="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{4C81A192-D7C4-4C70-BACE-E785B42DA598}</x14:id>
        </ext>
      </extLst>
    </cfRule>
  </conditionalFormatting>
  <conditionalFormatting sqref="R9">
    <cfRule type="dataBar" priority="5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{E62D16F6-33B3-433D-B810-0AABABB04133}</x14:id>
        </ext>
      </extLst>
    </cfRule>
  </conditionalFormatting>
  <conditionalFormatting sqref="R9">
    <cfRule type="dataBar" priority="6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{A7B2AF4E-1A28-490F-A611-630C74702971}</x14:id>
        </ext>
      </extLst>
    </cfRule>
  </conditionalFormatting>
  <conditionalFormatting sqref="O9">
    <cfRule type="dataBar" priority="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{470E4C3C-54EE-4181-97F3-EA229AC0A802}</x14:id>
        </ext>
      </extLst>
    </cfRule>
    <cfRule type="dataBar" priority="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{F144581A-442D-43C0-B2CA-BB24EA749A44}</x14:id>
        </ext>
      </extLst>
    </cfRule>
  </conditionalFormatting>
  <conditionalFormatting sqref="O9">
    <cfRule type="dataBar" priority="6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{548DC798-E01A-4608-A367-C954AC5DAA71}</x14:id>
        </ext>
      </extLst>
    </cfRule>
  </conditionalFormatting>
  <conditionalFormatting sqref="O9">
    <cfRule type="dataBar" priority="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{D5F5A596-E621-4708-89D7-C7EB2AE6882B}</x14:id>
        </ext>
      </extLst>
    </cfRule>
  </conditionalFormatting>
  <conditionalFormatting sqref="L9">
    <cfRule type="dataBar" priority="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{26AA5F73-4CC3-441E-B45D-3E472E7194D2}</x14:id>
        </ext>
      </extLst>
    </cfRule>
    <cfRule type="dataBar" priority="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{AF50B0B4-B389-43B3-9302-F9EC4AE1DB55}</x14:id>
        </ext>
      </extLst>
    </cfRule>
  </conditionalFormatting>
  <conditionalFormatting sqref="L9">
    <cfRule type="dataBar" priority="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{A94672DB-C2BE-468D-9E7D-7E647ED3A2D8}</x14:id>
        </ext>
      </extLst>
    </cfRule>
  </conditionalFormatting>
  <conditionalFormatting sqref="L9">
    <cfRule type="dataBar" priority="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{F0686C23-92EB-4C82-B095-B73EEDAA0BAB}</x14:id>
        </ext>
      </extLst>
    </cfRule>
  </conditionalFormatting>
  <conditionalFormatting sqref="O9">
    <cfRule type="dataBar" priority="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{B068F307-D510-4953-981E-6500567205A9}</x14:id>
        </ext>
      </extLst>
    </cfRule>
  </conditionalFormatting>
  <conditionalFormatting sqref="Q9">
    <cfRule type="dataBar" priority="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{96876763-E06E-4BBA-9BE0-2B688E85CA8F}</x14:id>
        </ext>
      </extLst>
    </cfRule>
  </conditionalFormatting>
  <conditionalFormatting sqref="R9">
    <cfRule type="dataBar" priority="4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{F938874B-6207-476A-9CF0-ADDF8738A1C3}</x14:id>
        </ext>
      </extLst>
    </cfRule>
  </conditionalFormatting>
  <conditionalFormatting sqref="L9">
    <cfRule type="dataBar" priority="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{4FEFC160-8990-486C-8677-E81D7706452F}</x14:id>
        </ext>
      </extLst>
    </cfRule>
  </conditionalFormatting>
  <conditionalFormatting sqref="L9">
    <cfRule type="dataBar" priority="4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{592DF21C-09ED-43C8-971C-8FF6B75223E2}</x14:id>
        </ext>
      </extLst>
    </cfRule>
  </conditionalFormatting>
  <conditionalFormatting sqref="O9">
    <cfRule type="dataBar" priority="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{27C1455B-D33D-41F8-A1E4-E3237174C18D}</x14:id>
        </ext>
      </extLst>
    </cfRule>
  </conditionalFormatting>
  <conditionalFormatting sqref="Q9">
    <cfRule type="dataBar" priority="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{6A7314B6-946A-472B-91A4-8B52C32ACB1D}</x14:id>
        </ext>
      </extLst>
    </cfRule>
  </conditionalFormatting>
  <conditionalFormatting sqref="R9">
    <cfRule type="dataBar" priority="4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{54B90493-1B15-4E7E-970D-CC6B38BBC46D}</x14:id>
        </ext>
      </extLst>
    </cfRule>
  </conditionalFormatting>
  <conditionalFormatting sqref="L9">
    <cfRule type="dataBar" priority="4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{ECE80F11-86EF-4E30-85D8-435C41A7DF32}</x14:id>
        </ext>
      </extLst>
    </cfRule>
  </conditionalFormatting>
  <conditionalFormatting sqref="O9">
    <cfRule type="dataBar" priority="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{8BD0FE6C-1282-4339-A274-60C8B0C31754}</x14:id>
        </ext>
      </extLst>
    </cfRule>
  </conditionalFormatting>
  <conditionalFormatting sqref="Q9">
    <cfRule type="dataBar" priority="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{C50FAA7B-AB2D-4B0B-98F1-0D8DEC56B971}</x14:id>
        </ext>
      </extLst>
    </cfRule>
  </conditionalFormatting>
  <conditionalFormatting sqref="R9">
    <cfRule type="dataBar" priority="4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{516F06CB-F771-42B9-AD3F-3B171936F9B8}</x14:id>
        </ext>
      </extLst>
    </cfRule>
  </conditionalFormatting>
  <conditionalFormatting sqref="L9">
    <cfRule type="dataBar" priority="3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{467F3572-AF1E-4785-A2E4-4C3506F71BB5}</x14:id>
        </ext>
      </extLst>
    </cfRule>
  </conditionalFormatting>
  <conditionalFormatting sqref="O9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{4B4518E7-651C-444F-ADD4-DA4B7EDC0445}</x14:id>
        </ext>
      </extLst>
    </cfRule>
  </conditionalFormatting>
  <conditionalFormatting sqref="Q9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{CA364A59-34D1-40AF-BB56-B94AE2AC3FAA}</x14:id>
        </ext>
      </extLst>
    </cfRule>
  </conditionalFormatting>
  <conditionalFormatting sqref="R9">
    <cfRule type="dataBar" priority="3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{45614974-783A-4297-8C75-20E9AAC52D92}</x14:id>
        </ext>
      </extLst>
    </cfRule>
  </conditionalFormatting>
  <conditionalFormatting sqref="Q10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{88816367-7E12-438B-9E3D-4C5728C899E2}</x14:id>
        </ext>
      </extLst>
    </cfRule>
  </conditionalFormatting>
  <conditionalFormatting sqref="Q10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{DF24C7F2-A8DD-4A89-9D2B-733529ACE1B2}</x14:id>
        </ext>
      </extLst>
    </cfRule>
  </conditionalFormatting>
  <conditionalFormatting sqref="R10">
    <cfRule type="dataBar" priority="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{84474774-6C47-4EEA-AD69-5AB69FED6B49}</x14:id>
        </ext>
      </extLst>
    </cfRule>
    <cfRule type="dataBar" priority="2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{A932F343-BD83-4F2D-BB17-8801254BD1DD}</x14:id>
        </ext>
      </extLst>
    </cfRule>
  </conditionalFormatting>
  <conditionalFormatting sqref="Q10"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{035745D1-57F2-409B-A3AB-53CE8FEDED03}</x14:id>
        </ext>
      </extLst>
    </cfRule>
  </conditionalFormatting>
  <conditionalFormatting sqref="R10">
    <cfRule type="dataBar" priority="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{0C081036-6422-47D5-908C-970F993597C3}</x14:id>
        </ext>
      </extLst>
    </cfRule>
  </conditionalFormatting>
  <conditionalFormatting sqref="Q1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{91EA53A1-0FCC-40AD-ADE1-FC387F5E0C01}</x14:id>
        </ext>
      </extLst>
    </cfRule>
  </conditionalFormatting>
  <conditionalFormatting sqref="R10">
    <cfRule type="dataBar" priority="2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{8A442EAA-8A8F-4A1D-A8FC-04D94FD1A3DA}</x14:id>
        </ext>
      </extLst>
    </cfRule>
  </conditionalFormatting>
  <conditionalFormatting sqref="Q10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{3156DD43-168A-4BF9-88CF-10AB38177D63}</x14:id>
        </ext>
      </extLst>
    </cfRule>
  </conditionalFormatting>
  <conditionalFormatting sqref="R10">
    <cfRule type="dataBar" priority="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{AC5AACE0-5DB1-4E92-B578-69A12449B164}</x14:id>
        </ext>
      </extLst>
    </cfRule>
  </conditionalFormatting>
  <conditionalFormatting sqref="R10">
    <cfRule type="dataBar" priority="2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{7ECB8C6F-8EF0-4C49-A92F-78212363A21B}</x14:id>
        </ext>
      </extLst>
    </cfRule>
  </conditionalFormatting>
  <conditionalFormatting sqref="O10">
    <cfRule type="dataBar" priority="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{C515DA98-7889-4922-9438-F73054CE3A0A}</x14:id>
        </ext>
      </extLst>
    </cfRule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{5698263B-CD23-4DB0-A7AD-DA976C28C19C}</x14:id>
        </ext>
      </extLst>
    </cfRule>
  </conditionalFormatting>
  <conditionalFormatting sqref="O10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{5B5285D6-A6BD-4A46-B4F3-E8CEE7E0C47A}</x14:id>
        </ext>
      </extLst>
    </cfRule>
  </conditionalFormatting>
  <conditionalFormatting sqref="O10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{8B96F272-1901-482F-AB02-008709B68D09}</x14:id>
        </ext>
      </extLst>
    </cfRule>
  </conditionalFormatting>
  <conditionalFormatting sqref="L10">
    <cfRule type="dataBar" priority="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{C6C3E664-7DA3-46AB-ABCF-434866A44EB1}</x14:id>
        </ext>
      </extLst>
    </cfRule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{CA675908-CAB9-450B-B50E-B348E1837CF2}</x14:id>
        </ext>
      </extLst>
    </cfRule>
  </conditionalFormatting>
  <conditionalFormatting sqref="L10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{6B4ABF86-F1A8-4A7B-ABD7-ED646BB8A8FF}</x14:id>
        </ext>
      </extLst>
    </cfRule>
  </conditionalFormatting>
  <conditionalFormatting sqref="L10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{FE53DF3E-5561-4B84-AB67-B1185ED6CC5D}</x14:id>
        </ext>
      </extLst>
    </cfRule>
  </conditionalFormatting>
  <conditionalFormatting sqref="O10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{07BD15A8-E8B6-4824-AD01-3EDFCC402B23}</x14:id>
        </ext>
      </extLst>
    </cfRule>
  </conditionalFormatting>
  <conditionalFormatting sqref="Q10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{A168B87F-6FA8-4F36-A15B-28776194EFFE}</x14:id>
        </ext>
      </extLst>
    </cfRule>
  </conditionalFormatting>
  <conditionalFormatting sqref="R10">
    <cfRule type="dataBar" priority="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{915C84F2-6AD7-457B-B1F6-BCDA72748CCF}</x14:id>
        </ext>
      </extLst>
    </cfRule>
  </conditionalFormatting>
  <conditionalFormatting sqref="L10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{593D9449-4BE1-479A-98B2-234614A27C2E}</x14:id>
        </ext>
      </extLst>
    </cfRule>
  </conditionalFormatting>
  <conditionalFormatting sqref="L10">
    <cfRule type="dataBar" priority="1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{FA1EFFD4-4479-4244-84BF-FA8EECBCDBEE}</x14:id>
        </ext>
      </extLst>
    </cfRule>
  </conditionalFormatting>
  <conditionalFormatting sqref="O10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{B5DCA2AE-9A77-4DDD-B345-1B05FFF2BC19}</x14:id>
        </ext>
      </extLst>
    </cfRule>
  </conditionalFormatting>
  <conditionalFormatting sqref="Q10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{FA8FC40F-4060-4439-9ABB-51275CADF77B}</x14:id>
        </ext>
      </extLst>
    </cfRule>
  </conditionalFormatting>
  <conditionalFormatting sqref="R10">
    <cfRule type="dataBar" priority="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{018A2EEF-BC2C-4AB2-8422-E733FD9D3B77}</x14:id>
        </ext>
      </extLst>
    </cfRule>
  </conditionalFormatting>
  <conditionalFormatting sqref="L10">
    <cfRule type="dataBar" priority="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{14D65F60-2A8A-47C3-9819-9FB645D10736}</x14:id>
        </ext>
      </extLst>
    </cfRule>
  </conditionalFormatting>
  <conditionalFormatting sqref="O10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{C2C30B03-C037-4A6E-AA7D-91D5D47C12CB}</x14:id>
        </ext>
      </extLst>
    </cfRule>
  </conditionalFormatting>
  <conditionalFormatting sqref="Q10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{662065F5-7C64-4E28-8612-309DC40DD4BB}</x14:id>
        </ext>
      </extLst>
    </cfRule>
  </conditionalFormatting>
  <conditionalFormatting sqref="R10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{6872A3EA-F0C6-4EEE-9C91-0665A089D6D8}</x14:id>
        </ext>
      </extLst>
    </cfRule>
  </conditionalFormatting>
  <conditionalFormatting sqref="L10">
    <cfRule type="dataBar" priority="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{DE753278-6789-4A71-9883-BB3ED067AAFF}</x14:id>
        </ext>
      </extLst>
    </cfRule>
  </conditionalFormatting>
  <conditionalFormatting sqref="O10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{A91DC316-6BDF-462B-9304-4CC8B92B43EE}</x14:id>
        </ext>
      </extLst>
    </cfRule>
  </conditionalFormatting>
  <conditionalFormatting sqref="Q10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{8682892B-F372-4338-B518-3FECF3E3377C}</x14:id>
        </ext>
      </extLst>
    </cfRule>
  </conditionalFormatting>
  <conditionalFormatting sqref="R10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{111B3F7A-4813-4E66-A2FB-44BE98735DCF}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BCD1EB3-941F-4E81-AA8F-D3C8CC50CAE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O3</xm:sqref>
        </x14:conditionalFormatting>
        <x14:conditionalFormatting xmlns:xm="http://schemas.microsoft.com/office/excel/2006/main">
          <x14:cfRule type="dataBar" id="{D0EA1FE8-3B31-4663-AEFB-1BEC2B46289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CB99ECE6-73F6-4B62-A26B-D4BABEF4430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2D19077-6923-4CB7-8EDC-BDA3FB7D15F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0A36570D-8AAF-4777-A689-481093F2A0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E4726A8F-D5CA-428E-AB72-C8A776E3CA3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C1371943-EE23-4864-92D4-0ECBDD20611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4BDD607-6A60-431C-9673-0BE096B14A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B02642E0-BA37-43A9-B688-07B8A6A49A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25FA34C6-0251-420F-96DB-BF9244C96D3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6BBB1474-E4E0-4F81-A606-6255E7BD5F9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6AC94A1C-0130-4D1B-AAF0-22B11A234E5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014AC85A-129F-457A-B201-B6FD79B4961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53BC48B4-F304-4A18-BAC8-528F3B34E56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6110DD41-C058-450E-A52B-17F69BEC678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0FD03174-7F21-4559-84D3-86E67832A07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5B1AC38F-BF54-42B4-BB6E-5DE7617068B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040EEA6C-F888-4278-A498-7F1CBA05116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4A73C5EB-E014-4FAE-BBAD-032B2C6B93E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AF4:AF6 AF8:AF15</xm:sqref>
        </x14:conditionalFormatting>
        <x14:conditionalFormatting xmlns:xm="http://schemas.microsoft.com/office/excel/2006/main">
          <x14:cfRule type="dataBar" id="{354E5559-3184-4D88-AE0D-F20E29774CB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AG4:AG6 AG8:AG15</xm:sqref>
        </x14:conditionalFormatting>
        <x14:conditionalFormatting xmlns:xm="http://schemas.microsoft.com/office/excel/2006/main">
          <x14:cfRule type="dataBar" id="{6A4A32A1-C720-4103-8DF5-7A90BF0C80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AH4:AH6 AH8:AH15</xm:sqref>
        </x14:conditionalFormatting>
        <x14:conditionalFormatting xmlns:xm="http://schemas.microsoft.com/office/excel/2006/main">
          <x14:cfRule type="dataBar" id="{004FD9F6-D6CE-4147-90A4-FD0C015C5D0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AF7</xm:sqref>
        </x14:conditionalFormatting>
        <x14:conditionalFormatting xmlns:xm="http://schemas.microsoft.com/office/excel/2006/main">
          <x14:cfRule type="dataBar" id="{3A6E6DA9-C4F3-4716-B72F-F7BB814B724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AG7</xm:sqref>
        </x14:conditionalFormatting>
        <x14:conditionalFormatting xmlns:xm="http://schemas.microsoft.com/office/excel/2006/main">
          <x14:cfRule type="dataBar" id="{06003ADE-40F9-4E35-A2E6-5923F673C6F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AH7</xm:sqref>
        </x14:conditionalFormatting>
        <x14:conditionalFormatting xmlns:xm="http://schemas.microsoft.com/office/excel/2006/main">
          <x14:cfRule type="dataBar" id="{874B4F9D-98A5-49A0-9737-4B703D900A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B06D65AD-F47A-4CA0-838F-A8DDF83C808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E7442BD1-0A62-4037-94EE-00679A1E5A4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2B2A35C1-E586-4DD1-923C-F2301F95187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71C1DC55-C608-4126-BAE9-EE2E77A7C7B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3133D215-BFB3-4CEC-8B98-518BD01DAE4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7F3939CE-A8C7-43A3-B441-52BCAD8B09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AAC7A19A-2257-435E-94CE-682EC90BB48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73C55CEB-ECDB-4308-A316-B8CF8F65024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1FB685D8-EB07-44E3-8D9F-89E022C2D0E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A2E4A6AF-A15A-4192-BE75-A158404234D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B079B2DB-AE57-4FB6-8745-0002BB1E7FA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9539873-A6C8-4A8C-84F9-AA857BFB260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334CFEE1-3D5B-4932-AC84-C6B0169B56A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CFAA8471-CD1F-47BF-82D0-AEE474B2708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2EF8F583-4109-4D83-BC91-EAEDB9D3F1A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8A517AC-24E3-48D5-AB61-B5D711DD7B0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21F18470-F7D1-469B-A337-7A4F29569C2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96DE8B0E-F78B-4D68-B7DF-DDAFA0FCF4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C87DF648-3F44-47DF-A1A9-3F7294927D3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0485B17C-CA54-4AA4-8742-64B76ABA4F6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523A816D-2F2A-40C8-9725-219A71DD67D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17E85AF9-309F-4267-BD64-EC8347A489E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110EDEB9-C5E5-494F-9DC7-82F73AB336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0E3461C2-131F-4A4A-9042-1B771906866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5F175157-F8F7-43F6-8B2A-B6A92668CA7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21EDBB07-BDB5-4426-B7B2-3D01E0C4093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AD665EDE-1C39-4990-9FD5-9CD6AD9C2BE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6B32E44A-6937-45E8-83C8-0F38A556754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AC6A08A2-2EBB-457A-AB38-790B080AF22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1CE3226F-3F34-4E8F-B22F-D0CB3D2B068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12D7FE28-4E9E-4BEE-B4FE-ABBDE068117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D0A8C419-090D-4ED7-A47A-C0F5543CFCF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E3A0A6D7-F1C0-41F9-901C-B942B3425D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A0CD5C8F-099F-416B-BF43-033C37F0210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7564C205-06E1-483C-83B1-E90A2D05BED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A6F2B7B-B2B6-46E1-B71B-ECAC8A6CF53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1C6F9EFF-C357-46E4-88A6-CED53814A2C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D57366ED-E35C-45CA-809D-8C09CD6A553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AED1EAE2-4C2F-417A-B775-0C9078A5828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0025E76-5398-4203-9025-3FC663DB0B1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3EE994D2-C95D-4B9C-A5B7-C0D9C264989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756E94C9-67FA-4D3D-B5B0-0FCE3C0E8E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36C16F86-A593-48AC-9F10-A020C9E20B6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310C273E-03F4-4848-963F-527BAB8CD34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63F402B7-4850-4487-9976-B1AE99D08BA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AEE44CCD-9415-4008-A522-6BF31CE9E43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60B5D511-0312-4FD7-B953-45148516F48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529E410B-38B8-4A3C-B254-59AB232CE46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1E791089-790E-4327-BACD-3ADE9F70055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C3D25D05-7B9A-40D9-AA03-B33B8D4AB7A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536FA57E-2CAB-43C5-AA37-0FB8BF20BB6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32D3543-A8CF-499A-B2B2-3A356867419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B2CBD6C5-59A5-45CD-BE3A-F2AD122FC22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1EBAD25D-2013-4C48-8A41-962CC1C0235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2508DBF5-588A-489A-ACE3-6664844384B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D06DCB7-9DED-4AE8-8203-8EF47358CE2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E8450AF5-7B6A-4E06-A914-DEFD2BFA883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A87B87F9-B533-40FD-B0F9-31C86AB2CFC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F420622F-0DA9-41F2-897A-4CA1B5D76EC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D858CC05-43B9-4244-87E2-BCD5FF6BFB8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15E0D5D2-2436-4600-A028-EE4A621E63C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895447E9-D63A-4A5A-BC5E-16D9A85384E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0440AFBB-988E-4EF8-9C15-1E5E532D35D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84FB1594-EABD-4D13-B77B-18F19728ABA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F0B5E1C5-EC09-4D18-8807-23336BA8BD0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1B3FACB3-8F33-41C6-BFE9-EB21B20BC0B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9FC94D53-17C4-4946-B000-94B9E59214F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7B95960-375A-4F63-B6C3-05F794BFB4A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8A4A6A64-B40E-4828-BD69-04CDD613D7F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3297D46C-B055-4C1A-9DFA-EA3C897DAA1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EBE5882A-4B96-44D8-9138-94CAAA1E1B9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EFAF701-71B5-426D-9BB4-D0FF76A5D27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005AD710-AF72-4AA3-8CFF-F828F251C71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26059503-ED5E-45CF-BF31-717C50E5B56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C5BCDB82-1F4A-4DF2-9484-814332050A5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7BFE2036-1878-4E17-8B7B-D81F163AC40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5DB33246-25D5-413B-A7D1-CD0589B6732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521C12A1-86F8-4B42-A38F-667D52C5EAC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73C04A16-3F72-4066-AA83-3DEAE810BB4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75B4A50C-4BAF-4A14-8DDC-8676E8289EF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AFF1EB70-D86E-4F5B-9D4C-7543E17B303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00F7CB58-8E02-4B69-BBD2-C9762EA7DCC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DA0DA7F9-AC0B-410F-AEB7-79A90FD985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5B696F81-EB52-46B2-BC4B-C62B7D2781C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4FBB1308-7666-4CB3-9AC2-B09C7CF6B9C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F6052424-05B9-433B-8E83-0CF093C38CD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600B15B2-1D7F-48C0-83BA-E9FAC1C19BB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C7774A5E-C4F3-443A-AD19-D5EB41AA339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24E3A9CD-182E-4306-B18A-845DD55391E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11970E43-9B22-4F03-9AA1-8BAB161A4F4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9C4AE828-D91C-4180-B0B6-4F26E3D2D4B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805B021B-B514-47D0-8A44-C361E43598C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1049A592-4A10-4A4A-A5BD-3E44C08AE72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961122A5-57C0-4E4C-BA7F-3FBA461BE99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3A1BC644-E149-48BF-BACC-ACBB9309FB9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FDF8B19C-B9AD-4DA6-BDA3-C678E9EA0FD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13BC9C73-A084-4A86-8022-0D122ED8025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FC5AF3D9-AD66-49B8-A2A2-CFDAFE92659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438C4BE5-7CC6-469C-AEA0-719389A1810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C102C1A8-65D3-4BA7-8D8A-F9DF3FFC2B2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A145681A-E01C-4D12-8A9E-CCAF931A0D3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F1A80D8B-0B1E-4A31-99C3-06FD56FBC1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85FAE56A-B22F-428A-991B-5A311C543D8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228A9C37-6683-4B1A-92B9-25B45916F64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0D59B138-4636-46E9-A682-FF252498C97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5363F709-DC39-4272-B702-7010C585122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4FAFEE53-C2B1-44D1-8F9C-DF8A12B0369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714BEA9E-89ED-4CB4-8B45-CE4ACDC4F5C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91A03F8C-AC9E-4F4F-9575-7A23D3AFD44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93E29C45-9142-4D1B-BBFF-C7B2257EC1A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F1FC55AB-D23E-4619-A4CD-446038D774C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83A90DC1-DDE6-40F3-A435-C6C56F343AC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9E382F0D-3494-4754-BA32-9186747516A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8945064C-A93E-48EE-9D91-FAE630B0410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E76AC350-F983-4772-8D1B-350D1E48550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0D76775A-F789-4E4C-8FC1-C4CA1B2F601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DCEAA38F-5955-4D70-9307-19B2B6D0960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073B3DDE-952F-42DD-BF6D-20B3E6E6A0B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771D26FE-E36A-4B36-8E2A-2CC9AFF6887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BC55EA5F-9F37-4AF4-ABB6-2B04BB35A37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7585935D-F4E4-4B06-9E4B-AD28946BDBC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CC281E1A-8F53-48DF-B134-36A74DCE207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7B6FC578-8F12-4899-8A26-3AE7FCFA0DB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AB683B6C-FDF6-4E1A-9C43-84977002547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FAD473F7-4AE3-478C-991F-38CB72331DF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214FADAF-BA6A-4BAE-81AA-342521BBC00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68D398ED-56C6-4658-9DA5-BFEE74491E4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6E6F3ABC-5CD5-4A5C-89FC-A46840FAF2B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9A39E917-E639-4BA4-9859-4B12E4D08AC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38AA7417-6A80-4A84-B54D-7A692FBEE9D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E0EE247A-53BB-407C-A77C-7B74DB8AFBD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C0969A83-8F99-4C0C-AAF2-96825A74965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506FDB8D-294C-493F-A4B0-C0B37E8E9EE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984AF0FD-3F79-43DF-8EF8-057163EAFC1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BDB6177A-78D0-44D6-84D8-F7F3AB365A3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04582F38-F4AE-4DEF-9559-7094B23A352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F455E1F4-DDBA-436A-A7EB-2CE242989C0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D9F7509D-CDE8-4A68-BEFD-D4C8E30B562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F198B906-CC21-446E-B3D6-0C1377B2699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70997992-B2A4-4A39-BB5B-173D6A0AD32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09DC5E69-F702-4DED-A61A-AA9B904DF14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C9FF1225-4673-4B1B-BD46-8092EF2E874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958D0EAD-946C-4B1D-A602-2ED8C0879AF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C1E3D2BD-1010-43F3-844E-1498623278D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FCB241B7-299D-4655-974A-2F98CE5F0C1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5F6EF330-E90A-46B1-956B-6C2BA0A8D6E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F0F86010-25D4-4C8A-B522-CCA18B0F651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2DB2D9F9-E229-4C3A-938B-8D011D94F5F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DA6F85E2-44A3-47B9-A245-47E87B4CB87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0AE183B0-2509-4941-BA7B-0E8636F8DF2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BC42C9FF-F473-4B65-8E81-A32EC750182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4F0DE032-63B7-44DA-AB45-E5BF127F6A3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14DB5C1E-1D52-4110-A056-6695AB5D5C9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19113000-FA2F-4412-BBDD-3911948CDFE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F2B2FA93-C252-4C49-A6DB-87C78D52000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202E9EDF-C28B-4D15-A4B3-5891CA7D33C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83FE3B85-85C5-421D-B27F-6F779E1BBD1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E11A2596-A738-4D4E-BE7D-9B12994A8CB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DF567778-2B18-45ED-8090-70CE7E4B156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884FB0A-9F52-4647-A7EE-44A5E9A9F72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4EC822F3-2F28-4E2E-BA2F-63BA10596AB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226D32FD-47B4-4E22-B767-CEF2318B975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DE3262A7-4D17-46EA-8906-A0D5F56E5FC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D43AC98-9F1D-4E43-836D-15B163AD2CF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FC391E72-307F-41B2-B800-68B15F2D05C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135B47DF-FBB8-49F7-9F34-C3D68F934CB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A731BF79-5807-485D-B986-909EC6479FD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5A052377-CA1D-4FF8-B178-CE3D34D6819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2601FD5B-98DE-4222-831C-986845AB1C7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BE3EC3E6-9FF7-4C59-AE90-84A88FA5A5A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68CB6457-80B5-4715-927C-B260583DD5A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1C4F069A-997B-4E79-895B-4EE68E54B5F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CCB725F9-99CF-4CCD-9CF4-6F598706A634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5A2EA89F-50AA-43D0-A570-1982D6FC768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B44854F5-5C42-4F94-A3B0-5520E425F24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A4DE109-47A6-448F-A47C-288456AC6B7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1E42A306-985F-4706-B65D-D826FEC6AF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46C3680E-A06F-4718-87B2-F71BC4615D5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B4DAF243-3C4B-4E69-9851-771C8D401E2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29D598C-93F3-4276-BB47-B64C7B8853D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61D1C01F-9A6D-490E-B1B3-CFA900F25BA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65FD8522-273E-4D37-839E-6B8D27980F8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F3FF39BA-A541-439D-B5C7-1B15AD6E7D8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62D4084D-932C-4F2E-972D-3695E161317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53C3F9BB-DE8C-4B66-9619-1835DEB2CF7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C90D94BC-1CE2-453F-9AE2-8C9B028104A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EC893D0E-0563-4DCB-AE74-4B8F06B9A534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44E12A64-BDA9-4438-877F-168414F6460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83138B11-A370-4652-A36D-E78D7703800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A44C4E24-3BEC-41BE-9335-D624970349D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08E976AC-0010-4648-A1D3-1FCC2261E18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2B29285-95C3-4F73-B3AF-B248E2F2A6F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3F833D10-6AB1-4E78-9EAF-DB1622DBC6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DB7ECC8D-43D9-4423-A9F1-C496033CB3A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C2438916-C693-45A3-B6E9-D47EFA8FD7D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D27F7FA-2EC1-4E5A-8324-4ECBAD7B079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37307AB6-F3E5-4EAF-B729-0513AEEF4B3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FF6FF2A4-1E23-48AE-B561-9EB9EB12FE0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0B2E179B-3569-48FB-9826-3E850B7453F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A2073875-91CE-4BD1-91AE-4D973446E3E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55E41B07-84D0-4D14-A17C-DDE312FFF7D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0947D0E1-CA7E-45FA-B0F3-C70DC8C1ABA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0732BC46-B76A-4BA9-AAD4-28FC93A3CB3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0DF77AED-B96E-453F-9B20-E3B840A336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9165BB07-5FBC-4491-8F4E-0FF2BF4B6A5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1F392BF7-2221-4095-9365-3E3D07EA1EC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10AE318A-07D9-4084-B1DC-0B73751B3C9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7AB3D327-8B4B-4E42-A00B-3E98C2C3984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4A82B8F4-851C-42E3-AAE5-E0C0FA12231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3A7F134A-DE01-47FD-96D5-174B3C66C52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DE6F3EBB-8DC8-42E0-8442-00F6B75A43D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8553061D-8BB6-40B7-B9A4-9AD15B615A0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F8024EE6-BAD2-497B-953D-7FDB5FBD345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99C1F023-72F9-4EAD-AC8B-C07145837B0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155EE86C-513C-42E0-A6FB-F75628BA97E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9C7A1D23-13F8-4524-9A5F-BDD1C94A280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419A892B-3B4B-4097-BBC4-271A35C4B5C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76BE1550-B2BF-4A40-8548-0ED809A1D08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23FD2295-1D2C-4C44-ABF9-E34128E0EB0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942E0723-0BC8-4E45-99C4-427493E6F7A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828DBF96-9C93-4784-908D-5D5383F4328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EBAA6D1C-3E21-4944-B93E-24384C2248E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5BA4908E-D77C-4CF7-9DA6-475E6D75A91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3F0C0BC2-9742-48C4-8CD4-1C7E7BDA75A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A45E4B75-8E68-436C-8311-F6FDFB78890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41F9E0C2-5FB1-43B1-BE8E-9968C887AD5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D57220EC-0B1C-48DE-9411-85517C174E5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BFF588BF-5753-429D-A569-9AA300FD02D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1EA1F037-0CB5-4D2C-A41C-773C8A8A6C4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EB0AD384-C96F-4AF7-BB9E-240A8927FC0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9010D243-EE5D-4A50-837F-48B0E501A13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8C5FAE3A-85C0-4E06-8E9A-E58A8B3E6AA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BB7AE0DD-0D82-4D37-8F50-B590B378F78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ACEBC487-626A-4077-AB2C-3746DA19F15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E9CD6D3B-4701-477A-BCF0-FE77B295835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E8882EB1-62F4-4223-ACF4-AFF7D58F64A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0FF582E5-5C5A-422A-905A-A6118E51EA8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7F251981-62AB-4BA0-B4FC-F9F70D5062B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BB63C271-BF73-4336-BE4A-785E81B5ED2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5F95A64A-C5F5-410F-B65D-950FCFAA610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D71FA6FF-E353-4B50-8F2F-E2B6B0142D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6688302F-F18C-4708-9847-E0F340CBC76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1331D267-FC51-49F5-99D0-28AE86193ED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D394B156-87B2-44ED-956E-BE98741DF2B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BC45CAD5-FAFC-4B44-A431-81238FD7776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D023A417-71F6-4C38-A0DF-C6E45AE999D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487144C9-BA53-4F6E-9B6F-3EDCF4F23BF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67696923-C4F6-402F-9780-1CBE20F6A4E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1141468E-CF6A-4D7B-AAFC-FDC2660787D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595A1520-26A5-4572-8F61-E52DDE62679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3F305E14-83A0-4971-8C71-ED5DB80AE2D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5F6C5D98-392C-4F15-84AF-8AA80AA25FB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681E98FC-5AF0-4798-BB59-16C03E3E5AB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0A6E00B4-FF89-48B8-B0C4-BEE6CCA0F2B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1BE454E0-0145-491F-B602-236B413F6FB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B715854A-917E-4CF4-874C-AC6B9367722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ACE6EE0B-6BA9-48BA-9F63-55F3F08D113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50AF2D59-A2CD-44A4-B548-E2215384F54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06F087AB-7C87-4045-8774-FFA72D8A35A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24D242F4-94F8-43AF-9528-AEBF320B9E2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FB649AC3-8CC1-4D83-9615-65F4E24B1FB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2B5CDE14-6A23-4DF1-9A37-5025256B87B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2C49C25C-9EFB-4ED3-843F-9E9B05AE2E3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9121B50E-18EF-4439-BD5E-B981387D18B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646BF79E-CD22-4091-B844-482DAC80433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E25BB55E-76B9-4B90-92BC-7DBA0E04A86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5A10D24B-E549-4189-A635-F1285BB5096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96B06680-8A2A-420E-9ED8-EA436DDB7FC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D4820352-1CD1-4E6C-9866-EB64AB6A433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56D36C2D-5EB3-4362-8C91-2E15426F404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61283354-BB77-415E-A89A-A18AF129A14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4C81A192-D7C4-4C70-BACE-E785B42DA59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E62D16F6-33B3-433D-B810-0AABABB0413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A7B2AF4E-1A28-490F-A611-630C7470297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470E4C3C-54EE-4181-97F3-EA229AC0A80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144581A-442D-43C0-B2CA-BB24EA749A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548DC798-E01A-4608-A367-C954AC5DAA7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D5F5A596-E621-4708-89D7-C7EB2AE6882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26AA5F73-4CC3-441E-B45D-3E472E7194D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F50B0B4-B389-43B3-9302-F9EC4AE1DB5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A94672DB-C2BE-468D-9E7D-7E647ED3A2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F0686C23-92EB-4C82-B095-B73EEDAA0BA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B068F307-D510-4953-981E-6500567205A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96876763-E06E-4BBA-9BE0-2B688E85CA8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F938874B-6207-476A-9CF0-ADDF8738A1C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4FEFC160-8990-486C-8677-E81D7706452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592DF21C-09ED-43C8-971C-8FF6B75223E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27C1455B-D33D-41F8-A1E4-E3237174C18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6A7314B6-946A-472B-91A4-8B52C32ACB1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54B90493-1B15-4E7E-970D-CC6B38BBC46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ECE80F11-86EF-4E30-85D8-435C41A7DF3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8BD0FE6C-1282-4339-A274-60C8B0C3175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C50FAA7B-AB2D-4B0B-98F1-0D8DEC56B97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516F06CB-F771-42B9-AD3F-3B171936F9B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467F3572-AF1E-4785-A2E4-4C3506F71BB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4B4518E7-651C-444F-ADD4-DA4B7EDC044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CA364A59-34D1-40AF-BB56-B94AE2AC3FA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45614974-783A-4297-8C75-20E9AAC52D9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88816367-7E12-438B-9E3D-4C5728C899E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DF24C7F2-A8DD-4A89-9D2B-733529ACE1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84474774-6C47-4EEA-AD69-5AB69FED6B4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A932F343-BD83-4F2D-BB17-8801254BD1D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035745D1-57F2-409B-A3AB-53CE8FEDED0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0C081036-6422-47D5-908C-970F993597C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91EA53A1-0FCC-40AD-ADE1-FC387F5E0C0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8A442EAA-8A8F-4A1D-A8FC-04D94FD1A3D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3156DD43-168A-4BF9-88CF-10AB38177D6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AC5AACE0-5DB1-4E92-B578-69A12449B16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7ECB8C6F-8EF0-4C49-A92F-78212363A21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C515DA98-7889-4922-9438-F73054CE3A0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698263B-CD23-4DB0-A7AD-DA976C28C19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5B5285D6-A6BD-4A46-B4F3-E8CEE7E0C47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8B96F272-1901-482F-AB02-008709B68D0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C6C3E664-7DA3-46AB-ABCF-434866A44EB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A675908-CAB9-450B-B50E-B348E1837C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6B4ABF86-F1A8-4A7B-ABD7-ED646BB8A8F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FE53DF3E-5561-4B84-AB67-B1185ED6CC5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07BD15A8-E8B6-4824-AD01-3EDFCC402B2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A168B87F-6FA8-4F36-A15B-28776194EFF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915C84F2-6AD7-457B-B1F6-BCDA72748CC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593D9449-4BE1-479A-98B2-234614A27C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FA1EFFD4-4479-4244-84BF-FA8EECBCDBE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B5DCA2AE-9A77-4DDD-B345-1B05FFF2BC1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FA8FC40F-4060-4439-9ABB-51275CADF77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018A2EEF-BC2C-4AB2-8422-E733FD9D3B7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14D65F60-2A8A-47C3-9819-9FB645D1073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C2C30B03-C037-4A6E-AA7D-91D5D47C12C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662065F5-7C64-4E28-8612-309DC40DD4B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6872A3EA-F0C6-4EEE-9C91-0665A089D6D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DE753278-6789-4A71-9883-BB3ED067AAF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A91DC316-6BDF-462B-9304-4CC8B92B43E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8682892B-F372-4338-B518-3FECF3E3377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111B3F7A-4813-4E66-A2FB-44BE98735DC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5792C-C3D0-4332-B299-E0A72F6A746C}">
  <dimension ref="B1:Q36"/>
  <sheetViews>
    <sheetView topLeftCell="A34" zoomScale="80" zoomScaleNormal="80" workbookViewId="0">
      <selection activeCell="D36" sqref="D36:D51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337" t="s">
        <v>112</v>
      </c>
      <c r="C2" s="338"/>
      <c r="D2" s="338"/>
      <c r="E2" s="338"/>
      <c r="F2" s="338"/>
      <c r="G2" s="338"/>
      <c r="H2" s="338"/>
      <c r="I2" s="338"/>
      <c r="J2" s="338"/>
      <c r="K2" s="338"/>
      <c r="L2" s="338"/>
      <c r="M2" s="339"/>
    </row>
    <row r="3" spans="2:17" ht="28.5" customHeight="1" outlineLevel="1" thickBot="1">
      <c r="C3" s="216" t="s">
        <v>11</v>
      </c>
      <c r="D3" s="217" t="s">
        <v>113</v>
      </c>
      <c r="E3" s="218" t="s">
        <v>114</v>
      </c>
      <c r="F3" s="217" t="s">
        <v>115</v>
      </c>
      <c r="G3" s="217" t="s">
        <v>116</v>
      </c>
      <c r="J3" s="216" t="s">
        <v>117</v>
      </c>
      <c r="K3" s="217" t="s">
        <v>118</v>
      </c>
      <c r="L3" s="218" t="s">
        <v>114</v>
      </c>
      <c r="M3" s="219" t="s">
        <v>116</v>
      </c>
    </row>
    <row r="4" spans="2:17" ht="15" outlineLevel="1" thickBot="1">
      <c r="B4" s="115" t="s">
        <v>92</v>
      </c>
      <c r="C4" s="220"/>
      <c r="D4" s="221" t="e">
        <f t="shared" ref="D4:D35" si="0">C4/C$36</f>
        <v>#DIV/0!</v>
      </c>
      <c r="E4" s="221" t="e">
        <f>D4</f>
        <v>#DIV/0!</v>
      </c>
      <c r="F4" s="222" t="e">
        <f>IF(AND(E4&lt;=0),"C",IF(E4&lt;=0.8,"A",IF(E4&lt;=0.95,"B","C")))</f>
        <v>#DIV/0!</v>
      </c>
      <c r="G4" s="222" t="e">
        <f>VLOOKUP(B$4:B$35,I$4:M$35,5,0)</f>
        <v>#DIV/0!</v>
      </c>
      <c r="I4" s="115" t="s">
        <v>92</v>
      </c>
      <c r="J4" s="220"/>
      <c r="K4" s="221" t="e">
        <f t="shared" ref="K4:K35" si="1">J4/J$36</f>
        <v>#DIV/0!</v>
      </c>
      <c r="L4" s="221" t="e">
        <f>K4</f>
        <v>#DIV/0!</v>
      </c>
      <c r="M4" s="222" t="e">
        <f>_xlfn.IFS(L4&lt;80%,"A",L4&lt;=95%,"B",L4&gt;95%,"C")</f>
        <v>#DIV/0!</v>
      </c>
      <c r="P4" s="223" t="s">
        <v>119</v>
      </c>
      <c r="Q4" s="224">
        <v>0.8</v>
      </c>
    </row>
    <row r="5" spans="2:17" ht="15" outlineLevel="1" thickBot="1">
      <c r="B5" s="115" t="s">
        <v>94</v>
      </c>
      <c r="C5" s="220"/>
      <c r="D5" s="221" t="e">
        <f t="shared" si="0"/>
        <v>#DIV/0!</v>
      </c>
      <c r="E5" s="221" t="e">
        <f>E4+D5</f>
        <v>#DIV/0!</v>
      </c>
      <c r="F5" s="222" t="e">
        <f t="shared" ref="F5:F35" si="2">IF(AND(E5&lt;=0),"C",IF(E5&lt;=0.8,"A",IF(E5&lt;=0.95,"B","C")))</f>
        <v>#DIV/0!</v>
      </c>
      <c r="G5" s="222" t="e">
        <f t="shared" ref="G5:G35" si="3">VLOOKUP(B$4:B$35,I$4:M$35,5,0)</f>
        <v>#DIV/0!</v>
      </c>
      <c r="I5" s="115" t="s">
        <v>94</v>
      </c>
      <c r="J5" s="220"/>
      <c r="K5" s="221" t="e">
        <f t="shared" si="1"/>
        <v>#DIV/0!</v>
      </c>
      <c r="L5" s="221" t="e">
        <f>L4+K5</f>
        <v>#DIV/0!</v>
      </c>
      <c r="M5" s="222" t="e">
        <f t="shared" ref="M5:M35" si="4">_xlfn.IFS(L5&lt;80%,"A",L5&lt;=95%,"B",L5&gt;95%,"C")</f>
        <v>#DIV/0!</v>
      </c>
      <c r="P5" s="225" t="s">
        <v>120</v>
      </c>
      <c r="Q5" s="224">
        <v>0.15</v>
      </c>
    </row>
    <row r="6" spans="2:17" ht="15" outlineLevel="1" thickBot="1">
      <c r="B6" s="115" t="s">
        <v>95</v>
      </c>
      <c r="C6" s="220"/>
      <c r="D6" s="221" t="e">
        <f t="shared" si="0"/>
        <v>#DIV/0!</v>
      </c>
      <c r="E6" s="221" t="e">
        <f t="shared" ref="E6:E35" si="5">E5+D6</f>
        <v>#DIV/0!</v>
      </c>
      <c r="F6" s="222" t="e">
        <f t="shared" si="2"/>
        <v>#DIV/0!</v>
      </c>
      <c r="G6" s="222" t="e">
        <f t="shared" si="3"/>
        <v>#DIV/0!</v>
      </c>
      <c r="I6" s="115" t="s">
        <v>95</v>
      </c>
      <c r="J6" s="220"/>
      <c r="K6" s="221" t="e">
        <f t="shared" si="1"/>
        <v>#DIV/0!</v>
      </c>
      <c r="L6" s="221" t="e">
        <f t="shared" ref="L6:L35" si="6">L5+K6</f>
        <v>#DIV/0!</v>
      </c>
      <c r="M6" s="222" t="e">
        <f t="shared" si="4"/>
        <v>#DIV/0!</v>
      </c>
      <c r="P6" s="226" t="s">
        <v>121</v>
      </c>
      <c r="Q6" s="224">
        <v>0.05</v>
      </c>
    </row>
    <row r="7" spans="2:17" outlineLevel="1">
      <c r="B7" s="115" t="s">
        <v>96</v>
      </c>
      <c r="C7" s="220"/>
      <c r="D7" s="221" t="e">
        <f t="shared" si="0"/>
        <v>#DIV/0!</v>
      </c>
      <c r="E7" s="221" t="e">
        <f t="shared" si="5"/>
        <v>#DIV/0!</v>
      </c>
      <c r="F7" s="222" t="e">
        <f t="shared" si="2"/>
        <v>#DIV/0!</v>
      </c>
      <c r="G7" s="222" t="e">
        <f t="shared" si="3"/>
        <v>#DIV/0!</v>
      </c>
      <c r="I7" s="115" t="s">
        <v>96</v>
      </c>
      <c r="J7" s="220"/>
      <c r="K7" s="221" t="e">
        <f t="shared" si="1"/>
        <v>#DIV/0!</v>
      </c>
      <c r="L7" s="221" t="e">
        <f t="shared" si="6"/>
        <v>#DIV/0!</v>
      </c>
      <c r="M7" s="222" t="e">
        <f t="shared" si="4"/>
        <v>#DIV/0!</v>
      </c>
    </row>
    <row r="8" spans="2:17" outlineLevel="1">
      <c r="B8" s="115" t="s">
        <v>97</v>
      </c>
      <c r="C8" s="220"/>
      <c r="D8" s="221" t="e">
        <f t="shared" si="0"/>
        <v>#DIV/0!</v>
      </c>
      <c r="E8" s="221" t="e">
        <f t="shared" si="5"/>
        <v>#DIV/0!</v>
      </c>
      <c r="F8" s="222" t="e">
        <f t="shared" si="2"/>
        <v>#DIV/0!</v>
      </c>
      <c r="G8" s="222" t="e">
        <f t="shared" si="3"/>
        <v>#DIV/0!</v>
      </c>
      <c r="I8" s="115" t="s">
        <v>97</v>
      </c>
      <c r="J8" s="220"/>
      <c r="K8" s="221" t="e">
        <f t="shared" si="1"/>
        <v>#DIV/0!</v>
      </c>
      <c r="L8" s="221" t="e">
        <f t="shared" si="6"/>
        <v>#DIV/0!</v>
      </c>
      <c r="M8" s="222" t="e">
        <f t="shared" si="4"/>
        <v>#DIV/0!</v>
      </c>
    </row>
    <row r="9" spans="2:17" outlineLevel="1">
      <c r="B9" s="115" t="s">
        <v>98</v>
      </c>
      <c r="C9" s="220"/>
      <c r="D9" s="221" t="e">
        <f t="shared" si="0"/>
        <v>#DIV/0!</v>
      </c>
      <c r="E9" s="221" t="e">
        <f t="shared" si="5"/>
        <v>#DIV/0!</v>
      </c>
      <c r="F9" s="222" t="e">
        <f t="shared" si="2"/>
        <v>#DIV/0!</v>
      </c>
      <c r="G9" s="222" t="e">
        <f t="shared" si="3"/>
        <v>#DIV/0!</v>
      </c>
      <c r="I9" s="115" t="s">
        <v>98</v>
      </c>
      <c r="J9" s="220"/>
      <c r="K9" s="221" t="e">
        <f t="shared" si="1"/>
        <v>#DIV/0!</v>
      </c>
      <c r="L9" s="221" t="e">
        <f t="shared" si="6"/>
        <v>#DIV/0!</v>
      </c>
      <c r="M9" s="222" t="e">
        <f t="shared" si="4"/>
        <v>#DIV/0!</v>
      </c>
    </row>
    <row r="10" spans="2:17" outlineLevel="1">
      <c r="B10" s="115" t="s">
        <v>99</v>
      </c>
      <c r="C10" s="220"/>
      <c r="D10" s="221" t="e">
        <f t="shared" si="0"/>
        <v>#DIV/0!</v>
      </c>
      <c r="E10" s="221" t="e">
        <f t="shared" si="5"/>
        <v>#DIV/0!</v>
      </c>
      <c r="F10" s="222" t="e">
        <f t="shared" si="2"/>
        <v>#DIV/0!</v>
      </c>
      <c r="G10" s="222" t="e">
        <f t="shared" si="3"/>
        <v>#DIV/0!</v>
      </c>
      <c r="I10" s="115" t="s">
        <v>99</v>
      </c>
      <c r="J10" s="220"/>
      <c r="K10" s="221" t="e">
        <f t="shared" si="1"/>
        <v>#DIV/0!</v>
      </c>
      <c r="L10" s="221" t="e">
        <f t="shared" si="6"/>
        <v>#DIV/0!</v>
      </c>
      <c r="M10" s="222" t="e">
        <f t="shared" si="4"/>
        <v>#DIV/0!</v>
      </c>
    </row>
    <row r="11" spans="2:17" outlineLevel="1">
      <c r="B11" s="115" t="s">
        <v>100</v>
      </c>
      <c r="C11" s="220"/>
      <c r="D11" s="221" t="e">
        <f t="shared" si="0"/>
        <v>#DIV/0!</v>
      </c>
      <c r="E11" s="221" t="e">
        <f t="shared" si="5"/>
        <v>#DIV/0!</v>
      </c>
      <c r="F11" s="222" t="e">
        <f t="shared" si="2"/>
        <v>#DIV/0!</v>
      </c>
      <c r="G11" s="222" t="e">
        <f t="shared" si="3"/>
        <v>#DIV/0!</v>
      </c>
      <c r="I11" s="115" t="s">
        <v>100</v>
      </c>
      <c r="J11" s="220"/>
      <c r="K11" s="221" t="e">
        <f t="shared" si="1"/>
        <v>#DIV/0!</v>
      </c>
      <c r="L11" s="221" t="e">
        <f t="shared" si="6"/>
        <v>#DIV/0!</v>
      </c>
      <c r="M11" s="222" t="e">
        <f t="shared" si="4"/>
        <v>#DIV/0!</v>
      </c>
    </row>
    <row r="12" spans="2:17" outlineLevel="1">
      <c r="B12" s="115" t="s">
        <v>101</v>
      </c>
      <c r="C12" s="220"/>
      <c r="D12" s="221" t="e">
        <f t="shared" si="0"/>
        <v>#DIV/0!</v>
      </c>
      <c r="E12" s="221" t="e">
        <f t="shared" si="5"/>
        <v>#DIV/0!</v>
      </c>
      <c r="F12" s="222" t="e">
        <f t="shared" si="2"/>
        <v>#DIV/0!</v>
      </c>
      <c r="G12" s="222" t="e">
        <f t="shared" si="3"/>
        <v>#DIV/0!</v>
      </c>
      <c r="I12" s="115" t="s">
        <v>101</v>
      </c>
      <c r="J12" s="220"/>
      <c r="K12" s="221" t="e">
        <f t="shared" si="1"/>
        <v>#DIV/0!</v>
      </c>
      <c r="L12" s="221" t="e">
        <f t="shared" si="6"/>
        <v>#DIV/0!</v>
      </c>
      <c r="M12" s="222" t="e">
        <f t="shared" si="4"/>
        <v>#DIV/0!</v>
      </c>
    </row>
    <row r="13" spans="2:17" outlineLevel="1">
      <c r="B13" s="115" t="s">
        <v>102</v>
      </c>
      <c r="C13" s="220"/>
      <c r="D13" s="221" t="e">
        <f t="shared" si="0"/>
        <v>#DIV/0!</v>
      </c>
      <c r="E13" s="221" t="e">
        <f t="shared" si="5"/>
        <v>#DIV/0!</v>
      </c>
      <c r="F13" s="222" t="e">
        <f t="shared" si="2"/>
        <v>#DIV/0!</v>
      </c>
      <c r="G13" s="222" t="e">
        <f t="shared" si="3"/>
        <v>#DIV/0!</v>
      </c>
      <c r="I13" s="115" t="s">
        <v>102</v>
      </c>
      <c r="J13" s="220"/>
      <c r="K13" s="221" t="e">
        <f t="shared" si="1"/>
        <v>#DIV/0!</v>
      </c>
      <c r="L13" s="221" t="e">
        <f t="shared" si="6"/>
        <v>#DIV/0!</v>
      </c>
      <c r="M13" s="222" t="e">
        <f t="shared" si="4"/>
        <v>#DIV/0!</v>
      </c>
    </row>
    <row r="14" spans="2:17" outlineLevel="1">
      <c r="B14" s="115" t="s">
        <v>103</v>
      </c>
      <c r="C14" s="220"/>
      <c r="D14" s="221" t="e">
        <f t="shared" si="0"/>
        <v>#DIV/0!</v>
      </c>
      <c r="E14" s="221" t="e">
        <f t="shared" si="5"/>
        <v>#DIV/0!</v>
      </c>
      <c r="F14" s="222" t="e">
        <f t="shared" si="2"/>
        <v>#DIV/0!</v>
      </c>
      <c r="G14" s="222" t="e">
        <f t="shared" si="3"/>
        <v>#DIV/0!</v>
      </c>
      <c r="I14" s="115" t="s">
        <v>103</v>
      </c>
      <c r="J14" s="220"/>
      <c r="K14" s="221" t="e">
        <f t="shared" si="1"/>
        <v>#DIV/0!</v>
      </c>
      <c r="L14" s="221" t="e">
        <f t="shared" si="6"/>
        <v>#DIV/0!</v>
      </c>
      <c r="M14" s="222" t="e">
        <f t="shared" si="4"/>
        <v>#DIV/0!</v>
      </c>
    </row>
    <row r="15" spans="2:17" outlineLevel="1">
      <c r="B15" s="115" t="s">
        <v>104</v>
      </c>
      <c r="C15" s="220"/>
      <c r="D15" s="221" t="e">
        <f t="shared" si="0"/>
        <v>#DIV/0!</v>
      </c>
      <c r="E15" s="221" t="e">
        <f t="shared" si="5"/>
        <v>#DIV/0!</v>
      </c>
      <c r="F15" s="222" t="e">
        <f t="shared" si="2"/>
        <v>#DIV/0!</v>
      </c>
      <c r="G15" s="222" t="e">
        <f t="shared" si="3"/>
        <v>#DIV/0!</v>
      </c>
      <c r="I15" s="115" t="s">
        <v>104</v>
      </c>
      <c r="J15" s="220"/>
      <c r="K15" s="221" t="e">
        <f t="shared" si="1"/>
        <v>#DIV/0!</v>
      </c>
      <c r="L15" s="221" t="e">
        <f t="shared" si="6"/>
        <v>#DIV/0!</v>
      </c>
      <c r="M15" s="222" t="e">
        <f t="shared" si="4"/>
        <v>#DIV/0!</v>
      </c>
    </row>
    <row r="16" spans="2:17" outlineLevel="1">
      <c r="B16" s="115" t="s">
        <v>105</v>
      </c>
      <c r="C16" s="220"/>
      <c r="D16" s="221" t="e">
        <f t="shared" si="0"/>
        <v>#DIV/0!</v>
      </c>
      <c r="E16" s="221" t="e">
        <f t="shared" si="5"/>
        <v>#DIV/0!</v>
      </c>
      <c r="F16" s="222" t="e">
        <f t="shared" si="2"/>
        <v>#DIV/0!</v>
      </c>
      <c r="G16" s="222" t="e">
        <f t="shared" si="3"/>
        <v>#DIV/0!</v>
      </c>
      <c r="I16" s="115" t="s">
        <v>105</v>
      </c>
      <c r="J16" s="220"/>
      <c r="K16" s="221" t="e">
        <f t="shared" si="1"/>
        <v>#DIV/0!</v>
      </c>
      <c r="L16" s="221" t="e">
        <f t="shared" si="6"/>
        <v>#DIV/0!</v>
      </c>
      <c r="M16" s="222" t="e">
        <f t="shared" si="4"/>
        <v>#DIV/0!</v>
      </c>
    </row>
    <row r="17" spans="2:13" outlineLevel="1">
      <c r="B17" s="115" t="s">
        <v>174</v>
      </c>
      <c r="D17" s="221" t="e">
        <f t="shared" si="0"/>
        <v>#DIV/0!</v>
      </c>
      <c r="E17" s="221" t="e">
        <f t="shared" si="5"/>
        <v>#DIV/0!</v>
      </c>
      <c r="F17" s="222" t="e">
        <f t="shared" si="2"/>
        <v>#DIV/0!</v>
      </c>
      <c r="G17" s="222" t="e">
        <f t="shared" si="3"/>
        <v>#DIV/0!</v>
      </c>
      <c r="I17" s="115" t="s">
        <v>174</v>
      </c>
      <c r="K17" s="221" t="e">
        <f t="shared" si="1"/>
        <v>#DIV/0!</v>
      </c>
      <c r="L17" s="221" t="e">
        <f t="shared" si="6"/>
        <v>#DIV/0!</v>
      </c>
      <c r="M17" s="222" t="e">
        <f t="shared" si="4"/>
        <v>#DIV/0!</v>
      </c>
    </row>
    <row r="18" spans="2:13">
      <c r="B18" s="115" t="s">
        <v>175</v>
      </c>
      <c r="D18" s="221" t="e">
        <f t="shared" si="0"/>
        <v>#DIV/0!</v>
      </c>
      <c r="E18" s="221" t="e">
        <f t="shared" si="5"/>
        <v>#DIV/0!</v>
      </c>
      <c r="F18" s="222" t="e">
        <f t="shared" si="2"/>
        <v>#DIV/0!</v>
      </c>
      <c r="G18" s="222" t="e">
        <f t="shared" si="3"/>
        <v>#DIV/0!</v>
      </c>
      <c r="I18" s="115" t="s">
        <v>175</v>
      </c>
      <c r="K18" s="221" t="e">
        <f t="shared" si="1"/>
        <v>#DIV/0!</v>
      </c>
      <c r="L18" s="221" t="e">
        <f t="shared" si="6"/>
        <v>#DIV/0!</v>
      </c>
      <c r="M18" s="222" t="e">
        <f t="shared" si="4"/>
        <v>#DIV/0!</v>
      </c>
    </row>
    <row r="19" spans="2:13">
      <c r="B19" t="s">
        <v>176</v>
      </c>
      <c r="D19" s="221" t="e">
        <f t="shared" si="0"/>
        <v>#DIV/0!</v>
      </c>
      <c r="E19" s="221" t="e">
        <f t="shared" si="5"/>
        <v>#DIV/0!</v>
      </c>
      <c r="F19" s="222" t="e">
        <f t="shared" si="2"/>
        <v>#DIV/0!</v>
      </c>
      <c r="G19" s="222" t="e">
        <f t="shared" si="3"/>
        <v>#DIV/0!</v>
      </c>
      <c r="I19" t="s">
        <v>176</v>
      </c>
      <c r="K19" s="221" t="e">
        <f t="shared" si="1"/>
        <v>#DIV/0!</v>
      </c>
      <c r="L19" s="221" t="e">
        <f t="shared" si="6"/>
        <v>#DIV/0!</v>
      </c>
      <c r="M19" s="222" t="e">
        <f t="shared" si="4"/>
        <v>#DIV/0!</v>
      </c>
    </row>
    <row r="20" spans="2:13">
      <c r="B20" t="s">
        <v>177</v>
      </c>
      <c r="D20" s="221" t="e">
        <f t="shared" si="0"/>
        <v>#DIV/0!</v>
      </c>
      <c r="E20" s="221" t="e">
        <f t="shared" si="5"/>
        <v>#DIV/0!</v>
      </c>
      <c r="F20" s="222" t="e">
        <f t="shared" si="2"/>
        <v>#DIV/0!</v>
      </c>
      <c r="G20" s="222" t="e">
        <f t="shared" si="3"/>
        <v>#DIV/0!</v>
      </c>
      <c r="I20" t="s">
        <v>177</v>
      </c>
      <c r="K20" s="221" t="e">
        <f t="shared" si="1"/>
        <v>#DIV/0!</v>
      </c>
      <c r="L20" s="221" t="e">
        <f t="shared" si="6"/>
        <v>#DIV/0!</v>
      </c>
      <c r="M20" s="222" t="e">
        <f t="shared" si="4"/>
        <v>#DIV/0!</v>
      </c>
    </row>
    <row r="21" spans="2:13">
      <c r="B21" t="s">
        <v>178</v>
      </c>
      <c r="D21" s="221" t="e">
        <f t="shared" si="0"/>
        <v>#DIV/0!</v>
      </c>
      <c r="E21" s="221" t="e">
        <f t="shared" si="5"/>
        <v>#DIV/0!</v>
      </c>
      <c r="F21" s="222" t="e">
        <f t="shared" si="2"/>
        <v>#DIV/0!</v>
      </c>
      <c r="G21" s="222" t="e">
        <f t="shared" si="3"/>
        <v>#DIV/0!</v>
      </c>
      <c r="I21" t="s">
        <v>178</v>
      </c>
      <c r="K21" s="221" t="e">
        <f t="shared" si="1"/>
        <v>#DIV/0!</v>
      </c>
      <c r="L21" s="221" t="e">
        <f t="shared" si="6"/>
        <v>#DIV/0!</v>
      </c>
      <c r="M21" s="222" t="e">
        <f t="shared" si="4"/>
        <v>#DIV/0!</v>
      </c>
    </row>
    <row r="22" spans="2:13">
      <c r="B22" t="s">
        <v>179</v>
      </c>
      <c r="D22" s="221" t="e">
        <f t="shared" si="0"/>
        <v>#DIV/0!</v>
      </c>
      <c r="E22" s="221" t="e">
        <f t="shared" si="5"/>
        <v>#DIV/0!</v>
      </c>
      <c r="F22" s="222" t="e">
        <f t="shared" si="2"/>
        <v>#DIV/0!</v>
      </c>
      <c r="G22" s="222" t="e">
        <f t="shared" si="3"/>
        <v>#DIV/0!</v>
      </c>
      <c r="I22" t="s">
        <v>179</v>
      </c>
      <c r="K22" s="221" t="e">
        <f t="shared" si="1"/>
        <v>#DIV/0!</v>
      </c>
      <c r="L22" s="221" t="e">
        <f t="shared" si="6"/>
        <v>#DIV/0!</v>
      </c>
      <c r="M22" s="222" t="e">
        <f t="shared" si="4"/>
        <v>#DIV/0!</v>
      </c>
    </row>
    <row r="23" spans="2:13">
      <c r="B23" t="s">
        <v>180</v>
      </c>
      <c r="D23" s="221" t="e">
        <f t="shared" si="0"/>
        <v>#DIV/0!</v>
      </c>
      <c r="E23" s="221" t="e">
        <f t="shared" si="5"/>
        <v>#DIV/0!</v>
      </c>
      <c r="F23" s="222" t="e">
        <f t="shared" si="2"/>
        <v>#DIV/0!</v>
      </c>
      <c r="G23" s="222" t="e">
        <f t="shared" si="3"/>
        <v>#DIV/0!</v>
      </c>
      <c r="I23" t="s">
        <v>180</v>
      </c>
      <c r="K23" s="221" t="e">
        <f t="shared" si="1"/>
        <v>#DIV/0!</v>
      </c>
      <c r="L23" s="221" t="e">
        <f t="shared" si="6"/>
        <v>#DIV/0!</v>
      </c>
      <c r="M23" s="222" t="e">
        <f t="shared" si="4"/>
        <v>#DIV/0!</v>
      </c>
    </row>
    <row r="24" spans="2:13">
      <c r="B24" t="s">
        <v>181</v>
      </c>
      <c r="D24" s="221" t="e">
        <f t="shared" si="0"/>
        <v>#DIV/0!</v>
      </c>
      <c r="E24" s="221" t="e">
        <f t="shared" si="5"/>
        <v>#DIV/0!</v>
      </c>
      <c r="F24" s="222" t="e">
        <f t="shared" si="2"/>
        <v>#DIV/0!</v>
      </c>
      <c r="G24" s="222" t="e">
        <f t="shared" si="3"/>
        <v>#DIV/0!</v>
      </c>
      <c r="I24" t="s">
        <v>181</v>
      </c>
      <c r="K24" s="221" t="e">
        <f t="shared" si="1"/>
        <v>#DIV/0!</v>
      </c>
      <c r="L24" s="221" t="e">
        <f t="shared" si="6"/>
        <v>#DIV/0!</v>
      </c>
      <c r="M24" s="222" t="e">
        <f t="shared" si="4"/>
        <v>#DIV/0!</v>
      </c>
    </row>
    <row r="25" spans="2:13">
      <c r="B25" t="s">
        <v>182</v>
      </c>
      <c r="D25" s="221" t="e">
        <f t="shared" si="0"/>
        <v>#DIV/0!</v>
      </c>
      <c r="E25" s="221" t="e">
        <f t="shared" si="5"/>
        <v>#DIV/0!</v>
      </c>
      <c r="F25" s="222" t="e">
        <f t="shared" si="2"/>
        <v>#DIV/0!</v>
      </c>
      <c r="G25" s="222" t="e">
        <f t="shared" si="3"/>
        <v>#DIV/0!</v>
      </c>
      <c r="I25" t="s">
        <v>182</v>
      </c>
      <c r="K25" s="221" t="e">
        <f t="shared" si="1"/>
        <v>#DIV/0!</v>
      </c>
      <c r="L25" s="221" t="e">
        <f t="shared" si="6"/>
        <v>#DIV/0!</v>
      </c>
      <c r="M25" s="222" t="e">
        <f t="shared" si="4"/>
        <v>#DIV/0!</v>
      </c>
    </row>
    <row r="26" spans="2:13">
      <c r="B26" t="s">
        <v>183</v>
      </c>
      <c r="D26" s="221" t="e">
        <f t="shared" si="0"/>
        <v>#DIV/0!</v>
      </c>
      <c r="E26" s="221" t="e">
        <f t="shared" si="5"/>
        <v>#DIV/0!</v>
      </c>
      <c r="F26" s="222" t="e">
        <f t="shared" si="2"/>
        <v>#DIV/0!</v>
      </c>
      <c r="G26" s="222" t="e">
        <f t="shared" si="3"/>
        <v>#DIV/0!</v>
      </c>
      <c r="I26" t="s">
        <v>183</v>
      </c>
      <c r="K26" s="221" t="e">
        <f t="shared" si="1"/>
        <v>#DIV/0!</v>
      </c>
      <c r="L26" s="221" t="e">
        <f t="shared" si="6"/>
        <v>#DIV/0!</v>
      </c>
      <c r="M26" s="222" t="e">
        <f t="shared" si="4"/>
        <v>#DIV/0!</v>
      </c>
    </row>
    <row r="27" spans="2:13">
      <c r="B27" t="s">
        <v>184</v>
      </c>
      <c r="D27" s="221" t="e">
        <f t="shared" si="0"/>
        <v>#DIV/0!</v>
      </c>
      <c r="E27" s="221" t="e">
        <f t="shared" si="5"/>
        <v>#DIV/0!</v>
      </c>
      <c r="F27" s="222" t="e">
        <f t="shared" si="2"/>
        <v>#DIV/0!</v>
      </c>
      <c r="G27" s="222" t="e">
        <f t="shared" si="3"/>
        <v>#DIV/0!</v>
      </c>
      <c r="I27" t="s">
        <v>184</v>
      </c>
      <c r="K27" s="221" t="e">
        <f t="shared" si="1"/>
        <v>#DIV/0!</v>
      </c>
      <c r="L27" s="221" t="e">
        <f t="shared" si="6"/>
        <v>#DIV/0!</v>
      </c>
      <c r="M27" s="222" t="e">
        <f t="shared" si="4"/>
        <v>#DIV/0!</v>
      </c>
    </row>
    <row r="28" spans="2:13">
      <c r="B28" t="s">
        <v>185</v>
      </c>
      <c r="D28" s="221" t="e">
        <f t="shared" si="0"/>
        <v>#DIV/0!</v>
      </c>
      <c r="E28" s="221" t="e">
        <f t="shared" si="5"/>
        <v>#DIV/0!</v>
      </c>
      <c r="F28" s="222" t="e">
        <f t="shared" si="2"/>
        <v>#DIV/0!</v>
      </c>
      <c r="G28" s="222" t="e">
        <f t="shared" si="3"/>
        <v>#DIV/0!</v>
      </c>
      <c r="I28" t="s">
        <v>185</v>
      </c>
      <c r="K28" s="221" t="e">
        <f t="shared" si="1"/>
        <v>#DIV/0!</v>
      </c>
      <c r="L28" s="221" t="e">
        <f t="shared" si="6"/>
        <v>#DIV/0!</v>
      </c>
      <c r="M28" s="222" t="e">
        <f t="shared" si="4"/>
        <v>#DIV/0!</v>
      </c>
    </row>
    <row r="29" spans="2:13">
      <c r="B29" t="s">
        <v>186</v>
      </c>
      <c r="D29" s="221" t="e">
        <f t="shared" si="0"/>
        <v>#DIV/0!</v>
      </c>
      <c r="E29" s="221" t="e">
        <f t="shared" si="5"/>
        <v>#DIV/0!</v>
      </c>
      <c r="F29" s="222" t="e">
        <f t="shared" si="2"/>
        <v>#DIV/0!</v>
      </c>
      <c r="G29" s="222" t="e">
        <f t="shared" si="3"/>
        <v>#DIV/0!</v>
      </c>
      <c r="I29" t="s">
        <v>186</v>
      </c>
      <c r="K29" s="221" t="e">
        <f t="shared" si="1"/>
        <v>#DIV/0!</v>
      </c>
      <c r="L29" s="221" t="e">
        <f t="shared" si="6"/>
        <v>#DIV/0!</v>
      </c>
      <c r="M29" s="222" t="e">
        <f t="shared" si="4"/>
        <v>#DIV/0!</v>
      </c>
    </row>
    <row r="30" spans="2:13">
      <c r="B30" t="s">
        <v>187</v>
      </c>
      <c r="D30" s="221" t="e">
        <f t="shared" si="0"/>
        <v>#DIV/0!</v>
      </c>
      <c r="E30" s="221" t="e">
        <f t="shared" si="5"/>
        <v>#DIV/0!</v>
      </c>
      <c r="F30" s="222" t="e">
        <f t="shared" si="2"/>
        <v>#DIV/0!</v>
      </c>
      <c r="G30" s="222" t="e">
        <f t="shared" si="3"/>
        <v>#DIV/0!</v>
      </c>
      <c r="I30" t="s">
        <v>187</v>
      </c>
      <c r="K30" s="221" t="e">
        <f t="shared" si="1"/>
        <v>#DIV/0!</v>
      </c>
      <c r="L30" s="221" t="e">
        <f t="shared" si="6"/>
        <v>#DIV/0!</v>
      </c>
      <c r="M30" s="222" t="e">
        <f t="shared" si="4"/>
        <v>#DIV/0!</v>
      </c>
    </row>
    <row r="31" spans="2:13">
      <c r="B31" t="s">
        <v>188</v>
      </c>
      <c r="D31" s="221" t="e">
        <f t="shared" si="0"/>
        <v>#DIV/0!</v>
      </c>
      <c r="E31" s="221" t="e">
        <f t="shared" si="5"/>
        <v>#DIV/0!</v>
      </c>
      <c r="F31" s="222" t="e">
        <f t="shared" si="2"/>
        <v>#DIV/0!</v>
      </c>
      <c r="G31" s="222" t="e">
        <f t="shared" si="3"/>
        <v>#DIV/0!</v>
      </c>
      <c r="I31" t="s">
        <v>188</v>
      </c>
      <c r="K31" s="221" t="e">
        <f t="shared" si="1"/>
        <v>#DIV/0!</v>
      </c>
      <c r="L31" s="221" t="e">
        <f t="shared" si="6"/>
        <v>#DIV/0!</v>
      </c>
      <c r="M31" s="222" t="e">
        <f t="shared" si="4"/>
        <v>#DIV/0!</v>
      </c>
    </row>
    <row r="32" spans="2:13">
      <c r="B32" t="s">
        <v>189</v>
      </c>
      <c r="D32" s="221" t="e">
        <f t="shared" si="0"/>
        <v>#DIV/0!</v>
      </c>
      <c r="E32" s="221" t="e">
        <f t="shared" si="5"/>
        <v>#DIV/0!</v>
      </c>
      <c r="F32" s="222" t="e">
        <f t="shared" si="2"/>
        <v>#DIV/0!</v>
      </c>
      <c r="G32" s="222" t="e">
        <f t="shared" si="3"/>
        <v>#DIV/0!</v>
      </c>
      <c r="I32" t="s">
        <v>189</v>
      </c>
      <c r="K32" s="221" t="e">
        <f t="shared" si="1"/>
        <v>#DIV/0!</v>
      </c>
      <c r="L32" s="221" t="e">
        <f t="shared" si="6"/>
        <v>#DIV/0!</v>
      </c>
      <c r="M32" s="222" t="e">
        <f t="shared" si="4"/>
        <v>#DIV/0!</v>
      </c>
    </row>
    <row r="33" spans="2:13">
      <c r="B33" t="s">
        <v>190</v>
      </c>
      <c r="D33" s="221" t="e">
        <f t="shared" si="0"/>
        <v>#DIV/0!</v>
      </c>
      <c r="E33" s="221" t="e">
        <f t="shared" si="5"/>
        <v>#DIV/0!</v>
      </c>
      <c r="F33" s="222" t="e">
        <f t="shared" si="2"/>
        <v>#DIV/0!</v>
      </c>
      <c r="G33" s="222" t="e">
        <f t="shared" si="3"/>
        <v>#DIV/0!</v>
      </c>
      <c r="I33" t="s">
        <v>190</v>
      </c>
      <c r="K33" s="221" t="e">
        <f t="shared" si="1"/>
        <v>#DIV/0!</v>
      </c>
      <c r="L33" s="221" t="e">
        <f t="shared" si="6"/>
        <v>#DIV/0!</v>
      </c>
      <c r="M33" s="222" t="e">
        <f t="shared" si="4"/>
        <v>#DIV/0!</v>
      </c>
    </row>
    <row r="34" spans="2:13">
      <c r="B34" t="s">
        <v>191</v>
      </c>
      <c r="D34" s="221" t="e">
        <f t="shared" si="0"/>
        <v>#DIV/0!</v>
      </c>
      <c r="E34" s="221" t="e">
        <f t="shared" si="5"/>
        <v>#DIV/0!</v>
      </c>
      <c r="F34" s="222" t="e">
        <f t="shared" si="2"/>
        <v>#DIV/0!</v>
      </c>
      <c r="G34" s="222" t="e">
        <f t="shared" si="3"/>
        <v>#DIV/0!</v>
      </c>
      <c r="I34" t="s">
        <v>191</v>
      </c>
      <c r="K34" s="221" t="e">
        <f t="shared" si="1"/>
        <v>#DIV/0!</v>
      </c>
      <c r="L34" s="221" t="e">
        <f t="shared" si="6"/>
        <v>#DIV/0!</v>
      </c>
      <c r="M34" s="222" t="e">
        <f t="shared" si="4"/>
        <v>#DIV/0!</v>
      </c>
    </row>
    <row r="35" spans="2:13">
      <c r="B35" t="s">
        <v>192</v>
      </c>
      <c r="D35" s="221" t="e">
        <f t="shared" si="0"/>
        <v>#DIV/0!</v>
      </c>
      <c r="E35" s="221" t="e">
        <f t="shared" si="5"/>
        <v>#DIV/0!</v>
      </c>
      <c r="F35" s="222" t="e">
        <f t="shared" si="2"/>
        <v>#DIV/0!</v>
      </c>
      <c r="G35" s="222" t="e">
        <f t="shared" si="3"/>
        <v>#DIV/0!</v>
      </c>
      <c r="I35" t="s">
        <v>192</v>
      </c>
      <c r="K35" s="221" t="e">
        <f t="shared" si="1"/>
        <v>#DIV/0!</v>
      </c>
      <c r="L35" s="221" t="e">
        <f t="shared" si="6"/>
        <v>#DIV/0!</v>
      </c>
      <c r="M35" s="222" t="e">
        <f t="shared" si="4"/>
        <v>#DIV/0!</v>
      </c>
    </row>
    <row r="36" spans="2:13">
      <c r="C36" s="227">
        <f>SUM(C4:C16)</f>
        <v>0</v>
      </c>
      <c r="D36" s="228" t="e">
        <f>SUM(D4:D16)</f>
        <v>#DIV/0!</v>
      </c>
      <c r="J36" s="227">
        <f>SUM(J4:J16)</f>
        <v>0</v>
      </c>
      <c r="K36" s="228" t="e">
        <f>SUM(K4:K16)</f>
        <v>#DIV/0!</v>
      </c>
    </row>
  </sheetData>
  <mergeCells count="1">
    <mergeCell ref="B2:M2"/>
  </mergeCells>
  <conditionalFormatting sqref="D4:D35 K4:K35 M4:M35 G4:G35">
    <cfRule type="cellIs" dxfId="138" priority="4" operator="equal">
      <formula>"C"</formula>
    </cfRule>
    <cfRule type="cellIs" dxfId="137" priority="5" operator="equal">
      <formula>"B"</formula>
    </cfRule>
    <cfRule type="cellIs" dxfId="136" priority="6" operator="equal">
      <formula>"A"</formula>
    </cfRule>
  </conditionalFormatting>
  <conditionalFormatting sqref="F4:F35">
    <cfRule type="cellIs" dxfId="135" priority="1" operator="equal">
      <formula>"C"</formula>
    </cfRule>
    <cfRule type="cellIs" dxfId="134" priority="2" operator="equal">
      <formula>"B"</formula>
    </cfRule>
    <cfRule type="cellIs" dxfId="133" priority="3" operator="equal">
      <formula>"A"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A1C12-9781-4060-93DC-10E5CE684951}">
  <dimension ref="B1:Q36"/>
  <sheetViews>
    <sheetView zoomScale="80" zoomScaleNormal="80" workbookViewId="0">
      <selection activeCell="I12" sqref="I12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337" t="s">
        <v>112</v>
      </c>
      <c r="C2" s="338"/>
      <c r="D2" s="338"/>
      <c r="E2" s="338"/>
      <c r="F2" s="338"/>
      <c r="G2" s="338"/>
      <c r="H2" s="338"/>
      <c r="I2" s="338"/>
      <c r="J2" s="338"/>
      <c r="K2" s="338"/>
      <c r="L2" s="338"/>
      <c r="M2" s="339"/>
    </row>
    <row r="3" spans="2:17" ht="28.5" customHeight="1" outlineLevel="1" thickBot="1">
      <c r="C3" s="216" t="s">
        <v>11</v>
      </c>
      <c r="D3" s="217" t="s">
        <v>113</v>
      </c>
      <c r="E3" s="218" t="s">
        <v>114</v>
      </c>
      <c r="F3" s="217" t="s">
        <v>115</v>
      </c>
      <c r="G3" s="217" t="s">
        <v>116</v>
      </c>
      <c r="J3" s="216" t="s">
        <v>117</v>
      </c>
      <c r="K3" s="217" t="s">
        <v>118</v>
      </c>
      <c r="L3" s="218" t="s">
        <v>114</v>
      </c>
      <c r="M3" s="219" t="s">
        <v>116</v>
      </c>
    </row>
    <row r="4" spans="2:17" ht="15" outlineLevel="1" thickBot="1">
      <c r="B4" s="115" t="s">
        <v>92</v>
      </c>
      <c r="C4" s="220">
        <f>'Юнит 7'!AL3</f>
        <v>17228.537711755562</v>
      </c>
      <c r="D4" s="221">
        <f t="shared" ref="D4:D35" si="0">C4/C$36</f>
        <v>0.29979928120990196</v>
      </c>
      <c r="E4" s="221">
        <f>D4</f>
        <v>0.29979928120990196</v>
      </c>
      <c r="F4" s="222" t="str">
        <f>IF(AND(E4&lt;=0),"C",IF(E4&lt;=0.8,"A",IF(E4&lt;=0.95,"B","C")))</f>
        <v>A</v>
      </c>
      <c r="G4" s="222" t="str">
        <f>VLOOKUP(B$4:B$35,I$4:M$35,5,0)</f>
        <v>A</v>
      </c>
      <c r="I4" s="115" t="s">
        <v>92</v>
      </c>
      <c r="J4" s="220">
        <f>'Юнит 7'!S3</f>
        <v>50</v>
      </c>
      <c r="K4" s="221">
        <f t="shared" ref="K4:K35" si="1">J4/J$36</f>
        <v>0.23809523809523808</v>
      </c>
      <c r="L4" s="221">
        <f>K4</f>
        <v>0.23809523809523808</v>
      </c>
      <c r="M4" s="222" t="str">
        <f>_xlfn.IFS(L4&lt;80%,"A",L4&lt;=95%,"B",L4&gt;95%,"C")</f>
        <v>A</v>
      </c>
      <c r="P4" s="223" t="s">
        <v>119</v>
      </c>
      <c r="Q4" s="224">
        <v>0.8</v>
      </c>
    </row>
    <row r="5" spans="2:17" ht="15" outlineLevel="1" thickBot="1">
      <c r="B5" s="115" t="s">
        <v>94</v>
      </c>
      <c r="C5" s="220">
        <f>'Юнит 7'!AL4</f>
        <v>20125.027568979807</v>
      </c>
      <c r="D5" s="221">
        <f t="shared" si="0"/>
        <v>0.35020202529392758</v>
      </c>
      <c r="E5" s="221">
        <f>E4+D5</f>
        <v>0.65000130650382948</v>
      </c>
      <c r="F5" s="222" t="str">
        <f t="shared" ref="F5:F16" si="2">IF(AND(E5&lt;=0),"C",IF(E5&lt;=0.8,"A",IF(E5&lt;=0.95,"B","C")))</f>
        <v>A</v>
      </c>
      <c r="G5" s="222" t="str">
        <f t="shared" ref="G5:G35" si="3">VLOOKUP(B$4:B$35,I$4:M$35,5,0)</f>
        <v>A</v>
      </c>
      <c r="I5" s="115" t="s">
        <v>94</v>
      </c>
      <c r="J5" s="220">
        <f>'Юнит 7'!S4</f>
        <v>72</v>
      </c>
      <c r="K5" s="221">
        <f t="shared" si="1"/>
        <v>0.34285714285714286</v>
      </c>
      <c r="L5" s="221">
        <f>L4+K5</f>
        <v>0.58095238095238089</v>
      </c>
      <c r="M5" s="222" t="str">
        <f t="shared" ref="M5:M16" si="4">_xlfn.IFS(L5&lt;80%,"A",L5&lt;=95%,"B",L5&gt;95%,"C")</f>
        <v>A</v>
      </c>
      <c r="P5" s="225" t="s">
        <v>120</v>
      </c>
      <c r="Q5" s="224">
        <v>0.15</v>
      </c>
    </row>
    <row r="6" spans="2:17" ht="15" outlineLevel="1" thickBot="1">
      <c r="B6" s="115" t="s">
        <v>95</v>
      </c>
      <c r="C6" s="220">
        <f>'Юнит 7'!AL5</f>
        <v>428.66040393578487</v>
      </c>
      <c r="D6" s="221">
        <f t="shared" si="0"/>
        <v>7.4592564460886756E-3</v>
      </c>
      <c r="E6" s="221">
        <f t="shared" ref="E6:E16" si="5">E5+D6</f>
        <v>0.65746056294991817</v>
      </c>
      <c r="F6" s="222" t="str">
        <f t="shared" si="2"/>
        <v>A</v>
      </c>
      <c r="G6" s="222" t="str">
        <f t="shared" si="3"/>
        <v>A</v>
      </c>
      <c r="I6" s="115" t="s">
        <v>95</v>
      </c>
      <c r="J6" s="220">
        <f>'Юнит 7'!S5</f>
        <v>3</v>
      </c>
      <c r="K6" s="221">
        <f t="shared" si="1"/>
        <v>1.4285714285714285E-2</v>
      </c>
      <c r="L6" s="221">
        <f t="shared" ref="L6:L16" si="6">L5+K6</f>
        <v>0.59523809523809512</v>
      </c>
      <c r="M6" s="222" t="str">
        <f t="shared" si="4"/>
        <v>A</v>
      </c>
      <c r="P6" s="226" t="s">
        <v>121</v>
      </c>
      <c r="Q6" s="224">
        <v>0.05</v>
      </c>
    </row>
    <row r="7" spans="2:17" outlineLevel="1">
      <c r="B7" s="115" t="s">
        <v>96</v>
      </c>
      <c r="C7" s="220">
        <f>'Юнит 7'!AL6</f>
        <v>1904.0493933713085</v>
      </c>
      <c r="D7" s="221">
        <f t="shared" si="0"/>
        <v>3.3132970950365187E-2</v>
      </c>
      <c r="E7" s="221">
        <f t="shared" si="5"/>
        <v>0.69059353390028333</v>
      </c>
      <c r="F7" s="222" t="str">
        <f t="shared" si="2"/>
        <v>A</v>
      </c>
      <c r="G7" s="222" t="str">
        <f t="shared" si="3"/>
        <v>A</v>
      </c>
      <c r="I7" s="115" t="s">
        <v>96</v>
      </c>
      <c r="J7" s="220">
        <f>'Юнит 7'!S6</f>
        <v>16</v>
      </c>
      <c r="K7" s="221">
        <f t="shared" si="1"/>
        <v>7.6190476190476197E-2</v>
      </c>
      <c r="L7" s="221">
        <f t="shared" si="6"/>
        <v>0.67142857142857126</v>
      </c>
      <c r="M7" s="222" t="str">
        <f t="shared" si="4"/>
        <v>A</v>
      </c>
    </row>
    <row r="8" spans="2:17" outlineLevel="1">
      <c r="B8" s="115" t="s">
        <v>97</v>
      </c>
      <c r="C8" s="220">
        <f>'Юнит 7'!AL7</f>
        <v>5729.5205903676833</v>
      </c>
      <c r="D8" s="221">
        <f t="shared" si="0"/>
        <v>9.9701215704309051E-2</v>
      </c>
      <c r="E8" s="221">
        <f t="shared" si="5"/>
        <v>0.79029474960459234</v>
      </c>
      <c r="F8" s="222" t="str">
        <f t="shared" si="2"/>
        <v>A</v>
      </c>
      <c r="G8" s="222" t="str">
        <f t="shared" si="3"/>
        <v>A</v>
      </c>
      <c r="I8" s="115" t="s">
        <v>97</v>
      </c>
      <c r="J8" s="220">
        <f>'Юнит 7'!S7</f>
        <v>22</v>
      </c>
      <c r="K8" s="221">
        <f t="shared" si="1"/>
        <v>0.10476190476190476</v>
      </c>
      <c r="L8" s="221">
        <f t="shared" si="6"/>
        <v>0.77619047619047599</v>
      </c>
      <c r="M8" s="222" t="str">
        <f t="shared" si="4"/>
        <v>A</v>
      </c>
    </row>
    <row r="9" spans="2:17" outlineLevel="1">
      <c r="B9" s="115" t="s">
        <v>98</v>
      </c>
      <c r="C9" s="220">
        <f>'Юнит 7'!AL8</f>
        <v>5902.1569760227803</v>
      </c>
      <c r="D9" s="221">
        <f t="shared" si="0"/>
        <v>0.10270531652795346</v>
      </c>
      <c r="E9" s="221">
        <f t="shared" si="5"/>
        <v>0.89300006613254579</v>
      </c>
      <c r="F9" s="222" t="str">
        <f t="shared" si="2"/>
        <v>B</v>
      </c>
      <c r="G9" s="222" t="str">
        <f t="shared" si="3"/>
        <v>B</v>
      </c>
      <c r="I9" s="115" t="s">
        <v>98</v>
      </c>
      <c r="J9" s="220">
        <f>'Юнит 7'!S8</f>
        <v>24</v>
      </c>
      <c r="K9" s="221">
        <f t="shared" si="1"/>
        <v>0.11428571428571428</v>
      </c>
      <c r="L9" s="221">
        <f t="shared" si="6"/>
        <v>0.89047619047619031</v>
      </c>
      <c r="M9" s="222" t="str">
        <f t="shared" si="4"/>
        <v>B</v>
      </c>
    </row>
    <row r="10" spans="2:17" outlineLevel="1">
      <c r="B10" s="115" t="s">
        <v>99</v>
      </c>
      <c r="C10" s="220">
        <f>'Юнит 7'!AL9</f>
        <v>4814.9044795442769</v>
      </c>
      <c r="D10" s="221">
        <f t="shared" si="0"/>
        <v>8.3785688966322616E-2</v>
      </c>
      <c r="E10" s="221">
        <f t="shared" si="5"/>
        <v>0.97678575509886845</v>
      </c>
      <c r="F10" s="222" t="str">
        <f t="shared" si="2"/>
        <v>C</v>
      </c>
      <c r="G10" s="222" t="str">
        <f t="shared" si="3"/>
        <v>B</v>
      </c>
      <c r="I10" s="115" t="s">
        <v>99</v>
      </c>
      <c r="J10" s="220">
        <f>'Юнит 7'!S9</f>
        <v>11</v>
      </c>
      <c r="K10" s="221">
        <f t="shared" si="1"/>
        <v>5.2380952380952382E-2</v>
      </c>
      <c r="L10" s="221">
        <f t="shared" si="6"/>
        <v>0.94285714285714273</v>
      </c>
      <c r="M10" s="222" t="str">
        <f t="shared" si="4"/>
        <v>B</v>
      </c>
    </row>
    <row r="11" spans="2:17" outlineLevel="1">
      <c r="B11" s="115" t="s">
        <v>100</v>
      </c>
      <c r="C11" s="299">
        <f>'Юнит 7'!AL10</f>
        <v>-2385.8379743138266</v>
      </c>
      <c r="D11" s="221">
        <f t="shared" si="0"/>
        <v>-4.1516727754237738E-2</v>
      </c>
      <c r="E11" s="221">
        <f t="shared" si="5"/>
        <v>0.93526902734463069</v>
      </c>
      <c r="F11" s="300" t="str">
        <f t="shared" si="2"/>
        <v>B</v>
      </c>
      <c r="G11" s="222" t="str">
        <f t="shared" si="3"/>
        <v>C</v>
      </c>
      <c r="I11" s="115" t="s">
        <v>100</v>
      </c>
      <c r="J11" s="220">
        <f>'Юнит 7'!S10</f>
        <v>3</v>
      </c>
      <c r="K11" s="221">
        <f t="shared" si="1"/>
        <v>1.4285714285714285E-2</v>
      </c>
      <c r="L11" s="221">
        <f t="shared" si="6"/>
        <v>0.95714285714285696</v>
      </c>
      <c r="M11" s="222" t="str">
        <f t="shared" si="4"/>
        <v>C</v>
      </c>
    </row>
    <row r="12" spans="2:17" outlineLevel="1">
      <c r="B12" s="115" t="s">
        <v>101</v>
      </c>
      <c r="C12" s="299">
        <f>'Юнит 7'!AL11</f>
        <v>-135.49912998446402</v>
      </c>
      <c r="D12" s="221">
        <f t="shared" si="0"/>
        <v>-2.3578635896760623E-3</v>
      </c>
      <c r="E12" s="221">
        <f t="shared" si="5"/>
        <v>0.93291116375495464</v>
      </c>
      <c r="F12" s="300" t="str">
        <f t="shared" si="2"/>
        <v>B</v>
      </c>
      <c r="G12" s="222" t="str">
        <f t="shared" si="3"/>
        <v>C</v>
      </c>
      <c r="I12" s="115" t="s">
        <v>101</v>
      </c>
      <c r="J12" s="220">
        <f>'Юнит 7'!S11</f>
        <v>0</v>
      </c>
      <c r="K12" s="221">
        <f t="shared" si="1"/>
        <v>0</v>
      </c>
      <c r="L12" s="221">
        <f t="shared" si="6"/>
        <v>0.95714285714285696</v>
      </c>
      <c r="M12" s="222" t="str">
        <f t="shared" si="4"/>
        <v>C</v>
      </c>
    </row>
    <row r="13" spans="2:17" outlineLevel="1">
      <c r="B13" s="115" t="s">
        <v>102</v>
      </c>
      <c r="C13" s="220">
        <f>'Юнит 7'!AL12</f>
        <v>1392.2637959606423</v>
      </c>
      <c r="D13" s="221">
        <f t="shared" si="0"/>
        <v>2.4227226492865118E-2</v>
      </c>
      <c r="E13" s="221">
        <f t="shared" si="5"/>
        <v>0.95713839024781977</v>
      </c>
      <c r="F13" s="222" t="str">
        <f t="shared" si="2"/>
        <v>C</v>
      </c>
      <c r="G13" s="222" t="str">
        <f t="shared" si="3"/>
        <v>C</v>
      </c>
      <c r="I13" s="115" t="s">
        <v>102</v>
      </c>
      <c r="J13" s="220">
        <f>'Юнит 7'!S12</f>
        <v>4</v>
      </c>
      <c r="K13" s="221">
        <f t="shared" si="1"/>
        <v>1.9047619047619049E-2</v>
      </c>
      <c r="L13" s="221">
        <f t="shared" si="6"/>
        <v>0.97619047619047605</v>
      </c>
      <c r="M13" s="222" t="str">
        <f t="shared" si="4"/>
        <v>C</v>
      </c>
    </row>
    <row r="14" spans="2:17" outlineLevel="1">
      <c r="B14" s="115" t="s">
        <v>103</v>
      </c>
      <c r="C14" s="220">
        <f>'Юнит 7'!AL13</f>
        <v>1091.9076851372349</v>
      </c>
      <c r="D14" s="221">
        <f t="shared" si="0"/>
        <v>1.9000633984644431E-2</v>
      </c>
      <c r="E14" s="221">
        <f t="shared" si="5"/>
        <v>0.97613902423246424</v>
      </c>
      <c r="F14" s="222" t="str">
        <f t="shared" si="2"/>
        <v>C</v>
      </c>
      <c r="G14" s="222" t="str">
        <f t="shared" si="3"/>
        <v>C</v>
      </c>
      <c r="I14" s="115" t="s">
        <v>103</v>
      </c>
      <c r="J14" s="220">
        <f>'Юнит 7'!S13</f>
        <v>2</v>
      </c>
      <c r="K14" s="221">
        <f t="shared" si="1"/>
        <v>9.5238095238095247E-3</v>
      </c>
      <c r="L14" s="221">
        <f t="shared" si="6"/>
        <v>0.98571428571428554</v>
      </c>
      <c r="M14" s="222" t="str">
        <f t="shared" si="4"/>
        <v>C</v>
      </c>
    </row>
    <row r="15" spans="2:17" outlineLevel="1">
      <c r="B15" s="115" t="s">
        <v>104</v>
      </c>
      <c r="C15" s="220">
        <f>'Юнит 7'!AL14</f>
        <v>1055.2303883997931</v>
      </c>
      <c r="D15" s="221">
        <f t="shared" si="0"/>
        <v>1.8362400642815049E-2</v>
      </c>
      <c r="E15" s="221">
        <f t="shared" si="5"/>
        <v>0.99450142487527926</v>
      </c>
      <c r="F15" s="222" t="str">
        <f t="shared" si="2"/>
        <v>C</v>
      </c>
      <c r="G15" s="222" t="str">
        <f t="shared" si="3"/>
        <v>C</v>
      </c>
      <c r="I15" s="115" t="s">
        <v>104</v>
      </c>
      <c r="J15" s="220">
        <f>'Юнит 7'!S14</f>
        <v>2</v>
      </c>
      <c r="K15" s="221">
        <f t="shared" si="1"/>
        <v>9.5238095238095247E-3</v>
      </c>
      <c r="L15" s="221">
        <f t="shared" si="6"/>
        <v>0.99523809523809503</v>
      </c>
      <c r="M15" s="222" t="str">
        <f t="shared" si="4"/>
        <v>C</v>
      </c>
    </row>
    <row r="16" spans="2:17" outlineLevel="1">
      <c r="B16" s="115" t="s">
        <v>105</v>
      </c>
      <c r="C16" s="220">
        <f>'Юнит 7'!AL15</f>
        <v>315.98611082340767</v>
      </c>
      <c r="D16" s="221">
        <f t="shared" si="0"/>
        <v>5.4985751247206074E-3</v>
      </c>
      <c r="E16" s="221">
        <f t="shared" si="5"/>
        <v>0.99999999999999989</v>
      </c>
      <c r="F16" s="222" t="str">
        <f t="shared" si="2"/>
        <v>C</v>
      </c>
      <c r="G16" s="222" t="str">
        <f t="shared" si="3"/>
        <v>C</v>
      </c>
      <c r="I16" s="115" t="s">
        <v>105</v>
      </c>
      <c r="J16" s="220">
        <f>'Юнит 7'!S15</f>
        <v>1</v>
      </c>
      <c r="K16" s="221">
        <f t="shared" si="1"/>
        <v>4.7619047619047623E-3</v>
      </c>
      <c r="L16" s="221">
        <f t="shared" si="6"/>
        <v>0.99999999999999978</v>
      </c>
      <c r="M16" s="222" t="str">
        <f t="shared" si="4"/>
        <v>C</v>
      </c>
    </row>
    <row r="17" spans="2:13" outlineLevel="1">
      <c r="B17" s="115" t="s">
        <v>174</v>
      </c>
      <c r="C17" s="220">
        <f>'Юнит 7'!AL16</f>
        <v>0</v>
      </c>
      <c r="D17" s="221">
        <f t="shared" si="0"/>
        <v>0</v>
      </c>
      <c r="E17" s="221">
        <f t="shared" ref="E17:E35" si="7">E16+D17</f>
        <v>0.99999999999999989</v>
      </c>
      <c r="F17" s="222" t="str">
        <f t="shared" ref="F17:F35" si="8">IF(AND(E17&lt;=0),"C",IF(E17&lt;=0.8,"A",IF(E17&lt;=0.95,"B","C")))</f>
        <v>C</v>
      </c>
      <c r="G17" s="222" t="str">
        <f t="shared" si="3"/>
        <v>C</v>
      </c>
      <c r="I17" s="115" t="s">
        <v>174</v>
      </c>
      <c r="J17" s="220">
        <f>'Юнит 7'!S16</f>
        <v>0</v>
      </c>
      <c r="K17" s="221">
        <f t="shared" si="1"/>
        <v>0</v>
      </c>
      <c r="L17" s="221">
        <f t="shared" ref="L17:L35" si="9">L16+K17</f>
        <v>0.99999999999999978</v>
      </c>
      <c r="M17" s="222" t="str">
        <f t="shared" ref="M17:M35" si="10">_xlfn.IFS(L17&lt;80%,"A",L17&lt;=95%,"B",L17&gt;95%,"C")</f>
        <v>C</v>
      </c>
    </row>
    <row r="18" spans="2:13">
      <c r="B18" s="115" t="s">
        <v>175</v>
      </c>
      <c r="C18" s="220">
        <f>'Юнит 7'!AL17</f>
        <v>0</v>
      </c>
      <c r="D18" s="221">
        <f t="shared" si="0"/>
        <v>0</v>
      </c>
      <c r="E18" s="221">
        <f t="shared" si="7"/>
        <v>0.99999999999999989</v>
      </c>
      <c r="F18" s="222" t="str">
        <f t="shared" si="8"/>
        <v>C</v>
      </c>
      <c r="G18" s="222" t="str">
        <f t="shared" si="3"/>
        <v>C</v>
      </c>
      <c r="I18" s="115" t="s">
        <v>175</v>
      </c>
      <c r="J18" s="220">
        <f>'Юнит 7'!S17</f>
        <v>0</v>
      </c>
      <c r="K18" s="221">
        <f t="shared" si="1"/>
        <v>0</v>
      </c>
      <c r="L18" s="221">
        <f t="shared" si="9"/>
        <v>0.99999999999999978</v>
      </c>
      <c r="M18" s="222" t="str">
        <f t="shared" si="10"/>
        <v>C</v>
      </c>
    </row>
    <row r="19" spans="2:13">
      <c r="B19" t="s">
        <v>176</v>
      </c>
      <c r="C19" s="220">
        <f>'Юнит 7'!AL18</f>
        <v>0</v>
      </c>
      <c r="D19" s="221">
        <f t="shared" si="0"/>
        <v>0</v>
      </c>
      <c r="E19" s="221">
        <f t="shared" si="7"/>
        <v>0.99999999999999989</v>
      </c>
      <c r="F19" s="222" t="str">
        <f t="shared" si="8"/>
        <v>C</v>
      </c>
      <c r="G19" s="222" t="str">
        <f t="shared" si="3"/>
        <v>C</v>
      </c>
      <c r="I19" t="s">
        <v>176</v>
      </c>
      <c r="J19" s="220">
        <f>'Юнит 7'!S18</f>
        <v>0</v>
      </c>
      <c r="K19" s="221">
        <f t="shared" si="1"/>
        <v>0</v>
      </c>
      <c r="L19" s="221">
        <f t="shared" si="9"/>
        <v>0.99999999999999978</v>
      </c>
      <c r="M19" s="222" t="str">
        <f t="shared" si="10"/>
        <v>C</v>
      </c>
    </row>
    <row r="20" spans="2:13">
      <c r="B20" t="s">
        <v>177</v>
      </c>
      <c r="C20" s="220">
        <f>'Юнит 7'!AL19</f>
        <v>0</v>
      </c>
      <c r="D20" s="221">
        <f t="shared" si="0"/>
        <v>0</v>
      </c>
      <c r="E20" s="221">
        <f t="shared" si="7"/>
        <v>0.99999999999999989</v>
      </c>
      <c r="F20" s="222" t="str">
        <f t="shared" si="8"/>
        <v>C</v>
      </c>
      <c r="G20" s="222" t="str">
        <f t="shared" si="3"/>
        <v>C</v>
      </c>
      <c r="I20" t="s">
        <v>177</v>
      </c>
      <c r="J20" s="220">
        <f>'Юнит 7'!S19</f>
        <v>0</v>
      </c>
      <c r="K20" s="221">
        <f t="shared" si="1"/>
        <v>0</v>
      </c>
      <c r="L20" s="221">
        <f t="shared" si="9"/>
        <v>0.99999999999999978</v>
      </c>
      <c r="M20" s="222" t="str">
        <f t="shared" si="10"/>
        <v>C</v>
      </c>
    </row>
    <row r="21" spans="2:13">
      <c r="B21" t="s">
        <v>178</v>
      </c>
      <c r="C21" s="220">
        <f>'Юнит 7'!AL20</f>
        <v>0</v>
      </c>
      <c r="D21" s="221">
        <f t="shared" si="0"/>
        <v>0</v>
      </c>
      <c r="E21" s="221">
        <f t="shared" si="7"/>
        <v>0.99999999999999989</v>
      </c>
      <c r="F21" s="222" t="str">
        <f t="shared" si="8"/>
        <v>C</v>
      </c>
      <c r="G21" s="222" t="str">
        <f t="shared" si="3"/>
        <v>C</v>
      </c>
      <c r="I21" t="s">
        <v>178</v>
      </c>
      <c r="J21" s="220">
        <f>'Юнит 7'!S20</f>
        <v>0</v>
      </c>
      <c r="K21" s="221">
        <f t="shared" si="1"/>
        <v>0</v>
      </c>
      <c r="L21" s="221">
        <f t="shared" si="9"/>
        <v>0.99999999999999978</v>
      </c>
      <c r="M21" s="222" t="str">
        <f t="shared" si="10"/>
        <v>C</v>
      </c>
    </row>
    <row r="22" spans="2:13">
      <c r="B22" t="s">
        <v>179</v>
      </c>
      <c r="C22" s="220">
        <f>'Юнит 7'!AL21</f>
        <v>0</v>
      </c>
      <c r="D22" s="221">
        <f t="shared" si="0"/>
        <v>0</v>
      </c>
      <c r="E22" s="221">
        <f t="shared" si="7"/>
        <v>0.99999999999999989</v>
      </c>
      <c r="F22" s="222" t="str">
        <f t="shared" si="8"/>
        <v>C</v>
      </c>
      <c r="G22" s="222" t="str">
        <f t="shared" si="3"/>
        <v>C</v>
      </c>
      <c r="I22" t="s">
        <v>179</v>
      </c>
      <c r="J22" s="220">
        <f>'Юнит 7'!S21</f>
        <v>0</v>
      </c>
      <c r="K22" s="221">
        <f t="shared" si="1"/>
        <v>0</v>
      </c>
      <c r="L22" s="221">
        <f t="shared" si="9"/>
        <v>0.99999999999999978</v>
      </c>
      <c r="M22" s="222" t="str">
        <f t="shared" si="10"/>
        <v>C</v>
      </c>
    </row>
    <row r="23" spans="2:13">
      <c r="B23" t="s">
        <v>181</v>
      </c>
      <c r="C23" s="220">
        <f>'Юнит 7'!AL23</f>
        <v>0</v>
      </c>
      <c r="D23" s="221">
        <f t="shared" si="0"/>
        <v>0</v>
      </c>
      <c r="E23" s="221">
        <f t="shared" si="7"/>
        <v>0.99999999999999989</v>
      </c>
      <c r="F23" s="222" t="str">
        <f t="shared" si="8"/>
        <v>C</v>
      </c>
      <c r="G23" s="222" t="str">
        <f t="shared" si="3"/>
        <v>C</v>
      </c>
      <c r="I23" t="s">
        <v>180</v>
      </c>
      <c r="J23" s="220">
        <f>'Юнит 7'!S22</f>
        <v>0</v>
      </c>
      <c r="K23" s="221">
        <f t="shared" si="1"/>
        <v>0</v>
      </c>
      <c r="L23" s="221">
        <f t="shared" si="9"/>
        <v>0.99999999999999978</v>
      </c>
      <c r="M23" s="222" t="str">
        <f t="shared" si="10"/>
        <v>C</v>
      </c>
    </row>
    <row r="24" spans="2:13">
      <c r="B24" t="s">
        <v>183</v>
      </c>
      <c r="C24" s="220">
        <f>'Юнит 7'!AL25</f>
        <v>0</v>
      </c>
      <c r="D24" s="221">
        <f t="shared" si="0"/>
        <v>0</v>
      </c>
      <c r="E24" s="221">
        <f t="shared" si="7"/>
        <v>0.99999999999999989</v>
      </c>
      <c r="F24" s="222" t="str">
        <f t="shared" si="8"/>
        <v>C</v>
      </c>
      <c r="G24" s="222" t="str">
        <f t="shared" si="3"/>
        <v>C</v>
      </c>
      <c r="I24" t="s">
        <v>181</v>
      </c>
      <c r="J24" s="220">
        <f>'Юнит 7'!S23</f>
        <v>0</v>
      </c>
      <c r="K24" s="221">
        <f t="shared" si="1"/>
        <v>0</v>
      </c>
      <c r="L24" s="221">
        <f t="shared" si="9"/>
        <v>0.99999999999999978</v>
      </c>
      <c r="M24" s="222" t="str">
        <f t="shared" si="10"/>
        <v>C</v>
      </c>
    </row>
    <row r="25" spans="2:13">
      <c r="B25" t="s">
        <v>184</v>
      </c>
      <c r="C25" s="220">
        <f>'Юнит 7'!AL26</f>
        <v>0</v>
      </c>
      <c r="D25" s="221">
        <f t="shared" si="0"/>
        <v>0</v>
      </c>
      <c r="E25" s="221">
        <f t="shared" si="7"/>
        <v>0.99999999999999989</v>
      </c>
      <c r="F25" s="222" t="str">
        <f t="shared" si="8"/>
        <v>C</v>
      </c>
      <c r="G25" s="222" t="str">
        <f t="shared" si="3"/>
        <v>C</v>
      </c>
      <c r="I25" t="s">
        <v>182</v>
      </c>
      <c r="J25" s="220">
        <f>'Юнит 7'!S24</f>
        <v>0</v>
      </c>
      <c r="K25" s="221">
        <f t="shared" si="1"/>
        <v>0</v>
      </c>
      <c r="L25" s="221">
        <f t="shared" si="9"/>
        <v>0.99999999999999978</v>
      </c>
      <c r="M25" s="222" t="str">
        <f t="shared" si="10"/>
        <v>C</v>
      </c>
    </row>
    <row r="26" spans="2:13">
      <c r="B26" t="s">
        <v>186</v>
      </c>
      <c r="C26" s="220">
        <f>'Юнит 7'!AL28</f>
        <v>0</v>
      </c>
      <c r="D26" s="221">
        <f t="shared" si="0"/>
        <v>0</v>
      </c>
      <c r="E26" s="221">
        <f t="shared" si="7"/>
        <v>0.99999999999999989</v>
      </c>
      <c r="F26" s="222" t="str">
        <f t="shared" si="8"/>
        <v>C</v>
      </c>
      <c r="G26" s="222" t="str">
        <f t="shared" si="3"/>
        <v>C</v>
      </c>
      <c r="I26" t="s">
        <v>183</v>
      </c>
      <c r="J26" s="220">
        <f>'Юнит 7'!S25</f>
        <v>0</v>
      </c>
      <c r="K26" s="221">
        <f t="shared" si="1"/>
        <v>0</v>
      </c>
      <c r="L26" s="221">
        <f t="shared" si="9"/>
        <v>0.99999999999999978</v>
      </c>
      <c r="M26" s="222" t="str">
        <f t="shared" si="10"/>
        <v>C</v>
      </c>
    </row>
    <row r="27" spans="2:13">
      <c r="B27" t="s">
        <v>189</v>
      </c>
      <c r="C27" s="220">
        <f>'Юнит 7'!AL31</f>
        <v>0</v>
      </c>
      <c r="D27" s="221">
        <f t="shared" si="0"/>
        <v>0</v>
      </c>
      <c r="E27" s="221">
        <f t="shared" si="7"/>
        <v>0.99999999999999989</v>
      </c>
      <c r="F27" s="222" t="str">
        <f t="shared" si="8"/>
        <v>C</v>
      </c>
      <c r="G27" s="222" t="str">
        <f t="shared" si="3"/>
        <v>C</v>
      </c>
      <c r="I27" t="s">
        <v>184</v>
      </c>
      <c r="J27" s="220">
        <f>'Юнит 7'!S26</f>
        <v>0</v>
      </c>
      <c r="K27" s="221">
        <f t="shared" si="1"/>
        <v>0</v>
      </c>
      <c r="L27" s="221">
        <f t="shared" si="9"/>
        <v>0.99999999999999978</v>
      </c>
      <c r="M27" s="222" t="str">
        <f t="shared" si="10"/>
        <v>C</v>
      </c>
    </row>
    <row r="28" spans="2:13">
      <c r="B28" t="s">
        <v>191</v>
      </c>
      <c r="C28" s="220">
        <f>'Юнит 7'!AL33</f>
        <v>0</v>
      </c>
      <c r="D28" s="221">
        <f t="shared" si="0"/>
        <v>0</v>
      </c>
      <c r="E28" s="221">
        <f t="shared" si="7"/>
        <v>0.99999999999999989</v>
      </c>
      <c r="F28" s="222" t="str">
        <f t="shared" si="8"/>
        <v>C</v>
      </c>
      <c r="G28" s="222" t="str">
        <f t="shared" si="3"/>
        <v>C</v>
      </c>
      <c r="I28" t="s">
        <v>185</v>
      </c>
      <c r="J28" s="220">
        <f>'Юнит 7'!S27</f>
        <v>0</v>
      </c>
      <c r="K28" s="221">
        <f t="shared" si="1"/>
        <v>0</v>
      </c>
      <c r="L28" s="221">
        <f t="shared" si="9"/>
        <v>0.99999999999999978</v>
      </c>
      <c r="M28" s="222" t="str">
        <f t="shared" si="10"/>
        <v>C</v>
      </c>
    </row>
    <row r="29" spans="2:13">
      <c r="B29" t="s">
        <v>192</v>
      </c>
      <c r="C29" s="220">
        <f>'Юнит 7'!AL34</f>
        <v>0</v>
      </c>
      <c r="D29" s="221">
        <f t="shared" si="0"/>
        <v>0</v>
      </c>
      <c r="E29" s="221">
        <f t="shared" si="7"/>
        <v>0.99999999999999989</v>
      </c>
      <c r="F29" s="222" t="str">
        <f t="shared" si="8"/>
        <v>C</v>
      </c>
      <c r="G29" s="222" t="str">
        <f t="shared" si="3"/>
        <v>C</v>
      </c>
      <c r="I29" t="s">
        <v>186</v>
      </c>
      <c r="J29" s="220">
        <f>'Юнит 7'!S28</f>
        <v>0</v>
      </c>
      <c r="K29" s="221">
        <f t="shared" si="1"/>
        <v>0</v>
      </c>
      <c r="L29" s="221">
        <f t="shared" si="9"/>
        <v>0.99999999999999978</v>
      </c>
      <c r="M29" s="222" t="str">
        <f t="shared" si="10"/>
        <v>C</v>
      </c>
    </row>
    <row r="30" spans="2:13">
      <c r="B30" t="s">
        <v>180</v>
      </c>
      <c r="C30" s="220">
        <f>'Юнит 7'!AL22</f>
        <v>-7</v>
      </c>
      <c r="D30" s="221">
        <f t="shared" si="0"/>
        <v>-1.2180923323732679E-4</v>
      </c>
      <c r="E30" s="221">
        <f t="shared" si="7"/>
        <v>0.99987819076676254</v>
      </c>
      <c r="F30" s="222" t="str">
        <f t="shared" si="8"/>
        <v>C</v>
      </c>
      <c r="G30" s="222" t="str">
        <f t="shared" si="3"/>
        <v>C</v>
      </c>
      <c r="I30" t="s">
        <v>187</v>
      </c>
      <c r="J30" s="220">
        <f>'Юнит 7'!S29</f>
        <v>0</v>
      </c>
      <c r="K30" s="221">
        <f t="shared" si="1"/>
        <v>0</v>
      </c>
      <c r="L30" s="221">
        <f t="shared" si="9"/>
        <v>0.99999999999999978</v>
      </c>
      <c r="M30" s="222" t="str">
        <f t="shared" si="10"/>
        <v>C</v>
      </c>
    </row>
    <row r="31" spans="2:13">
      <c r="B31" t="s">
        <v>185</v>
      </c>
      <c r="C31" s="220">
        <f>'Юнит 7'!AL27</f>
        <v>-376</v>
      </c>
      <c r="D31" s="221">
        <f t="shared" si="0"/>
        <v>-6.5428959567478389E-3</v>
      </c>
      <c r="E31" s="221">
        <f t="shared" si="7"/>
        <v>0.9933352948100147</v>
      </c>
      <c r="F31" s="222" t="str">
        <f t="shared" si="8"/>
        <v>C</v>
      </c>
      <c r="G31" s="222" t="str">
        <f t="shared" si="3"/>
        <v>C</v>
      </c>
      <c r="I31" t="s">
        <v>188</v>
      </c>
      <c r="J31" s="220">
        <f>'Юнит 7'!S30</f>
        <v>0</v>
      </c>
      <c r="K31" s="221">
        <f t="shared" si="1"/>
        <v>0</v>
      </c>
      <c r="L31" s="221">
        <f t="shared" si="9"/>
        <v>0.99999999999999978</v>
      </c>
      <c r="M31" s="222" t="str">
        <f t="shared" si="10"/>
        <v>C</v>
      </c>
    </row>
    <row r="32" spans="2:13">
      <c r="B32" t="s">
        <v>190</v>
      </c>
      <c r="C32" s="220">
        <f>'Юнит 7'!AL32</f>
        <v>-427</v>
      </c>
      <c r="D32" s="221">
        <f t="shared" si="0"/>
        <v>-7.4303632274769337E-3</v>
      </c>
      <c r="E32" s="221">
        <f t="shared" si="7"/>
        <v>0.98590493158253778</v>
      </c>
      <c r="F32" s="222" t="str">
        <f t="shared" si="8"/>
        <v>C</v>
      </c>
      <c r="G32" s="222" t="str">
        <f t="shared" si="3"/>
        <v>C</v>
      </c>
      <c r="I32" t="s">
        <v>189</v>
      </c>
      <c r="J32" s="220">
        <f>'Юнит 7'!S31</f>
        <v>0</v>
      </c>
      <c r="K32" s="221">
        <f t="shared" si="1"/>
        <v>0</v>
      </c>
      <c r="L32" s="221">
        <f t="shared" si="9"/>
        <v>0.99999999999999978</v>
      </c>
      <c r="M32" s="222" t="str">
        <f t="shared" si="10"/>
        <v>C</v>
      </c>
    </row>
    <row r="33" spans="2:13">
      <c r="B33" t="s">
        <v>187</v>
      </c>
      <c r="C33" s="220">
        <f>'Юнит 7'!AL29</f>
        <v>-1000</v>
      </c>
      <c r="D33" s="221">
        <f t="shared" si="0"/>
        <v>-1.7401319033903826E-2</v>
      </c>
      <c r="E33" s="221">
        <f t="shared" si="7"/>
        <v>0.96850361254863393</v>
      </c>
      <c r="F33" s="222" t="str">
        <f t="shared" si="8"/>
        <v>C</v>
      </c>
      <c r="G33" s="222" t="str">
        <f t="shared" si="3"/>
        <v>C</v>
      </c>
      <c r="I33" t="s">
        <v>190</v>
      </c>
      <c r="J33" s="220">
        <f>'Юнит 7'!S32</f>
        <v>0</v>
      </c>
      <c r="K33" s="221">
        <f t="shared" si="1"/>
        <v>0</v>
      </c>
      <c r="L33" s="221">
        <f t="shared" si="9"/>
        <v>0.99999999999999978</v>
      </c>
      <c r="M33" s="222" t="str">
        <f t="shared" si="10"/>
        <v>C</v>
      </c>
    </row>
    <row r="34" spans="2:13">
      <c r="B34" t="s">
        <v>188</v>
      </c>
      <c r="C34" s="220">
        <f>'Юнит 7'!AL30</f>
        <v>-1119</v>
      </c>
      <c r="D34" s="221">
        <f t="shared" si="0"/>
        <v>-1.9472075998938382E-2</v>
      </c>
      <c r="E34" s="221">
        <f t="shared" si="7"/>
        <v>0.94903153654969552</v>
      </c>
      <c r="F34" s="222" t="str">
        <f t="shared" si="8"/>
        <v>B</v>
      </c>
      <c r="G34" s="222" t="str">
        <f t="shared" si="3"/>
        <v>C</v>
      </c>
      <c r="I34" t="s">
        <v>191</v>
      </c>
      <c r="J34" s="220">
        <f>'Юнит 7'!S33</f>
        <v>0</v>
      </c>
      <c r="K34" s="221">
        <f t="shared" si="1"/>
        <v>0</v>
      </c>
      <c r="L34" s="221">
        <f t="shared" si="9"/>
        <v>0.99999999999999978</v>
      </c>
      <c r="M34" s="222" t="str">
        <f t="shared" si="10"/>
        <v>C</v>
      </c>
    </row>
    <row r="35" spans="2:13">
      <c r="B35" t="s">
        <v>182</v>
      </c>
      <c r="C35" s="220">
        <f>'Юнит 7'!AL24</f>
        <v>-2321.16</v>
      </c>
      <c r="D35" s="221">
        <f t="shared" si="0"/>
        <v>-4.0391245688736206E-2</v>
      </c>
      <c r="E35" s="221">
        <f t="shared" si="7"/>
        <v>0.90864029086095932</v>
      </c>
      <c r="F35" s="222" t="str">
        <f t="shared" si="8"/>
        <v>B</v>
      </c>
      <c r="G35" s="222" t="str">
        <f t="shared" si="3"/>
        <v>C</v>
      </c>
      <c r="I35" t="s">
        <v>192</v>
      </c>
      <c r="J35" s="220">
        <f>'Юнит 7'!S34</f>
        <v>0</v>
      </c>
      <c r="K35" s="221">
        <f t="shared" si="1"/>
        <v>0</v>
      </c>
      <c r="L35" s="221">
        <f t="shared" si="9"/>
        <v>0.99999999999999978</v>
      </c>
      <c r="M35" s="222" t="str">
        <f t="shared" si="10"/>
        <v>C</v>
      </c>
    </row>
    <row r="36" spans="2:13">
      <c r="C36" s="227">
        <f>SUM(C4:C16)</f>
        <v>57466.907999999996</v>
      </c>
      <c r="D36" s="228">
        <f>SUM(D4:D16)</f>
        <v>0.99999999999999989</v>
      </c>
      <c r="J36" s="227">
        <f>SUM(J4:J16)</f>
        <v>210</v>
      </c>
      <c r="K36" s="228">
        <f>SUM(K4:K16)</f>
        <v>0.99999999999999978</v>
      </c>
    </row>
  </sheetData>
  <sortState xmlns:xlrd2="http://schemas.microsoft.com/office/spreadsheetml/2017/richdata2" ref="B3:C35">
    <sortCondition descending="1" ref="C4:C35"/>
  </sortState>
  <mergeCells count="1">
    <mergeCell ref="B2:M2"/>
  </mergeCells>
  <conditionalFormatting sqref="D4:D35 K4:K35 M4:M35 G4:G35">
    <cfRule type="cellIs" dxfId="132" priority="10" operator="equal">
      <formula>"C"</formula>
    </cfRule>
    <cfRule type="cellIs" dxfId="131" priority="11" operator="equal">
      <formula>"B"</formula>
    </cfRule>
    <cfRule type="cellIs" dxfId="130" priority="12" operator="equal">
      <formula>"A"</formula>
    </cfRule>
  </conditionalFormatting>
  <conditionalFormatting sqref="F4:F35">
    <cfRule type="cellIs" dxfId="129" priority="4" operator="equal">
      <formula>"C"</formula>
    </cfRule>
    <cfRule type="cellIs" dxfId="128" priority="5" operator="equal">
      <formula>"B"</formula>
    </cfRule>
    <cfRule type="cellIs" dxfId="127" priority="6" operator="equal">
      <formula>"A"</formula>
    </cfRule>
  </conditionalFormatting>
  <pageMargins left="0.7" right="0.7" top="0.75" bottom="0.75" header="0.3" footer="0.3"/>
  <pageSetup paperSize="9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5251D-2778-4A87-BCE6-49E1948D4C6D}">
  <dimension ref="B1:Q74"/>
  <sheetViews>
    <sheetView zoomScale="80" zoomScaleNormal="80" workbookViewId="0">
      <selection activeCell="O9" sqref="O9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337" t="s">
        <v>112</v>
      </c>
      <c r="C2" s="338"/>
      <c r="D2" s="338"/>
      <c r="E2" s="338"/>
      <c r="F2" s="338"/>
      <c r="G2" s="338"/>
      <c r="H2" s="338"/>
      <c r="I2" s="338"/>
      <c r="J2" s="338"/>
      <c r="K2" s="338"/>
      <c r="L2" s="338"/>
      <c r="M2" s="339"/>
    </row>
    <row r="3" spans="2:17" ht="28.5" customHeight="1" outlineLevel="1" thickBot="1">
      <c r="C3" s="216" t="s">
        <v>11</v>
      </c>
      <c r="D3" s="217" t="s">
        <v>113</v>
      </c>
      <c r="E3" s="218" t="s">
        <v>114</v>
      </c>
      <c r="F3" s="217" t="s">
        <v>115</v>
      </c>
      <c r="G3" s="217" t="s">
        <v>116</v>
      </c>
      <c r="J3" s="216" t="s">
        <v>117</v>
      </c>
      <c r="K3" s="217" t="s">
        <v>118</v>
      </c>
      <c r="L3" s="218" t="s">
        <v>114</v>
      </c>
      <c r="M3" s="219" t="s">
        <v>116</v>
      </c>
    </row>
    <row r="4" spans="2:17" ht="15" outlineLevel="1" thickBot="1">
      <c r="B4" s="115" t="s">
        <v>92</v>
      </c>
      <c r="C4" s="220">
        <f>'Юнит 6'!AL3</f>
        <v>9916.5357174603178</v>
      </c>
      <c r="D4" s="221">
        <f t="shared" ref="D4:D16" si="0">C4/C$17</f>
        <v>0.38321324356782643</v>
      </c>
      <c r="E4" s="221">
        <f>D4</f>
        <v>0.38321324356782643</v>
      </c>
      <c r="F4" s="222" t="str">
        <f>IF(AND(E4&lt;=0),"C",IF(E4&lt;=0.8,"A",IF(E4&lt;=0.95,"B","C")))</f>
        <v>A</v>
      </c>
      <c r="G4" s="222" t="str">
        <f>VLOOKUP(B$4:B$16,I$4:M$16,5,0)</f>
        <v>A</v>
      </c>
      <c r="I4" s="115" t="s">
        <v>92</v>
      </c>
      <c r="J4" s="220">
        <f>'Юнит 6'!S3</f>
        <v>32</v>
      </c>
      <c r="K4" s="221">
        <f t="shared" ref="K4:K16" si="1">J4/J$17</f>
        <v>0.27350427350427353</v>
      </c>
      <c r="L4" s="221">
        <f>K4</f>
        <v>0.27350427350427353</v>
      </c>
      <c r="M4" s="222" t="str">
        <f>_xlfn.IFS(L4&lt;80%,"A",L4&lt;=95%,"B",L4&gt;95%,"C")</f>
        <v>A</v>
      </c>
      <c r="P4" s="223" t="s">
        <v>119</v>
      </c>
      <c r="Q4" s="224">
        <v>0.8</v>
      </c>
    </row>
    <row r="5" spans="2:17" ht="15" outlineLevel="1" thickBot="1">
      <c r="B5" s="115" t="s">
        <v>98</v>
      </c>
      <c r="C5" s="220">
        <f>'Юнит 6'!AL8</f>
        <v>6651.998599999999</v>
      </c>
      <c r="D5" s="221">
        <f t="shared" si="0"/>
        <v>0.25705891980263929</v>
      </c>
      <c r="E5" s="221">
        <f>E4+D5</f>
        <v>0.64027216337046577</v>
      </c>
      <c r="F5" s="222" t="str">
        <f t="shared" ref="F5:F16" si="2">IF(AND(E5&lt;=0),"C",IF(E5&lt;=0.8,"A",IF(E5&lt;=0.95,"B","C")))</f>
        <v>A</v>
      </c>
      <c r="G5" s="222" t="str">
        <f t="shared" ref="G5:G16" si="3">VLOOKUP(B$4:B$16,I$4:M$16,5,0)</f>
        <v>A</v>
      </c>
      <c r="I5" s="115" t="s">
        <v>94</v>
      </c>
      <c r="J5" s="220">
        <f>'Юнит 6'!S4</f>
        <v>29</v>
      </c>
      <c r="K5" s="221">
        <f t="shared" si="1"/>
        <v>0.24786324786324787</v>
      </c>
      <c r="L5" s="221">
        <f>L4+K5</f>
        <v>0.5213675213675214</v>
      </c>
      <c r="M5" s="222" t="str">
        <f t="shared" ref="M5:M16" si="4">_xlfn.IFS(L5&lt;80%,"A",L5&lt;=95%,"B",L5&gt;95%,"C")</f>
        <v>A</v>
      </c>
      <c r="P5" s="225" t="s">
        <v>120</v>
      </c>
      <c r="Q5" s="224">
        <v>0.15</v>
      </c>
    </row>
    <row r="6" spans="2:17" ht="15" outlineLevel="1" thickBot="1">
      <c r="B6" s="115" t="s">
        <v>99</v>
      </c>
      <c r="C6" s="220">
        <f>'Юнит 6'!AL9</f>
        <v>6205.3623206349193</v>
      </c>
      <c r="D6" s="221">
        <f t="shared" si="0"/>
        <v>0.23979916879814311</v>
      </c>
      <c r="E6" s="221">
        <f t="shared" ref="E6:E16" si="5">E5+D6</f>
        <v>0.88007133216860889</v>
      </c>
      <c r="F6" s="222" t="str">
        <f t="shared" si="2"/>
        <v>B</v>
      </c>
      <c r="G6" s="222" t="str">
        <f t="shared" si="3"/>
        <v>B</v>
      </c>
      <c r="I6" s="115" t="s">
        <v>98</v>
      </c>
      <c r="J6" s="220">
        <f>'Юнит 6'!S8</f>
        <v>21</v>
      </c>
      <c r="K6" s="221">
        <f t="shared" si="1"/>
        <v>0.17948717948717949</v>
      </c>
      <c r="L6" s="221">
        <f t="shared" ref="L6:L16" si="6">L5+K6</f>
        <v>0.70085470085470092</v>
      </c>
      <c r="M6" s="222" t="str">
        <f t="shared" si="4"/>
        <v>A</v>
      </c>
      <c r="P6" s="226" t="s">
        <v>121</v>
      </c>
      <c r="Q6" s="224">
        <v>0.05</v>
      </c>
    </row>
    <row r="7" spans="2:17" outlineLevel="1">
      <c r="B7" s="115" t="s">
        <v>94</v>
      </c>
      <c r="C7" s="220">
        <f>'Юнит 6'!AL4</f>
        <v>2677.6761269841281</v>
      </c>
      <c r="D7" s="221">
        <f t="shared" si="0"/>
        <v>0.10347574829373159</v>
      </c>
      <c r="E7" s="221">
        <f t="shared" si="5"/>
        <v>0.98354708046234052</v>
      </c>
      <c r="F7" s="222" t="str">
        <f t="shared" si="2"/>
        <v>C</v>
      </c>
      <c r="G7" s="222" t="str">
        <f t="shared" si="3"/>
        <v>A</v>
      </c>
      <c r="I7" s="115" t="s">
        <v>99</v>
      </c>
      <c r="J7" s="220">
        <f>'Юнит 6'!S9</f>
        <v>14</v>
      </c>
      <c r="K7" s="221">
        <f t="shared" si="1"/>
        <v>0.11965811965811966</v>
      </c>
      <c r="L7" s="221">
        <f t="shared" si="6"/>
        <v>0.8205128205128206</v>
      </c>
      <c r="M7" s="222" t="str">
        <f t="shared" si="4"/>
        <v>B</v>
      </c>
    </row>
    <row r="8" spans="2:17" outlineLevel="1">
      <c r="B8" s="115" t="s">
        <v>104</v>
      </c>
      <c r="C8" s="220">
        <f>'Юнит 6'!AL14</f>
        <v>984.50230158730176</v>
      </c>
      <c r="D8" s="221">
        <f t="shared" si="0"/>
        <v>3.8044971655472694E-2</v>
      </c>
      <c r="E8" s="221">
        <f t="shared" si="5"/>
        <v>1.0215920521178132</v>
      </c>
      <c r="F8" s="222" t="str">
        <f t="shared" si="2"/>
        <v>C</v>
      </c>
      <c r="G8" s="222" t="str">
        <f t="shared" si="3"/>
        <v>C</v>
      </c>
      <c r="I8" s="115" t="s">
        <v>97</v>
      </c>
      <c r="J8" s="220">
        <f>'Юнит 6'!S7</f>
        <v>6</v>
      </c>
      <c r="K8" s="221">
        <f t="shared" si="1"/>
        <v>5.128205128205128E-2</v>
      </c>
      <c r="L8" s="221">
        <f t="shared" si="6"/>
        <v>0.87179487179487192</v>
      </c>
      <c r="M8" s="222" t="str">
        <f t="shared" si="4"/>
        <v>B</v>
      </c>
    </row>
    <row r="9" spans="2:17" outlineLevel="1">
      <c r="B9" s="115" t="s">
        <v>101</v>
      </c>
      <c r="C9" s="220">
        <f>'Юнит 6'!AL11</f>
        <v>468.75573015873022</v>
      </c>
      <c r="D9" s="221">
        <f t="shared" si="0"/>
        <v>1.811453202138387E-2</v>
      </c>
      <c r="E9" s="221">
        <f t="shared" si="5"/>
        <v>1.039706584139197</v>
      </c>
      <c r="F9" s="222" t="str">
        <f t="shared" si="2"/>
        <v>C</v>
      </c>
      <c r="G9" s="222" t="str">
        <f t="shared" si="3"/>
        <v>C</v>
      </c>
      <c r="I9" s="115" t="s">
        <v>96</v>
      </c>
      <c r="J9" s="220">
        <f>'Юнит 6'!S6</f>
        <v>5</v>
      </c>
      <c r="K9" s="221">
        <f t="shared" si="1"/>
        <v>4.2735042735042736E-2</v>
      </c>
      <c r="L9" s="221">
        <f t="shared" si="6"/>
        <v>0.91452991452991461</v>
      </c>
      <c r="M9" s="222" t="str">
        <f t="shared" si="4"/>
        <v>B</v>
      </c>
    </row>
    <row r="10" spans="2:17" outlineLevel="1">
      <c r="B10" s="115" t="s">
        <v>103</v>
      </c>
      <c r="C10" s="220">
        <f>'Юнит 6'!AL13</f>
        <v>444.23552380952395</v>
      </c>
      <c r="D10" s="221">
        <f t="shared" si="0"/>
        <v>1.7166976536711221E-2</v>
      </c>
      <c r="E10" s="221">
        <f t="shared" si="5"/>
        <v>1.0568735606759083</v>
      </c>
      <c r="F10" s="222" t="str">
        <f t="shared" si="2"/>
        <v>C</v>
      </c>
      <c r="G10" s="222" t="str">
        <f t="shared" si="3"/>
        <v>C</v>
      </c>
      <c r="I10" s="115" t="s">
        <v>95</v>
      </c>
      <c r="J10" s="220">
        <f>'Юнит 6'!S5</f>
        <v>4</v>
      </c>
      <c r="K10" s="221">
        <f t="shared" si="1"/>
        <v>3.4188034188034191E-2</v>
      </c>
      <c r="L10" s="221">
        <f t="shared" si="6"/>
        <v>0.94871794871794879</v>
      </c>
      <c r="M10" s="222" t="str">
        <f t="shared" si="4"/>
        <v>B</v>
      </c>
    </row>
    <row r="11" spans="2:17" outlineLevel="1">
      <c r="B11" s="115" t="s">
        <v>97</v>
      </c>
      <c r="C11" s="220">
        <f>'Юнит 6'!AL7</f>
        <v>342.73976190476191</v>
      </c>
      <c r="D11" s="221">
        <f t="shared" si="0"/>
        <v>1.3244788260877249E-2</v>
      </c>
      <c r="E11" s="221">
        <f t="shared" si="5"/>
        <v>1.0701183489367856</v>
      </c>
      <c r="F11" s="222" t="str">
        <f t="shared" si="2"/>
        <v>C</v>
      </c>
      <c r="G11" s="222" t="str">
        <f t="shared" si="3"/>
        <v>B</v>
      </c>
      <c r="I11" s="115" t="s">
        <v>100</v>
      </c>
      <c r="J11" s="220">
        <f>'Юнит 6'!S10</f>
        <v>2</v>
      </c>
      <c r="K11" s="221">
        <f t="shared" si="1"/>
        <v>1.7094017094017096E-2</v>
      </c>
      <c r="L11" s="221">
        <f t="shared" si="6"/>
        <v>0.96581196581196593</v>
      </c>
      <c r="M11" s="222" t="str">
        <f t="shared" si="4"/>
        <v>C</v>
      </c>
    </row>
    <row r="12" spans="2:17" outlineLevel="1">
      <c r="B12" s="115" t="s">
        <v>95</v>
      </c>
      <c r="C12" s="220">
        <f>'Юнит 6'!AL5</f>
        <v>262.77695238095242</v>
      </c>
      <c r="D12" s="221">
        <f t="shared" si="0"/>
        <v>1.0154716437865341E-2</v>
      </c>
      <c r="E12" s="221">
        <f t="shared" si="5"/>
        <v>1.0802730653746508</v>
      </c>
      <c r="F12" s="222" t="str">
        <f t="shared" si="2"/>
        <v>C</v>
      </c>
      <c r="G12" s="222" t="str">
        <f t="shared" si="3"/>
        <v>B</v>
      </c>
      <c r="I12" s="115" t="s">
        <v>104</v>
      </c>
      <c r="J12" s="220">
        <f>'Юнит 6'!S14</f>
        <v>2</v>
      </c>
      <c r="K12" s="221">
        <f t="shared" si="1"/>
        <v>1.7094017094017096E-2</v>
      </c>
      <c r="L12" s="221">
        <f t="shared" si="6"/>
        <v>0.98290598290598308</v>
      </c>
      <c r="M12" s="222" t="str">
        <f t="shared" si="4"/>
        <v>C</v>
      </c>
    </row>
    <row r="13" spans="2:17" outlineLevel="1">
      <c r="B13" s="115" t="s">
        <v>105</v>
      </c>
      <c r="C13" s="220">
        <f>'Юнит 6'!AL15</f>
        <v>-21.357206349206351</v>
      </c>
      <c r="D13" s="221">
        <f t="shared" si="0"/>
        <v>-8.2532494732170491E-4</v>
      </c>
      <c r="E13" s="221">
        <f t="shared" si="5"/>
        <v>1.079447740427329</v>
      </c>
      <c r="F13" s="222" t="str">
        <f t="shared" si="2"/>
        <v>C</v>
      </c>
      <c r="G13" s="222" t="str">
        <f t="shared" si="3"/>
        <v>C</v>
      </c>
      <c r="I13" s="115" t="s">
        <v>101</v>
      </c>
      <c r="J13" s="220">
        <f>'Юнит 6'!S11</f>
        <v>1</v>
      </c>
      <c r="K13" s="221">
        <f t="shared" si="1"/>
        <v>8.5470085470085479E-3</v>
      </c>
      <c r="L13" s="221">
        <f t="shared" si="6"/>
        <v>0.99145299145299159</v>
      </c>
      <c r="M13" s="222" t="str">
        <f t="shared" si="4"/>
        <v>C</v>
      </c>
    </row>
    <row r="14" spans="2:17" outlineLevel="1">
      <c r="B14" s="115" t="s">
        <v>102</v>
      </c>
      <c r="C14" s="220">
        <f>'Юнит 6'!AL12</f>
        <v>-133.91392063492063</v>
      </c>
      <c r="D14" s="221">
        <f t="shared" si="0"/>
        <v>-5.1749511470055142E-3</v>
      </c>
      <c r="E14" s="221">
        <f t="shared" si="5"/>
        <v>1.0742727892803234</v>
      </c>
      <c r="F14" s="222" t="str">
        <f t="shared" si="2"/>
        <v>C</v>
      </c>
      <c r="G14" s="222" t="str">
        <f t="shared" si="3"/>
        <v>C</v>
      </c>
      <c r="I14" s="115" t="s">
        <v>103</v>
      </c>
      <c r="J14" s="220">
        <f>'Юнит 6'!S13</f>
        <v>1</v>
      </c>
      <c r="K14" s="221">
        <f t="shared" si="1"/>
        <v>8.5470085470085479E-3</v>
      </c>
      <c r="L14" s="221">
        <f t="shared" si="6"/>
        <v>1.0000000000000002</v>
      </c>
      <c r="M14" s="222" t="str">
        <f t="shared" si="4"/>
        <v>C</v>
      </c>
    </row>
    <row r="15" spans="2:17" outlineLevel="1">
      <c r="B15" s="115" t="s">
        <v>96</v>
      </c>
      <c r="C15" s="220">
        <f>'Юнит 6'!AL6</f>
        <v>-248.98430158730116</v>
      </c>
      <c r="D15" s="221">
        <f t="shared" si="0"/>
        <v>-9.6217151359361715E-3</v>
      </c>
      <c r="E15" s="221">
        <f t="shared" si="5"/>
        <v>1.0646510741443873</v>
      </c>
      <c r="F15" s="222" t="str">
        <f t="shared" si="2"/>
        <v>C</v>
      </c>
      <c r="G15" s="222" t="str">
        <f t="shared" si="3"/>
        <v>B</v>
      </c>
      <c r="I15" s="115" t="s">
        <v>102</v>
      </c>
      <c r="J15" s="220">
        <f>'Юнит 6'!S12</f>
        <v>0</v>
      </c>
      <c r="K15" s="221">
        <f t="shared" si="1"/>
        <v>0</v>
      </c>
      <c r="L15" s="221">
        <f t="shared" si="6"/>
        <v>1.0000000000000002</v>
      </c>
      <c r="M15" s="222" t="str">
        <f t="shared" si="4"/>
        <v>C</v>
      </c>
    </row>
    <row r="16" spans="2:17" outlineLevel="1">
      <c r="B16" s="115" t="s">
        <v>100</v>
      </c>
      <c r="C16" s="220">
        <f>'Юнит 6'!AL10</f>
        <v>-1672.997206349206</v>
      </c>
      <c r="D16" s="221">
        <f t="shared" si="0"/>
        <v>-6.4651074144387255E-2</v>
      </c>
      <c r="E16" s="221">
        <f t="shared" si="5"/>
        <v>1</v>
      </c>
      <c r="F16" s="222" t="str">
        <f t="shared" si="2"/>
        <v>C</v>
      </c>
      <c r="G16" s="222" t="str">
        <f t="shared" si="3"/>
        <v>C</v>
      </c>
      <c r="I16" s="115" t="s">
        <v>105</v>
      </c>
      <c r="J16" s="220">
        <f>'Юнит 6'!S15</f>
        <v>0</v>
      </c>
      <c r="K16" s="221">
        <f t="shared" si="1"/>
        <v>0</v>
      </c>
      <c r="L16" s="221">
        <f t="shared" si="6"/>
        <v>1.0000000000000002</v>
      </c>
      <c r="M16" s="222" t="str">
        <f t="shared" si="4"/>
        <v>C</v>
      </c>
    </row>
    <row r="17" spans="2:16" outlineLevel="1">
      <c r="C17" s="227">
        <f>SUM(C4:C16)</f>
        <v>25877.330399999995</v>
      </c>
      <c r="D17" s="228">
        <f>SUM(D4:D16)</f>
        <v>1</v>
      </c>
      <c r="J17" s="227">
        <f>SUM(J4:J16)</f>
        <v>117</v>
      </c>
      <c r="K17" s="228">
        <f>SUM(K4:K16)</f>
        <v>1.0000000000000002</v>
      </c>
    </row>
    <row r="19" spans="2:16" ht="16" hidden="1" outlineLevel="1" thickBot="1">
      <c r="B19" s="340"/>
      <c r="C19" s="341"/>
      <c r="D19" s="341"/>
      <c r="E19" s="341"/>
      <c r="F19" s="341"/>
      <c r="G19" s="341"/>
      <c r="H19" s="341"/>
      <c r="I19" s="341"/>
      <c r="J19" s="341"/>
      <c r="K19" s="341"/>
      <c r="L19" s="341"/>
      <c r="M19" s="342"/>
      <c r="O19" s="229"/>
      <c r="P19" s="229"/>
    </row>
    <row r="20" spans="2:16" ht="23.5" hidden="1" outlineLevel="1" thickBot="1">
      <c r="C20" s="216" t="s">
        <v>11</v>
      </c>
      <c r="D20" s="217" t="s">
        <v>113</v>
      </c>
      <c r="E20" s="218" t="s">
        <v>114</v>
      </c>
      <c r="F20" s="230" t="s">
        <v>115</v>
      </c>
      <c r="G20" s="217" t="s">
        <v>116</v>
      </c>
      <c r="J20" s="216" t="s">
        <v>117</v>
      </c>
      <c r="K20" s="217" t="s">
        <v>118</v>
      </c>
      <c r="L20" s="218" t="s">
        <v>114</v>
      </c>
      <c r="M20" s="219" t="s">
        <v>116</v>
      </c>
    </row>
    <row r="21" spans="2:16" ht="15" hidden="1" outlineLevel="1" thickBot="1">
      <c r="B21" s="231"/>
      <c r="C21" s="220"/>
      <c r="D21" s="221" t="e">
        <f>C21/C$73</f>
        <v>#DIV/0!</v>
      </c>
      <c r="E21" s="221" t="e">
        <f>D21</f>
        <v>#DIV/0!</v>
      </c>
      <c r="F21" s="222" t="e">
        <f t="shared" ref="F21:F72" si="7">IF(AND(E21&lt;=0),"C",IF(E21&lt;=0.8,"A",IF(E21&lt;=0.95,"B","C")))</f>
        <v>#DIV/0!</v>
      </c>
      <c r="G21" s="222" t="e">
        <f>VLOOKUP(B21:B72,I$21:M$72,5,0)</f>
        <v>#N/A</v>
      </c>
      <c r="I21" s="231"/>
      <c r="J21" s="220"/>
      <c r="K21" s="221" t="e">
        <f t="shared" ref="K21:K72" si="8">J21/J$73</f>
        <v>#DIV/0!</v>
      </c>
      <c r="L21" s="221" t="e">
        <f>K21</f>
        <v>#DIV/0!</v>
      </c>
      <c r="M21" s="222" t="e">
        <f>_xlfn.IFS(L21&lt;80%,"A",L21&lt;=95%,"B",L21&gt;95%,"C")</f>
        <v>#DIV/0!</v>
      </c>
    </row>
    <row r="22" spans="2:16" ht="15" hidden="1" outlineLevel="1" thickBot="1">
      <c r="B22" s="231"/>
      <c r="C22" s="220"/>
      <c r="D22" s="221" t="e">
        <f t="shared" ref="D22:D72" si="9">C22/C$73</f>
        <v>#DIV/0!</v>
      </c>
      <c r="E22" s="221" t="e">
        <f t="shared" ref="E22:E72" si="10">D22+E21</f>
        <v>#DIV/0!</v>
      </c>
      <c r="F22" s="222" t="e">
        <f t="shared" si="7"/>
        <v>#DIV/0!</v>
      </c>
      <c r="G22" s="222" t="e">
        <f t="shared" ref="G22:G72" si="11">VLOOKUP(B22:B73,I$21:M$72,5,0)</f>
        <v>#N/A</v>
      </c>
      <c r="I22" s="231"/>
      <c r="J22" s="220"/>
      <c r="K22" s="221" t="e">
        <f t="shared" si="8"/>
        <v>#DIV/0!</v>
      </c>
      <c r="L22" s="221" t="e">
        <f>K22+L21</f>
        <v>#DIV/0!</v>
      </c>
      <c r="M22" s="222" t="e">
        <f t="shared" ref="M22:M72" si="12">_xlfn.IFS(L22&lt;80%,"A",L22&lt;=95%,"B",L22&gt;95%,"C")</f>
        <v>#DIV/0!</v>
      </c>
    </row>
    <row r="23" spans="2:16" ht="15" hidden="1" outlineLevel="1" thickBot="1">
      <c r="B23" s="231"/>
      <c r="C23" s="220"/>
      <c r="D23" s="221" t="e">
        <f t="shared" si="9"/>
        <v>#DIV/0!</v>
      </c>
      <c r="E23" s="221" t="e">
        <f t="shared" si="10"/>
        <v>#DIV/0!</v>
      </c>
      <c r="F23" s="222" t="e">
        <f t="shared" si="7"/>
        <v>#DIV/0!</v>
      </c>
      <c r="G23" s="222" t="e">
        <f t="shared" si="11"/>
        <v>#N/A</v>
      </c>
      <c r="I23" s="231"/>
      <c r="J23" s="220"/>
      <c r="K23" s="221" t="e">
        <f t="shared" si="8"/>
        <v>#DIV/0!</v>
      </c>
      <c r="L23" s="221" t="e">
        <f t="shared" ref="L23:L72" si="13">K23+L22</f>
        <v>#DIV/0!</v>
      </c>
      <c r="M23" s="222" t="e">
        <f t="shared" si="12"/>
        <v>#DIV/0!</v>
      </c>
    </row>
    <row r="24" spans="2:16" ht="15" hidden="1" outlineLevel="1" thickBot="1">
      <c r="B24" s="231"/>
      <c r="C24" s="220"/>
      <c r="D24" s="221" t="e">
        <f t="shared" si="9"/>
        <v>#DIV/0!</v>
      </c>
      <c r="E24" s="221" t="e">
        <f t="shared" si="10"/>
        <v>#DIV/0!</v>
      </c>
      <c r="F24" s="222" t="e">
        <f t="shared" si="7"/>
        <v>#DIV/0!</v>
      </c>
      <c r="G24" s="222" t="e">
        <f t="shared" si="11"/>
        <v>#N/A</v>
      </c>
      <c r="I24" s="231"/>
      <c r="J24" s="220"/>
      <c r="K24" s="221" t="e">
        <f t="shared" si="8"/>
        <v>#DIV/0!</v>
      </c>
      <c r="L24" s="221" t="e">
        <f t="shared" si="13"/>
        <v>#DIV/0!</v>
      </c>
      <c r="M24" s="222" t="e">
        <f t="shared" si="12"/>
        <v>#DIV/0!</v>
      </c>
    </row>
    <row r="25" spans="2:16" ht="15" hidden="1" outlineLevel="1" thickBot="1">
      <c r="B25" s="231"/>
      <c r="C25" s="220"/>
      <c r="D25" s="221" t="e">
        <f t="shared" si="9"/>
        <v>#DIV/0!</v>
      </c>
      <c r="E25" s="221" t="e">
        <f t="shared" si="10"/>
        <v>#DIV/0!</v>
      </c>
      <c r="F25" s="222" t="e">
        <f t="shared" si="7"/>
        <v>#DIV/0!</v>
      </c>
      <c r="G25" s="222" t="e">
        <f t="shared" si="11"/>
        <v>#N/A</v>
      </c>
      <c r="I25" s="231"/>
      <c r="J25" s="220"/>
      <c r="K25" s="221" t="e">
        <f t="shared" si="8"/>
        <v>#DIV/0!</v>
      </c>
      <c r="L25" s="221" t="e">
        <f t="shared" si="13"/>
        <v>#DIV/0!</v>
      </c>
      <c r="M25" s="222" t="e">
        <f t="shared" si="12"/>
        <v>#DIV/0!</v>
      </c>
    </row>
    <row r="26" spans="2:16" ht="15" hidden="1" outlineLevel="1" thickBot="1">
      <c r="B26" s="231"/>
      <c r="C26" s="220"/>
      <c r="D26" s="221" t="e">
        <f t="shared" si="9"/>
        <v>#DIV/0!</v>
      </c>
      <c r="E26" s="221" t="e">
        <f t="shared" si="10"/>
        <v>#DIV/0!</v>
      </c>
      <c r="F26" s="222" t="e">
        <f t="shared" si="7"/>
        <v>#DIV/0!</v>
      </c>
      <c r="G26" s="222" t="e">
        <f t="shared" si="11"/>
        <v>#N/A</v>
      </c>
      <c r="I26" s="231"/>
      <c r="J26" s="220"/>
      <c r="K26" s="221" t="e">
        <f t="shared" si="8"/>
        <v>#DIV/0!</v>
      </c>
      <c r="L26" s="221" t="e">
        <f t="shared" si="13"/>
        <v>#DIV/0!</v>
      </c>
      <c r="M26" s="222" t="e">
        <f t="shared" si="12"/>
        <v>#DIV/0!</v>
      </c>
    </row>
    <row r="27" spans="2:16" ht="15" hidden="1" outlineLevel="1" thickBot="1">
      <c r="B27" s="231"/>
      <c r="C27" s="220"/>
      <c r="D27" s="221" t="e">
        <f t="shared" si="9"/>
        <v>#DIV/0!</v>
      </c>
      <c r="E27" s="221" t="e">
        <f t="shared" si="10"/>
        <v>#DIV/0!</v>
      </c>
      <c r="F27" s="222" t="e">
        <f t="shared" si="7"/>
        <v>#DIV/0!</v>
      </c>
      <c r="G27" s="222" t="e">
        <f t="shared" si="11"/>
        <v>#N/A</v>
      </c>
      <c r="I27" s="231"/>
      <c r="J27" s="220"/>
      <c r="K27" s="221" t="e">
        <f t="shared" si="8"/>
        <v>#DIV/0!</v>
      </c>
      <c r="L27" s="221" t="e">
        <f t="shared" si="13"/>
        <v>#DIV/0!</v>
      </c>
      <c r="M27" s="222" t="e">
        <f t="shared" si="12"/>
        <v>#DIV/0!</v>
      </c>
    </row>
    <row r="28" spans="2:16" ht="15" hidden="1" outlineLevel="1" thickBot="1">
      <c r="B28" s="231"/>
      <c r="C28" s="220"/>
      <c r="D28" s="221" t="e">
        <f t="shared" si="9"/>
        <v>#DIV/0!</v>
      </c>
      <c r="E28" s="221" t="e">
        <f t="shared" si="10"/>
        <v>#DIV/0!</v>
      </c>
      <c r="F28" s="222" t="e">
        <f t="shared" si="7"/>
        <v>#DIV/0!</v>
      </c>
      <c r="G28" s="222" t="e">
        <f t="shared" si="11"/>
        <v>#N/A</v>
      </c>
      <c r="I28" s="231"/>
      <c r="J28" s="220"/>
      <c r="K28" s="221" t="e">
        <f t="shared" si="8"/>
        <v>#DIV/0!</v>
      </c>
      <c r="L28" s="221" t="e">
        <f t="shared" si="13"/>
        <v>#DIV/0!</v>
      </c>
      <c r="M28" s="222" t="e">
        <f t="shared" si="12"/>
        <v>#DIV/0!</v>
      </c>
    </row>
    <row r="29" spans="2:16" ht="15" hidden="1" outlineLevel="1" thickBot="1">
      <c r="B29" s="231"/>
      <c r="C29" s="220"/>
      <c r="D29" s="221" t="e">
        <f t="shared" si="9"/>
        <v>#DIV/0!</v>
      </c>
      <c r="E29" s="221" t="e">
        <f t="shared" si="10"/>
        <v>#DIV/0!</v>
      </c>
      <c r="F29" s="222" t="e">
        <f t="shared" si="7"/>
        <v>#DIV/0!</v>
      </c>
      <c r="G29" s="222" t="e">
        <f t="shared" si="11"/>
        <v>#N/A</v>
      </c>
      <c r="I29" s="231"/>
      <c r="J29" s="220"/>
      <c r="K29" s="221" t="e">
        <f t="shared" si="8"/>
        <v>#DIV/0!</v>
      </c>
      <c r="L29" s="221" t="e">
        <f t="shared" si="13"/>
        <v>#DIV/0!</v>
      </c>
      <c r="M29" s="222" t="e">
        <f t="shared" si="12"/>
        <v>#DIV/0!</v>
      </c>
    </row>
    <row r="30" spans="2:16" ht="15" hidden="1" outlineLevel="1" thickBot="1">
      <c r="B30" s="231"/>
      <c r="C30" s="220"/>
      <c r="D30" s="221" t="e">
        <f t="shared" si="9"/>
        <v>#DIV/0!</v>
      </c>
      <c r="E30" s="221" t="e">
        <f t="shared" si="10"/>
        <v>#DIV/0!</v>
      </c>
      <c r="F30" s="222" t="e">
        <f t="shared" si="7"/>
        <v>#DIV/0!</v>
      </c>
      <c r="G30" s="222" t="e">
        <f t="shared" si="11"/>
        <v>#N/A</v>
      </c>
      <c r="I30" s="231"/>
      <c r="J30" s="220"/>
      <c r="K30" s="221" t="e">
        <f t="shared" si="8"/>
        <v>#DIV/0!</v>
      </c>
      <c r="L30" s="221" t="e">
        <f t="shared" si="13"/>
        <v>#DIV/0!</v>
      </c>
      <c r="M30" s="222" t="e">
        <f t="shared" si="12"/>
        <v>#DIV/0!</v>
      </c>
    </row>
    <row r="31" spans="2:16" ht="15" hidden="1" outlineLevel="1" thickBot="1">
      <c r="B31" s="231"/>
      <c r="C31" s="220"/>
      <c r="D31" s="221" t="e">
        <f t="shared" si="9"/>
        <v>#DIV/0!</v>
      </c>
      <c r="E31" s="221" t="e">
        <f t="shared" si="10"/>
        <v>#DIV/0!</v>
      </c>
      <c r="F31" s="222" t="e">
        <f t="shared" si="7"/>
        <v>#DIV/0!</v>
      </c>
      <c r="G31" s="222" t="e">
        <f t="shared" si="11"/>
        <v>#N/A</v>
      </c>
      <c r="I31" s="231"/>
      <c r="J31" s="220"/>
      <c r="K31" s="221" t="e">
        <f t="shared" si="8"/>
        <v>#DIV/0!</v>
      </c>
      <c r="L31" s="221" t="e">
        <f t="shared" si="13"/>
        <v>#DIV/0!</v>
      </c>
      <c r="M31" s="222" t="e">
        <f t="shared" si="12"/>
        <v>#DIV/0!</v>
      </c>
    </row>
    <row r="32" spans="2:16" ht="15" hidden="1" outlineLevel="1" thickBot="1">
      <c r="B32" s="231"/>
      <c r="C32" s="220"/>
      <c r="D32" s="221" t="e">
        <f t="shared" si="9"/>
        <v>#DIV/0!</v>
      </c>
      <c r="E32" s="221" t="e">
        <f t="shared" si="10"/>
        <v>#DIV/0!</v>
      </c>
      <c r="F32" s="222" t="e">
        <f t="shared" si="7"/>
        <v>#DIV/0!</v>
      </c>
      <c r="G32" s="222" t="e">
        <f t="shared" si="11"/>
        <v>#N/A</v>
      </c>
      <c r="I32" s="231"/>
      <c r="J32" s="220"/>
      <c r="K32" s="221" t="e">
        <f t="shared" si="8"/>
        <v>#DIV/0!</v>
      </c>
      <c r="L32" s="221" t="e">
        <f t="shared" si="13"/>
        <v>#DIV/0!</v>
      </c>
      <c r="M32" s="222" t="e">
        <f t="shared" si="12"/>
        <v>#DIV/0!</v>
      </c>
    </row>
    <row r="33" spans="2:13" ht="15" hidden="1" outlineLevel="1" thickBot="1">
      <c r="B33" s="231"/>
      <c r="C33" s="220"/>
      <c r="D33" s="221" t="e">
        <f t="shared" si="9"/>
        <v>#DIV/0!</v>
      </c>
      <c r="E33" s="221" t="e">
        <f t="shared" si="10"/>
        <v>#DIV/0!</v>
      </c>
      <c r="F33" s="222" t="e">
        <f t="shared" si="7"/>
        <v>#DIV/0!</v>
      </c>
      <c r="G33" s="222" t="e">
        <f t="shared" si="11"/>
        <v>#N/A</v>
      </c>
      <c r="I33" s="231"/>
      <c r="J33" s="220"/>
      <c r="K33" s="221" t="e">
        <f t="shared" si="8"/>
        <v>#DIV/0!</v>
      </c>
      <c r="L33" s="221" t="e">
        <f t="shared" si="13"/>
        <v>#DIV/0!</v>
      </c>
      <c r="M33" s="222" t="e">
        <f t="shared" si="12"/>
        <v>#DIV/0!</v>
      </c>
    </row>
    <row r="34" spans="2:13" ht="15" hidden="1" outlineLevel="1" thickBot="1">
      <c r="B34" s="231"/>
      <c r="C34" s="220"/>
      <c r="D34" s="221" t="e">
        <f t="shared" si="9"/>
        <v>#DIV/0!</v>
      </c>
      <c r="E34" s="221" t="e">
        <f t="shared" si="10"/>
        <v>#DIV/0!</v>
      </c>
      <c r="F34" s="222" t="e">
        <f t="shared" si="7"/>
        <v>#DIV/0!</v>
      </c>
      <c r="G34" s="222" t="e">
        <f t="shared" si="11"/>
        <v>#N/A</v>
      </c>
      <c r="I34" s="231"/>
      <c r="J34" s="220"/>
      <c r="K34" s="221" t="e">
        <f t="shared" si="8"/>
        <v>#DIV/0!</v>
      </c>
      <c r="L34" s="221" t="e">
        <f t="shared" si="13"/>
        <v>#DIV/0!</v>
      </c>
      <c r="M34" s="222" t="e">
        <f t="shared" si="12"/>
        <v>#DIV/0!</v>
      </c>
    </row>
    <row r="35" spans="2:13" ht="15" hidden="1" outlineLevel="1" thickBot="1">
      <c r="B35" s="231"/>
      <c r="C35" s="220"/>
      <c r="D35" s="221" t="e">
        <f t="shared" si="9"/>
        <v>#DIV/0!</v>
      </c>
      <c r="E35" s="221" t="e">
        <f t="shared" si="10"/>
        <v>#DIV/0!</v>
      </c>
      <c r="F35" s="222" t="e">
        <f t="shared" si="7"/>
        <v>#DIV/0!</v>
      </c>
      <c r="G35" s="222" t="e">
        <f t="shared" si="11"/>
        <v>#N/A</v>
      </c>
      <c r="I35" s="231"/>
      <c r="J35" s="220"/>
      <c r="K35" s="221" t="e">
        <f t="shared" si="8"/>
        <v>#DIV/0!</v>
      </c>
      <c r="L35" s="221" t="e">
        <f t="shared" si="13"/>
        <v>#DIV/0!</v>
      </c>
      <c r="M35" s="222" t="e">
        <f t="shared" si="12"/>
        <v>#DIV/0!</v>
      </c>
    </row>
    <row r="36" spans="2:13" ht="15" hidden="1" outlineLevel="1" thickBot="1">
      <c r="B36" s="231"/>
      <c r="C36" s="220"/>
      <c r="D36" s="221" t="e">
        <f t="shared" si="9"/>
        <v>#DIV/0!</v>
      </c>
      <c r="E36" s="221" t="e">
        <f t="shared" si="10"/>
        <v>#DIV/0!</v>
      </c>
      <c r="F36" s="222" t="e">
        <f t="shared" si="7"/>
        <v>#DIV/0!</v>
      </c>
      <c r="G36" s="222" t="e">
        <f t="shared" si="11"/>
        <v>#N/A</v>
      </c>
      <c r="I36" s="231"/>
      <c r="J36" s="220"/>
      <c r="K36" s="221" t="e">
        <f t="shared" si="8"/>
        <v>#DIV/0!</v>
      </c>
      <c r="L36" s="221" t="e">
        <f t="shared" si="13"/>
        <v>#DIV/0!</v>
      </c>
      <c r="M36" s="222" t="e">
        <f t="shared" si="12"/>
        <v>#DIV/0!</v>
      </c>
    </row>
    <row r="37" spans="2:13" ht="15" hidden="1" outlineLevel="1" thickBot="1">
      <c r="B37" s="231"/>
      <c r="C37" s="220"/>
      <c r="D37" s="221" t="e">
        <f t="shared" si="9"/>
        <v>#DIV/0!</v>
      </c>
      <c r="E37" s="221" t="e">
        <f t="shared" si="10"/>
        <v>#DIV/0!</v>
      </c>
      <c r="F37" s="222" t="e">
        <f t="shared" si="7"/>
        <v>#DIV/0!</v>
      </c>
      <c r="G37" s="222" t="e">
        <f t="shared" si="11"/>
        <v>#N/A</v>
      </c>
      <c r="I37" s="231"/>
      <c r="J37" s="220"/>
      <c r="K37" s="221" t="e">
        <f t="shared" si="8"/>
        <v>#DIV/0!</v>
      </c>
      <c r="L37" s="221" t="e">
        <f t="shared" si="13"/>
        <v>#DIV/0!</v>
      </c>
      <c r="M37" s="222" t="e">
        <f t="shared" si="12"/>
        <v>#DIV/0!</v>
      </c>
    </row>
    <row r="38" spans="2:13" ht="15" hidden="1" outlineLevel="1" thickBot="1">
      <c r="B38" s="231"/>
      <c r="C38" s="220"/>
      <c r="D38" s="221" t="e">
        <f t="shared" si="9"/>
        <v>#DIV/0!</v>
      </c>
      <c r="E38" s="221" t="e">
        <f t="shared" si="10"/>
        <v>#DIV/0!</v>
      </c>
      <c r="F38" s="222" t="e">
        <f t="shared" si="7"/>
        <v>#DIV/0!</v>
      </c>
      <c r="G38" s="222" t="e">
        <f t="shared" si="11"/>
        <v>#N/A</v>
      </c>
      <c r="I38" s="231"/>
      <c r="J38" s="220"/>
      <c r="K38" s="221" t="e">
        <f t="shared" si="8"/>
        <v>#DIV/0!</v>
      </c>
      <c r="L38" s="221" t="e">
        <f t="shared" si="13"/>
        <v>#DIV/0!</v>
      </c>
      <c r="M38" s="222" t="e">
        <f t="shared" si="12"/>
        <v>#DIV/0!</v>
      </c>
    </row>
    <row r="39" spans="2:13" ht="15" hidden="1" outlineLevel="1" thickBot="1">
      <c r="B39" s="231"/>
      <c r="C39" s="220"/>
      <c r="D39" s="221" t="e">
        <f t="shared" si="9"/>
        <v>#DIV/0!</v>
      </c>
      <c r="E39" s="221" t="e">
        <f t="shared" si="10"/>
        <v>#DIV/0!</v>
      </c>
      <c r="F39" s="222" t="e">
        <f t="shared" si="7"/>
        <v>#DIV/0!</v>
      </c>
      <c r="G39" s="222" t="e">
        <f t="shared" si="11"/>
        <v>#N/A</v>
      </c>
      <c r="I39" s="231"/>
      <c r="J39" s="220"/>
      <c r="K39" s="221" t="e">
        <f t="shared" si="8"/>
        <v>#DIV/0!</v>
      </c>
      <c r="L39" s="221" t="e">
        <f t="shared" si="13"/>
        <v>#DIV/0!</v>
      </c>
      <c r="M39" s="222" t="e">
        <f t="shared" si="12"/>
        <v>#DIV/0!</v>
      </c>
    </row>
    <row r="40" spans="2:13" ht="15" hidden="1" outlineLevel="1" thickBot="1">
      <c r="B40" s="231"/>
      <c r="C40" s="220"/>
      <c r="D40" s="221" t="e">
        <f t="shared" si="9"/>
        <v>#DIV/0!</v>
      </c>
      <c r="E40" s="221" t="e">
        <f t="shared" si="10"/>
        <v>#DIV/0!</v>
      </c>
      <c r="F40" s="222" t="e">
        <f t="shared" si="7"/>
        <v>#DIV/0!</v>
      </c>
      <c r="G40" s="222" t="e">
        <f t="shared" si="11"/>
        <v>#N/A</v>
      </c>
      <c r="I40" s="231"/>
      <c r="J40" s="220"/>
      <c r="K40" s="221" t="e">
        <f t="shared" si="8"/>
        <v>#DIV/0!</v>
      </c>
      <c r="L40" s="221" t="e">
        <f t="shared" si="13"/>
        <v>#DIV/0!</v>
      </c>
      <c r="M40" s="222" t="e">
        <f t="shared" si="12"/>
        <v>#DIV/0!</v>
      </c>
    </row>
    <row r="41" spans="2:13" ht="15" hidden="1" outlineLevel="1" thickBot="1">
      <c r="B41" s="231"/>
      <c r="C41" s="220"/>
      <c r="D41" s="221" t="e">
        <f t="shared" si="9"/>
        <v>#DIV/0!</v>
      </c>
      <c r="E41" s="221" t="e">
        <f t="shared" si="10"/>
        <v>#DIV/0!</v>
      </c>
      <c r="F41" s="222" t="e">
        <f t="shared" si="7"/>
        <v>#DIV/0!</v>
      </c>
      <c r="G41" s="222" t="e">
        <f t="shared" si="11"/>
        <v>#N/A</v>
      </c>
      <c r="I41" s="231"/>
      <c r="J41" s="220"/>
      <c r="K41" s="221" t="e">
        <f t="shared" si="8"/>
        <v>#DIV/0!</v>
      </c>
      <c r="L41" s="221" t="e">
        <f t="shared" si="13"/>
        <v>#DIV/0!</v>
      </c>
      <c r="M41" s="222" t="e">
        <f t="shared" si="12"/>
        <v>#DIV/0!</v>
      </c>
    </row>
    <row r="42" spans="2:13" ht="15" hidden="1" outlineLevel="1" thickBot="1">
      <c r="B42" s="231"/>
      <c r="C42" s="220"/>
      <c r="D42" s="221" t="e">
        <f t="shared" si="9"/>
        <v>#DIV/0!</v>
      </c>
      <c r="E42" s="221" t="e">
        <f t="shared" si="10"/>
        <v>#DIV/0!</v>
      </c>
      <c r="F42" s="222" t="e">
        <f t="shared" si="7"/>
        <v>#DIV/0!</v>
      </c>
      <c r="G42" s="222" t="e">
        <f t="shared" si="11"/>
        <v>#N/A</v>
      </c>
      <c r="I42" s="231"/>
      <c r="J42" s="220"/>
      <c r="K42" s="221" t="e">
        <f t="shared" si="8"/>
        <v>#DIV/0!</v>
      </c>
      <c r="L42" s="221" t="e">
        <f t="shared" si="13"/>
        <v>#DIV/0!</v>
      </c>
      <c r="M42" s="222" t="e">
        <f t="shared" si="12"/>
        <v>#DIV/0!</v>
      </c>
    </row>
    <row r="43" spans="2:13" ht="15" hidden="1" outlineLevel="1" thickBot="1">
      <c r="B43" s="231"/>
      <c r="C43" s="220"/>
      <c r="D43" s="221" t="e">
        <f t="shared" si="9"/>
        <v>#DIV/0!</v>
      </c>
      <c r="E43" s="221" t="e">
        <f t="shared" si="10"/>
        <v>#DIV/0!</v>
      </c>
      <c r="F43" s="222" t="e">
        <f t="shared" si="7"/>
        <v>#DIV/0!</v>
      </c>
      <c r="G43" s="222" t="e">
        <f t="shared" si="11"/>
        <v>#N/A</v>
      </c>
      <c r="I43" s="231"/>
      <c r="J43" s="220"/>
      <c r="K43" s="221" t="e">
        <f t="shared" si="8"/>
        <v>#DIV/0!</v>
      </c>
      <c r="L43" s="221" t="e">
        <f t="shared" si="13"/>
        <v>#DIV/0!</v>
      </c>
      <c r="M43" s="222" t="e">
        <f t="shared" si="12"/>
        <v>#DIV/0!</v>
      </c>
    </row>
    <row r="44" spans="2:13" ht="15" hidden="1" outlineLevel="1" thickBot="1">
      <c r="B44" s="231"/>
      <c r="C44" s="220"/>
      <c r="D44" s="221" t="e">
        <f t="shared" si="9"/>
        <v>#DIV/0!</v>
      </c>
      <c r="E44" s="221" t="e">
        <f t="shared" si="10"/>
        <v>#DIV/0!</v>
      </c>
      <c r="F44" s="222" t="e">
        <f t="shared" si="7"/>
        <v>#DIV/0!</v>
      </c>
      <c r="G44" s="222" t="e">
        <f t="shared" si="11"/>
        <v>#N/A</v>
      </c>
      <c r="I44" s="231"/>
      <c r="J44" s="220"/>
      <c r="K44" s="221" t="e">
        <f t="shared" si="8"/>
        <v>#DIV/0!</v>
      </c>
      <c r="L44" s="221" t="e">
        <f t="shared" si="13"/>
        <v>#DIV/0!</v>
      </c>
      <c r="M44" s="222" t="e">
        <f t="shared" si="12"/>
        <v>#DIV/0!</v>
      </c>
    </row>
    <row r="45" spans="2:13" ht="15" hidden="1" outlineLevel="1" thickBot="1">
      <c r="B45" s="231"/>
      <c r="C45" s="220"/>
      <c r="D45" s="221" t="e">
        <f t="shared" si="9"/>
        <v>#DIV/0!</v>
      </c>
      <c r="E45" s="221" t="e">
        <f t="shared" si="10"/>
        <v>#DIV/0!</v>
      </c>
      <c r="F45" s="222" t="e">
        <f t="shared" si="7"/>
        <v>#DIV/0!</v>
      </c>
      <c r="G45" s="222" t="e">
        <f t="shared" si="11"/>
        <v>#N/A</v>
      </c>
      <c r="I45" s="231"/>
      <c r="J45" s="220"/>
      <c r="K45" s="221" t="e">
        <f t="shared" si="8"/>
        <v>#DIV/0!</v>
      </c>
      <c r="L45" s="221" t="e">
        <f t="shared" si="13"/>
        <v>#DIV/0!</v>
      </c>
      <c r="M45" s="222" t="e">
        <f t="shared" si="12"/>
        <v>#DIV/0!</v>
      </c>
    </row>
    <row r="46" spans="2:13" ht="15" hidden="1" outlineLevel="1" thickBot="1">
      <c r="B46" s="231"/>
      <c r="C46" s="220"/>
      <c r="D46" s="221" t="e">
        <f t="shared" si="9"/>
        <v>#DIV/0!</v>
      </c>
      <c r="E46" s="221" t="e">
        <f t="shared" si="10"/>
        <v>#DIV/0!</v>
      </c>
      <c r="F46" s="222" t="e">
        <f t="shared" si="7"/>
        <v>#DIV/0!</v>
      </c>
      <c r="G46" s="222" t="e">
        <f t="shared" si="11"/>
        <v>#N/A</v>
      </c>
      <c r="I46" s="231"/>
      <c r="J46" s="220"/>
      <c r="K46" s="221" t="e">
        <f t="shared" si="8"/>
        <v>#DIV/0!</v>
      </c>
      <c r="L46" s="221" t="e">
        <f t="shared" si="13"/>
        <v>#DIV/0!</v>
      </c>
      <c r="M46" s="222" t="e">
        <f t="shared" si="12"/>
        <v>#DIV/0!</v>
      </c>
    </row>
    <row r="47" spans="2:13" ht="15" hidden="1" outlineLevel="1" thickBot="1">
      <c r="B47" s="231"/>
      <c r="C47" s="220"/>
      <c r="D47" s="221" t="e">
        <f t="shared" si="9"/>
        <v>#DIV/0!</v>
      </c>
      <c r="E47" s="221" t="e">
        <f t="shared" si="10"/>
        <v>#DIV/0!</v>
      </c>
      <c r="F47" s="222" t="e">
        <f t="shared" si="7"/>
        <v>#DIV/0!</v>
      </c>
      <c r="G47" s="222" t="e">
        <f t="shared" si="11"/>
        <v>#N/A</v>
      </c>
      <c r="I47" s="231"/>
      <c r="J47" s="220"/>
      <c r="K47" s="221" t="e">
        <f t="shared" si="8"/>
        <v>#DIV/0!</v>
      </c>
      <c r="L47" s="221" t="e">
        <f t="shared" si="13"/>
        <v>#DIV/0!</v>
      </c>
      <c r="M47" s="222" t="e">
        <f t="shared" si="12"/>
        <v>#DIV/0!</v>
      </c>
    </row>
    <row r="48" spans="2:13" ht="15" hidden="1" outlineLevel="1" thickBot="1">
      <c r="B48" s="231"/>
      <c r="C48" s="220"/>
      <c r="D48" s="221" t="e">
        <f t="shared" si="9"/>
        <v>#DIV/0!</v>
      </c>
      <c r="E48" s="221" t="e">
        <f t="shared" si="10"/>
        <v>#DIV/0!</v>
      </c>
      <c r="F48" s="222" t="e">
        <f t="shared" si="7"/>
        <v>#DIV/0!</v>
      </c>
      <c r="G48" s="222" t="e">
        <f t="shared" si="11"/>
        <v>#N/A</v>
      </c>
      <c r="I48" s="231"/>
      <c r="J48" s="220"/>
      <c r="K48" s="221" t="e">
        <f t="shared" si="8"/>
        <v>#DIV/0!</v>
      </c>
      <c r="L48" s="221" t="e">
        <f t="shared" si="13"/>
        <v>#DIV/0!</v>
      </c>
      <c r="M48" s="222" t="e">
        <f t="shared" si="12"/>
        <v>#DIV/0!</v>
      </c>
    </row>
    <row r="49" spans="2:13" ht="15" hidden="1" outlineLevel="1" thickBot="1">
      <c r="B49" s="231"/>
      <c r="C49" s="220"/>
      <c r="D49" s="221" t="e">
        <f t="shared" si="9"/>
        <v>#DIV/0!</v>
      </c>
      <c r="E49" s="221" t="e">
        <f t="shared" si="10"/>
        <v>#DIV/0!</v>
      </c>
      <c r="F49" s="222" t="e">
        <f t="shared" si="7"/>
        <v>#DIV/0!</v>
      </c>
      <c r="G49" s="222" t="e">
        <f t="shared" si="11"/>
        <v>#N/A</v>
      </c>
      <c r="I49" s="231"/>
      <c r="J49" s="220"/>
      <c r="K49" s="221" t="e">
        <f t="shared" si="8"/>
        <v>#DIV/0!</v>
      </c>
      <c r="L49" s="221" t="e">
        <f t="shared" si="13"/>
        <v>#DIV/0!</v>
      </c>
      <c r="M49" s="222" t="e">
        <f t="shared" si="12"/>
        <v>#DIV/0!</v>
      </c>
    </row>
    <row r="50" spans="2:13" ht="15" hidden="1" outlineLevel="1" thickBot="1">
      <c r="B50" s="231"/>
      <c r="C50" s="220"/>
      <c r="D50" s="221" t="e">
        <f t="shared" si="9"/>
        <v>#DIV/0!</v>
      </c>
      <c r="E50" s="221" t="e">
        <f t="shared" si="10"/>
        <v>#DIV/0!</v>
      </c>
      <c r="F50" s="222" t="e">
        <f t="shared" si="7"/>
        <v>#DIV/0!</v>
      </c>
      <c r="G50" s="222" t="e">
        <f t="shared" si="11"/>
        <v>#N/A</v>
      </c>
      <c r="I50" s="231"/>
      <c r="J50" s="220"/>
      <c r="K50" s="221" t="e">
        <f t="shared" si="8"/>
        <v>#DIV/0!</v>
      </c>
      <c r="L50" s="221" t="e">
        <f t="shared" si="13"/>
        <v>#DIV/0!</v>
      </c>
      <c r="M50" s="222" t="e">
        <f t="shared" si="12"/>
        <v>#DIV/0!</v>
      </c>
    </row>
    <row r="51" spans="2:13" ht="15" hidden="1" outlineLevel="1" thickBot="1">
      <c r="B51" s="231"/>
      <c r="C51" s="220"/>
      <c r="D51" s="221" t="e">
        <f t="shared" si="9"/>
        <v>#DIV/0!</v>
      </c>
      <c r="E51" s="221" t="e">
        <f t="shared" si="10"/>
        <v>#DIV/0!</v>
      </c>
      <c r="F51" s="222" t="e">
        <f t="shared" si="7"/>
        <v>#DIV/0!</v>
      </c>
      <c r="G51" s="222" t="e">
        <f t="shared" si="11"/>
        <v>#N/A</v>
      </c>
      <c r="I51" s="231"/>
      <c r="J51" s="220"/>
      <c r="K51" s="221" t="e">
        <f t="shared" si="8"/>
        <v>#DIV/0!</v>
      </c>
      <c r="L51" s="221" t="e">
        <f t="shared" si="13"/>
        <v>#DIV/0!</v>
      </c>
      <c r="M51" s="222" t="e">
        <f t="shared" si="12"/>
        <v>#DIV/0!</v>
      </c>
    </row>
    <row r="52" spans="2:13" ht="15" hidden="1" outlineLevel="1" thickBot="1">
      <c r="B52" s="231"/>
      <c r="C52" s="220"/>
      <c r="D52" s="221" t="e">
        <f t="shared" si="9"/>
        <v>#DIV/0!</v>
      </c>
      <c r="E52" s="221" t="e">
        <f t="shared" si="10"/>
        <v>#DIV/0!</v>
      </c>
      <c r="F52" s="222" t="e">
        <f t="shared" si="7"/>
        <v>#DIV/0!</v>
      </c>
      <c r="G52" s="222" t="e">
        <f t="shared" si="11"/>
        <v>#N/A</v>
      </c>
      <c r="I52" s="231"/>
      <c r="J52" s="220"/>
      <c r="K52" s="221" t="e">
        <f t="shared" si="8"/>
        <v>#DIV/0!</v>
      </c>
      <c r="L52" s="221" t="e">
        <f t="shared" si="13"/>
        <v>#DIV/0!</v>
      </c>
      <c r="M52" s="222" t="e">
        <f t="shared" si="12"/>
        <v>#DIV/0!</v>
      </c>
    </row>
    <row r="53" spans="2:13" ht="15" hidden="1" customHeight="1" outlineLevel="1">
      <c r="B53" s="231"/>
      <c r="C53" s="220"/>
      <c r="D53" s="221" t="e">
        <f t="shared" si="9"/>
        <v>#DIV/0!</v>
      </c>
      <c r="E53" s="221" t="e">
        <f t="shared" si="10"/>
        <v>#DIV/0!</v>
      </c>
      <c r="F53" s="222" t="e">
        <f t="shared" si="7"/>
        <v>#DIV/0!</v>
      </c>
      <c r="G53" s="222" t="e">
        <f t="shared" si="11"/>
        <v>#N/A</v>
      </c>
      <c r="I53" s="231"/>
      <c r="J53" s="220"/>
      <c r="K53" s="221" t="e">
        <f t="shared" si="8"/>
        <v>#DIV/0!</v>
      </c>
      <c r="L53" s="221" t="e">
        <f t="shared" si="13"/>
        <v>#DIV/0!</v>
      </c>
      <c r="M53" s="222" t="e">
        <f t="shared" si="12"/>
        <v>#DIV/0!</v>
      </c>
    </row>
    <row r="54" spans="2:13" ht="15" hidden="1" outlineLevel="1" thickBot="1">
      <c r="B54" s="231"/>
      <c r="C54" s="220"/>
      <c r="D54" s="221" t="e">
        <f t="shared" si="9"/>
        <v>#DIV/0!</v>
      </c>
      <c r="E54" s="221" t="e">
        <f t="shared" si="10"/>
        <v>#DIV/0!</v>
      </c>
      <c r="F54" s="222" t="e">
        <f t="shared" si="7"/>
        <v>#DIV/0!</v>
      </c>
      <c r="G54" s="222" t="e">
        <f t="shared" si="11"/>
        <v>#N/A</v>
      </c>
      <c r="I54" s="231"/>
      <c r="J54" s="220"/>
      <c r="K54" s="221" t="e">
        <f t="shared" si="8"/>
        <v>#DIV/0!</v>
      </c>
      <c r="L54" s="221" t="e">
        <f t="shared" si="13"/>
        <v>#DIV/0!</v>
      </c>
      <c r="M54" s="222" t="e">
        <f t="shared" si="12"/>
        <v>#DIV/0!</v>
      </c>
    </row>
    <row r="55" spans="2:13" ht="15" hidden="1" outlineLevel="1" thickBot="1">
      <c r="B55" s="231"/>
      <c r="C55" s="220"/>
      <c r="D55" s="221" t="e">
        <f t="shared" si="9"/>
        <v>#DIV/0!</v>
      </c>
      <c r="E55" s="221" t="e">
        <f t="shared" si="10"/>
        <v>#DIV/0!</v>
      </c>
      <c r="F55" s="222" t="e">
        <f t="shared" si="7"/>
        <v>#DIV/0!</v>
      </c>
      <c r="G55" s="222" t="e">
        <f t="shared" si="11"/>
        <v>#N/A</v>
      </c>
      <c r="I55" s="231"/>
      <c r="J55" s="220"/>
      <c r="K55" s="221" t="e">
        <f t="shared" si="8"/>
        <v>#DIV/0!</v>
      </c>
      <c r="L55" s="221" t="e">
        <f t="shared" si="13"/>
        <v>#DIV/0!</v>
      </c>
      <c r="M55" s="222" t="e">
        <f t="shared" si="12"/>
        <v>#DIV/0!</v>
      </c>
    </row>
    <row r="56" spans="2:13" ht="15" hidden="1" outlineLevel="1" thickBot="1">
      <c r="B56" s="231"/>
      <c r="C56" s="220"/>
      <c r="D56" s="221" t="e">
        <f t="shared" si="9"/>
        <v>#DIV/0!</v>
      </c>
      <c r="E56" s="221" t="e">
        <f t="shared" si="10"/>
        <v>#DIV/0!</v>
      </c>
      <c r="F56" s="222" t="e">
        <f t="shared" si="7"/>
        <v>#DIV/0!</v>
      </c>
      <c r="G56" s="222" t="e">
        <f t="shared" si="11"/>
        <v>#N/A</v>
      </c>
      <c r="I56" s="231"/>
      <c r="J56" s="220"/>
      <c r="K56" s="221" t="e">
        <f t="shared" si="8"/>
        <v>#DIV/0!</v>
      </c>
      <c r="L56" s="221" t="e">
        <f t="shared" si="13"/>
        <v>#DIV/0!</v>
      </c>
      <c r="M56" s="222" t="e">
        <f t="shared" si="12"/>
        <v>#DIV/0!</v>
      </c>
    </row>
    <row r="57" spans="2:13" ht="15" hidden="1" outlineLevel="1" thickBot="1">
      <c r="B57" s="231"/>
      <c r="C57" s="220"/>
      <c r="D57" s="221" t="e">
        <f t="shared" si="9"/>
        <v>#DIV/0!</v>
      </c>
      <c r="E57" s="221" t="e">
        <f t="shared" si="10"/>
        <v>#DIV/0!</v>
      </c>
      <c r="F57" s="222" t="e">
        <f t="shared" si="7"/>
        <v>#DIV/0!</v>
      </c>
      <c r="G57" s="222" t="e">
        <f t="shared" si="11"/>
        <v>#N/A</v>
      </c>
      <c r="I57" s="231"/>
      <c r="J57" s="220"/>
      <c r="K57" s="221" t="e">
        <f t="shared" si="8"/>
        <v>#DIV/0!</v>
      </c>
      <c r="L57" s="221" t="e">
        <f t="shared" si="13"/>
        <v>#DIV/0!</v>
      </c>
      <c r="M57" s="222" t="e">
        <f t="shared" si="12"/>
        <v>#DIV/0!</v>
      </c>
    </row>
    <row r="58" spans="2:13" ht="15" hidden="1" outlineLevel="1" thickBot="1">
      <c r="B58" s="231"/>
      <c r="C58" s="220"/>
      <c r="D58" s="221" t="e">
        <f t="shared" si="9"/>
        <v>#DIV/0!</v>
      </c>
      <c r="E58" s="221" t="e">
        <f t="shared" si="10"/>
        <v>#DIV/0!</v>
      </c>
      <c r="F58" s="222" t="e">
        <f t="shared" si="7"/>
        <v>#DIV/0!</v>
      </c>
      <c r="G58" s="222" t="e">
        <f t="shared" si="11"/>
        <v>#N/A</v>
      </c>
      <c r="I58" s="231"/>
      <c r="J58" s="220"/>
      <c r="K58" s="221" t="e">
        <f t="shared" si="8"/>
        <v>#DIV/0!</v>
      </c>
      <c r="L58" s="221" t="e">
        <f t="shared" si="13"/>
        <v>#DIV/0!</v>
      </c>
      <c r="M58" s="222" t="e">
        <f t="shared" si="12"/>
        <v>#DIV/0!</v>
      </c>
    </row>
    <row r="59" spans="2:13" ht="15" hidden="1" outlineLevel="1" thickBot="1">
      <c r="B59" s="231"/>
      <c r="C59" s="220"/>
      <c r="D59" s="221" t="e">
        <f t="shared" si="9"/>
        <v>#DIV/0!</v>
      </c>
      <c r="E59" s="221" t="e">
        <f t="shared" si="10"/>
        <v>#DIV/0!</v>
      </c>
      <c r="F59" s="222" t="e">
        <f t="shared" si="7"/>
        <v>#DIV/0!</v>
      </c>
      <c r="G59" s="222" t="e">
        <f t="shared" si="11"/>
        <v>#N/A</v>
      </c>
      <c r="I59" s="231"/>
      <c r="J59" s="220"/>
      <c r="K59" s="221" t="e">
        <f t="shared" si="8"/>
        <v>#DIV/0!</v>
      </c>
      <c r="L59" s="221" t="e">
        <f t="shared" si="13"/>
        <v>#DIV/0!</v>
      </c>
      <c r="M59" s="222" t="e">
        <f t="shared" si="12"/>
        <v>#DIV/0!</v>
      </c>
    </row>
    <row r="60" spans="2:13" ht="15" hidden="1" outlineLevel="1" thickBot="1">
      <c r="B60" s="231"/>
      <c r="C60" s="220"/>
      <c r="D60" s="221" t="e">
        <f t="shared" si="9"/>
        <v>#DIV/0!</v>
      </c>
      <c r="E60" s="221" t="e">
        <f t="shared" si="10"/>
        <v>#DIV/0!</v>
      </c>
      <c r="F60" s="222" t="e">
        <f t="shared" si="7"/>
        <v>#DIV/0!</v>
      </c>
      <c r="G60" s="222" t="e">
        <f t="shared" si="11"/>
        <v>#N/A</v>
      </c>
      <c r="I60" s="231"/>
      <c r="J60" s="220"/>
      <c r="K60" s="221" t="e">
        <f t="shared" si="8"/>
        <v>#DIV/0!</v>
      </c>
      <c r="L60" s="221" t="e">
        <f t="shared" si="13"/>
        <v>#DIV/0!</v>
      </c>
      <c r="M60" s="222" t="e">
        <f t="shared" si="12"/>
        <v>#DIV/0!</v>
      </c>
    </row>
    <row r="61" spans="2:13" ht="15" hidden="1" outlineLevel="1" thickBot="1">
      <c r="B61" s="231"/>
      <c r="C61" s="220"/>
      <c r="D61" s="221" t="e">
        <f t="shared" si="9"/>
        <v>#DIV/0!</v>
      </c>
      <c r="E61" s="221" t="e">
        <f t="shared" si="10"/>
        <v>#DIV/0!</v>
      </c>
      <c r="F61" s="222" t="e">
        <f t="shared" si="7"/>
        <v>#DIV/0!</v>
      </c>
      <c r="G61" s="222" t="e">
        <f t="shared" si="11"/>
        <v>#N/A</v>
      </c>
      <c r="I61" s="231"/>
      <c r="J61" s="220"/>
      <c r="K61" s="221" t="e">
        <f t="shared" si="8"/>
        <v>#DIV/0!</v>
      </c>
      <c r="L61" s="221" t="e">
        <f t="shared" si="13"/>
        <v>#DIV/0!</v>
      </c>
      <c r="M61" s="222" t="e">
        <f t="shared" si="12"/>
        <v>#DIV/0!</v>
      </c>
    </row>
    <row r="62" spans="2:13" ht="15" hidden="1" outlineLevel="1" thickBot="1">
      <c r="B62" s="231"/>
      <c r="C62" s="220"/>
      <c r="D62" s="221" t="e">
        <f t="shared" si="9"/>
        <v>#DIV/0!</v>
      </c>
      <c r="E62" s="221" t="e">
        <f t="shared" si="10"/>
        <v>#DIV/0!</v>
      </c>
      <c r="F62" s="222" t="e">
        <f t="shared" si="7"/>
        <v>#DIV/0!</v>
      </c>
      <c r="G62" s="222" t="e">
        <f t="shared" si="11"/>
        <v>#N/A</v>
      </c>
      <c r="I62" s="231"/>
      <c r="J62" s="220"/>
      <c r="K62" s="221" t="e">
        <f t="shared" si="8"/>
        <v>#DIV/0!</v>
      </c>
      <c r="L62" s="221" t="e">
        <f t="shared" si="13"/>
        <v>#DIV/0!</v>
      </c>
      <c r="M62" s="222" t="e">
        <f t="shared" si="12"/>
        <v>#DIV/0!</v>
      </c>
    </row>
    <row r="63" spans="2:13" ht="15" hidden="1" outlineLevel="1" thickBot="1">
      <c r="B63" s="231"/>
      <c r="C63" s="220"/>
      <c r="D63" s="221" t="e">
        <f t="shared" si="9"/>
        <v>#DIV/0!</v>
      </c>
      <c r="E63" s="221" t="e">
        <f t="shared" si="10"/>
        <v>#DIV/0!</v>
      </c>
      <c r="F63" s="222" t="e">
        <f t="shared" si="7"/>
        <v>#DIV/0!</v>
      </c>
      <c r="G63" s="222" t="e">
        <f t="shared" si="11"/>
        <v>#N/A</v>
      </c>
      <c r="I63" s="231"/>
      <c r="J63" s="220"/>
      <c r="K63" s="221" t="e">
        <f t="shared" si="8"/>
        <v>#DIV/0!</v>
      </c>
      <c r="L63" s="221" t="e">
        <f t="shared" si="13"/>
        <v>#DIV/0!</v>
      </c>
      <c r="M63" s="222" t="e">
        <f t="shared" si="12"/>
        <v>#DIV/0!</v>
      </c>
    </row>
    <row r="64" spans="2:13" ht="15" hidden="1" outlineLevel="1" thickBot="1">
      <c r="B64" s="231"/>
      <c r="C64" s="220"/>
      <c r="D64" s="221" t="e">
        <f t="shared" si="9"/>
        <v>#DIV/0!</v>
      </c>
      <c r="E64" s="221" t="e">
        <f t="shared" si="10"/>
        <v>#DIV/0!</v>
      </c>
      <c r="F64" s="222" t="e">
        <f t="shared" si="7"/>
        <v>#DIV/0!</v>
      </c>
      <c r="G64" s="222" t="e">
        <f t="shared" si="11"/>
        <v>#N/A</v>
      </c>
      <c r="I64" s="231"/>
      <c r="J64" s="220"/>
      <c r="K64" s="221" t="e">
        <f t="shared" si="8"/>
        <v>#DIV/0!</v>
      </c>
      <c r="L64" s="221" t="e">
        <f t="shared" si="13"/>
        <v>#DIV/0!</v>
      </c>
      <c r="M64" s="222" t="e">
        <f t="shared" si="12"/>
        <v>#DIV/0!</v>
      </c>
    </row>
    <row r="65" spans="2:13" ht="15" hidden="1" outlineLevel="1" thickBot="1">
      <c r="B65" s="231"/>
      <c r="C65" s="220"/>
      <c r="D65" s="221" t="e">
        <f t="shared" si="9"/>
        <v>#DIV/0!</v>
      </c>
      <c r="E65" s="221" t="e">
        <f>D65+E64</f>
        <v>#DIV/0!</v>
      </c>
      <c r="F65" s="222" t="e">
        <f t="shared" si="7"/>
        <v>#DIV/0!</v>
      </c>
      <c r="G65" s="222" t="e">
        <f t="shared" si="11"/>
        <v>#N/A</v>
      </c>
      <c r="I65" s="231"/>
      <c r="J65" s="220"/>
      <c r="K65" s="221" t="e">
        <f t="shared" si="8"/>
        <v>#DIV/0!</v>
      </c>
      <c r="L65" s="221" t="e">
        <f t="shared" si="13"/>
        <v>#DIV/0!</v>
      </c>
      <c r="M65" s="222" t="e">
        <f t="shared" si="12"/>
        <v>#DIV/0!</v>
      </c>
    </row>
    <row r="66" spans="2:13" ht="15" hidden="1" outlineLevel="1" thickBot="1">
      <c r="B66" s="231"/>
      <c r="C66" s="220"/>
      <c r="D66" s="221" t="e">
        <f t="shared" si="9"/>
        <v>#DIV/0!</v>
      </c>
      <c r="E66" s="221" t="e">
        <f t="shared" si="10"/>
        <v>#DIV/0!</v>
      </c>
      <c r="F66" s="222" t="e">
        <f t="shared" si="7"/>
        <v>#DIV/0!</v>
      </c>
      <c r="G66" s="222" t="e">
        <f t="shared" si="11"/>
        <v>#N/A</v>
      </c>
      <c r="I66" s="231"/>
      <c r="J66" s="220"/>
      <c r="K66" s="221" t="e">
        <f t="shared" si="8"/>
        <v>#DIV/0!</v>
      </c>
      <c r="L66" s="221" t="e">
        <f t="shared" si="13"/>
        <v>#DIV/0!</v>
      </c>
      <c r="M66" s="222" t="e">
        <f t="shared" si="12"/>
        <v>#DIV/0!</v>
      </c>
    </row>
    <row r="67" spans="2:13" ht="15" hidden="1" outlineLevel="1" thickBot="1">
      <c r="B67" s="231"/>
      <c r="C67" s="220"/>
      <c r="D67" s="221" t="e">
        <f t="shared" si="9"/>
        <v>#DIV/0!</v>
      </c>
      <c r="E67" s="221" t="e">
        <f t="shared" si="10"/>
        <v>#DIV/0!</v>
      </c>
      <c r="F67" s="222" t="e">
        <f t="shared" si="7"/>
        <v>#DIV/0!</v>
      </c>
      <c r="G67" s="222" t="e">
        <f t="shared" si="11"/>
        <v>#N/A</v>
      </c>
      <c r="I67" s="231"/>
      <c r="J67" s="220"/>
      <c r="K67" s="221" t="e">
        <f t="shared" si="8"/>
        <v>#DIV/0!</v>
      </c>
      <c r="L67" s="221" t="e">
        <f t="shared" si="13"/>
        <v>#DIV/0!</v>
      </c>
      <c r="M67" s="222" t="e">
        <f t="shared" si="12"/>
        <v>#DIV/0!</v>
      </c>
    </row>
    <row r="68" spans="2:13" ht="15" hidden="1" outlineLevel="1" thickBot="1">
      <c r="B68" s="231"/>
      <c r="C68" s="220"/>
      <c r="D68" s="221" t="e">
        <f t="shared" si="9"/>
        <v>#DIV/0!</v>
      </c>
      <c r="E68" s="221" t="e">
        <f t="shared" si="10"/>
        <v>#DIV/0!</v>
      </c>
      <c r="F68" s="222" t="e">
        <f t="shared" si="7"/>
        <v>#DIV/0!</v>
      </c>
      <c r="G68" s="222" t="e">
        <f t="shared" si="11"/>
        <v>#N/A</v>
      </c>
      <c r="I68" s="231"/>
      <c r="J68" s="220"/>
      <c r="K68" s="221" t="e">
        <f t="shared" si="8"/>
        <v>#DIV/0!</v>
      </c>
      <c r="L68" s="221" t="e">
        <f t="shared" si="13"/>
        <v>#DIV/0!</v>
      </c>
      <c r="M68" s="222" t="e">
        <f t="shared" si="12"/>
        <v>#DIV/0!</v>
      </c>
    </row>
    <row r="69" spans="2:13" ht="16" hidden="1" customHeight="1" outlineLevel="1">
      <c r="B69" s="231"/>
      <c r="C69" s="220"/>
      <c r="D69" s="221" t="e">
        <f t="shared" si="9"/>
        <v>#DIV/0!</v>
      </c>
      <c r="E69" s="221" t="e">
        <f t="shared" si="10"/>
        <v>#DIV/0!</v>
      </c>
      <c r="F69" s="222" t="e">
        <f t="shared" si="7"/>
        <v>#DIV/0!</v>
      </c>
      <c r="G69" s="222" t="e">
        <f t="shared" si="11"/>
        <v>#N/A</v>
      </c>
      <c r="I69" s="231"/>
      <c r="J69" s="220"/>
      <c r="K69" s="221" t="e">
        <f t="shared" si="8"/>
        <v>#DIV/0!</v>
      </c>
      <c r="L69" s="221" t="e">
        <f t="shared" si="13"/>
        <v>#DIV/0!</v>
      </c>
      <c r="M69" s="222" t="e">
        <f t="shared" si="12"/>
        <v>#DIV/0!</v>
      </c>
    </row>
    <row r="70" spans="2:13" ht="15" hidden="1" outlineLevel="1" thickBot="1">
      <c r="B70" s="231"/>
      <c r="C70" s="220"/>
      <c r="D70" s="221" t="e">
        <f t="shared" si="9"/>
        <v>#DIV/0!</v>
      </c>
      <c r="E70" s="221" t="e">
        <f t="shared" si="10"/>
        <v>#DIV/0!</v>
      </c>
      <c r="F70" s="222" t="e">
        <f t="shared" si="7"/>
        <v>#DIV/0!</v>
      </c>
      <c r="G70" s="222" t="e">
        <f t="shared" si="11"/>
        <v>#N/A</v>
      </c>
      <c r="I70" s="231"/>
      <c r="J70" s="220"/>
      <c r="K70" s="221" t="e">
        <f t="shared" si="8"/>
        <v>#DIV/0!</v>
      </c>
      <c r="L70" s="221" t="e">
        <f t="shared" si="13"/>
        <v>#DIV/0!</v>
      </c>
      <c r="M70" s="222" t="e">
        <f t="shared" si="12"/>
        <v>#DIV/0!</v>
      </c>
    </row>
    <row r="71" spans="2:13" ht="15" hidden="1" outlineLevel="1" thickBot="1">
      <c r="B71" s="231"/>
      <c r="C71" s="220"/>
      <c r="D71" s="221" t="e">
        <f t="shared" si="9"/>
        <v>#DIV/0!</v>
      </c>
      <c r="E71" s="221" t="e">
        <f t="shared" si="10"/>
        <v>#DIV/0!</v>
      </c>
      <c r="F71" s="222" t="e">
        <f t="shared" si="7"/>
        <v>#DIV/0!</v>
      </c>
      <c r="G71" s="222" t="e">
        <f t="shared" si="11"/>
        <v>#N/A</v>
      </c>
      <c r="I71" s="231"/>
      <c r="J71" s="220"/>
      <c r="K71" s="221" t="e">
        <f t="shared" si="8"/>
        <v>#DIV/0!</v>
      </c>
      <c r="L71" s="221" t="e">
        <f t="shared" si="13"/>
        <v>#DIV/0!</v>
      </c>
      <c r="M71" s="222" t="e">
        <f t="shared" si="12"/>
        <v>#DIV/0!</v>
      </c>
    </row>
    <row r="72" spans="2:13" ht="15" hidden="1" outlineLevel="1" thickBot="1">
      <c r="B72" s="231"/>
      <c r="C72" s="220"/>
      <c r="D72" s="221" t="e">
        <f t="shared" si="9"/>
        <v>#DIV/0!</v>
      </c>
      <c r="E72" s="221" t="e">
        <f t="shared" si="10"/>
        <v>#DIV/0!</v>
      </c>
      <c r="F72" s="222" t="e">
        <f t="shared" si="7"/>
        <v>#DIV/0!</v>
      </c>
      <c r="G72" s="222" t="e">
        <f t="shared" si="11"/>
        <v>#N/A</v>
      </c>
      <c r="I72" s="231"/>
      <c r="J72" s="220"/>
      <c r="K72" s="221" t="e">
        <f t="shared" si="8"/>
        <v>#DIV/0!</v>
      </c>
      <c r="L72" s="221" t="e">
        <f t="shared" si="13"/>
        <v>#DIV/0!</v>
      </c>
      <c r="M72" s="222" t="e">
        <f t="shared" si="12"/>
        <v>#DIV/0!</v>
      </c>
    </row>
    <row r="73" spans="2:13" hidden="1" outlineLevel="1">
      <c r="C73" s="227">
        <f>SUM(C21:C72)</f>
        <v>0</v>
      </c>
      <c r="D73" s="232" t="e">
        <f>SUM(D21:D72)</f>
        <v>#DIV/0!</v>
      </c>
      <c r="J73" s="227">
        <f>SUM(J21:J72)</f>
        <v>0</v>
      </c>
      <c r="K73" s="232" t="e">
        <f>SUM(K21:K72)</f>
        <v>#DIV/0!</v>
      </c>
      <c r="L73" s="232"/>
    </row>
    <row r="74" spans="2:13" collapsed="1"/>
  </sheetData>
  <sortState xmlns:xlrd2="http://schemas.microsoft.com/office/spreadsheetml/2017/richdata2" ref="B4:C16">
    <sortCondition descending="1" ref="C4:C16"/>
  </sortState>
  <mergeCells count="2">
    <mergeCell ref="B2:M2"/>
    <mergeCell ref="B19:M19"/>
  </mergeCells>
  <conditionalFormatting sqref="M21:M72 K21:K72 D21:D72 G4:G16 D4:D16 K4:K16 M4:M16">
    <cfRule type="cellIs" dxfId="126" priority="10" operator="equal">
      <formula>"C"</formula>
    </cfRule>
    <cfRule type="cellIs" dxfId="125" priority="11" operator="equal">
      <formula>"B"</formula>
    </cfRule>
    <cfRule type="cellIs" dxfId="124" priority="12" operator="equal">
      <formula>"A"</formula>
    </cfRule>
  </conditionalFormatting>
  <conditionalFormatting sqref="G21:G72">
    <cfRule type="cellIs" dxfId="123" priority="7" operator="equal">
      <formula>"C"</formula>
    </cfRule>
    <cfRule type="cellIs" dxfId="122" priority="8" operator="equal">
      <formula>"B"</formula>
    </cfRule>
    <cfRule type="cellIs" dxfId="121" priority="9" operator="equal">
      <formula>"A"</formula>
    </cfRule>
  </conditionalFormatting>
  <conditionalFormatting sqref="F4:F16">
    <cfRule type="cellIs" dxfId="120" priority="4" operator="equal">
      <formula>"C"</formula>
    </cfRule>
    <cfRule type="cellIs" dxfId="119" priority="5" operator="equal">
      <formula>"B"</formula>
    </cfRule>
    <cfRule type="cellIs" dxfId="118" priority="6" operator="equal">
      <formula>"A"</formula>
    </cfRule>
  </conditionalFormatting>
  <conditionalFormatting sqref="F21:F72">
    <cfRule type="cellIs" dxfId="117" priority="1" operator="equal">
      <formula>"C"</formula>
    </cfRule>
    <cfRule type="cellIs" dxfId="116" priority="2" operator="equal">
      <formula>"B"</formula>
    </cfRule>
    <cfRule type="cellIs" dxfId="115" priority="3" operator="equal">
      <formula>"A"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58B16-BF48-41D1-87CF-13070A294C1F}">
  <dimension ref="B1:Q74"/>
  <sheetViews>
    <sheetView zoomScale="80" zoomScaleNormal="80" workbookViewId="0">
      <selection activeCell="P9" sqref="P9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337" t="s">
        <v>112</v>
      </c>
      <c r="C2" s="338"/>
      <c r="D2" s="338"/>
      <c r="E2" s="338"/>
      <c r="F2" s="338"/>
      <c r="G2" s="338"/>
      <c r="H2" s="338"/>
      <c r="I2" s="338"/>
      <c r="J2" s="338"/>
      <c r="K2" s="338"/>
      <c r="L2" s="338"/>
      <c r="M2" s="339"/>
    </row>
    <row r="3" spans="2:17" ht="28.5" customHeight="1" outlineLevel="1" thickBot="1">
      <c r="C3" s="216" t="s">
        <v>11</v>
      </c>
      <c r="D3" s="217" t="s">
        <v>113</v>
      </c>
      <c r="E3" s="218" t="s">
        <v>114</v>
      </c>
      <c r="F3" s="217" t="s">
        <v>115</v>
      </c>
      <c r="G3" s="217" t="s">
        <v>116</v>
      </c>
      <c r="J3" s="216" t="s">
        <v>117</v>
      </c>
      <c r="K3" s="217" t="s">
        <v>118</v>
      </c>
      <c r="L3" s="218" t="s">
        <v>114</v>
      </c>
      <c r="M3" s="219" t="s">
        <v>116</v>
      </c>
    </row>
    <row r="4" spans="2:17" ht="15" outlineLevel="1" thickBot="1">
      <c r="B4" s="115" t="s">
        <v>98</v>
      </c>
      <c r="C4" s="220">
        <f>'Юнит 5'!AL8</f>
        <v>2045.1120516462852</v>
      </c>
      <c r="D4" s="221">
        <f t="shared" ref="D4:D16" si="0">C4/C$17</f>
        <v>0.29333615661391832</v>
      </c>
      <c r="E4" s="221">
        <f>D4</f>
        <v>0.29333615661391832</v>
      </c>
      <c r="F4" s="222" t="str">
        <f>IF(AND(E4&lt;=0),"C",IF(E4&lt;=0.8,"A",IF(E4&lt;=0.95,"B","C")))</f>
        <v>A</v>
      </c>
      <c r="G4" s="222" t="str">
        <f>VLOOKUP(B$4:B$16,I$4:M$16,5,0)</f>
        <v>A</v>
      </c>
      <c r="I4" s="115" t="s">
        <v>98</v>
      </c>
      <c r="J4" s="220">
        <f>ЯНВАРЬ!S8</f>
        <v>107</v>
      </c>
      <c r="K4" s="221">
        <f t="shared" ref="K4:K16" si="1">J4/J$17</f>
        <v>0.42629482071713148</v>
      </c>
      <c r="L4" s="221">
        <f>K4</f>
        <v>0.42629482071713148</v>
      </c>
      <c r="M4" s="222" t="str">
        <f>_xlfn.IFS(L4&lt;80%,"A",L4&lt;=95%,"B",L4&gt;95%,"C")</f>
        <v>A</v>
      </c>
      <c r="P4" s="223" t="s">
        <v>119</v>
      </c>
      <c r="Q4" s="224">
        <v>0.8</v>
      </c>
    </row>
    <row r="5" spans="2:17" ht="15" outlineLevel="1" thickBot="1">
      <c r="B5" s="115" t="s">
        <v>92</v>
      </c>
      <c r="C5" s="220">
        <f>'Юнит 5'!AL3</f>
        <v>1813.3318043273737</v>
      </c>
      <c r="D5" s="221">
        <f t="shared" si="0"/>
        <v>0.26009126576658192</v>
      </c>
      <c r="E5" s="221">
        <f>E4+D5</f>
        <v>0.55342742238050024</v>
      </c>
      <c r="F5" s="222" t="str">
        <f t="shared" ref="F5:F16" si="2">IF(AND(E5&lt;=0),"C",IF(E5&lt;=0.8,"A",IF(E5&lt;=0.95,"B","C")))</f>
        <v>A</v>
      </c>
      <c r="G5" s="222" t="str">
        <f t="shared" ref="G5:G16" si="3">VLOOKUP(B$4:B$16,I$4:M$16,5,0)</f>
        <v>A</v>
      </c>
      <c r="I5" s="115" t="s">
        <v>92</v>
      </c>
      <c r="J5" s="220">
        <f>ЯНВАРЬ!S3</f>
        <v>62</v>
      </c>
      <c r="K5" s="221">
        <f t="shared" si="1"/>
        <v>0.24701195219123506</v>
      </c>
      <c r="L5" s="221">
        <f>L4+K5</f>
        <v>0.6733067729083666</v>
      </c>
      <c r="M5" s="222" t="str">
        <f t="shared" ref="M5:M16" si="4">_xlfn.IFS(L5&lt;80%,"A",L5&lt;=95%,"B",L5&gt;95%,"C")</f>
        <v>A</v>
      </c>
      <c r="P5" s="225" t="s">
        <v>120</v>
      </c>
      <c r="Q5" s="224">
        <v>0.15</v>
      </c>
    </row>
    <row r="6" spans="2:17" ht="15" outlineLevel="1" thickBot="1">
      <c r="B6" s="115" t="s">
        <v>96</v>
      </c>
      <c r="C6" s="220">
        <f>'Юнит 5'!AL6</f>
        <v>1154.6045108184385</v>
      </c>
      <c r="D6" s="221">
        <f t="shared" si="0"/>
        <v>0.16560816280943422</v>
      </c>
      <c r="E6" s="221">
        <f t="shared" ref="E6:E16" si="5">E5+D6</f>
        <v>0.71903558518993449</v>
      </c>
      <c r="F6" s="222" t="str">
        <f t="shared" si="2"/>
        <v>A</v>
      </c>
      <c r="G6" s="222" t="str">
        <f t="shared" si="3"/>
        <v>B</v>
      </c>
      <c r="I6" s="115" t="s">
        <v>99</v>
      </c>
      <c r="J6" s="220">
        <f>ЯНВАРЬ!S9</f>
        <v>26</v>
      </c>
      <c r="K6" s="221">
        <f t="shared" si="1"/>
        <v>0.10358565737051793</v>
      </c>
      <c r="L6" s="221">
        <f t="shared" ref="L6:L16" si="6">L5+K6</f>
        <v>0.77689243027888455</v>
      </c>
      <c r="M6" s="222" t="str">
        <f t="shared" si="4"/>
        <v>A</v>
      </c>
      <c r="P6" s="226" t="s">
        <v>121</v>
      </c>
      <c r="Q6" s="224">
        <v>0.05</v>
      </c>
    </row>
    <row r="7" spans="2:17" outlineLevel="1">
      <c r="B7" s="115" t="s">
        <v>104</v>
      </c>
      <c r="C7" s="220">
        <f>'Юнит 5'!AL14</f>
        <v>826.7881279397933</v>
      </c>
      <c r="D7" s="221">
        <f t="shared" si="0"/>
        <v>0.11858853972751518</v>
      </c>
      <c r="E7" s="221">
        <f t="shared" si="5"/>
        <v>0.83762412491744964</v>
      </c>
      <c r="F7" s="222" t="str">
        <f t="shared" si="2"/>
        <v>B</v>
      </c>
      <c r="G7" s="222" t="str">
        <f t="shared" si="3"/>
        <v>B</v>
      </c>
      <c r="I7" s="115" t="s">
        <v>96</v>
      </c>
      <c r="J7" s="220">
        <f>ЯНВАРЬ!S6</f>
        <v>20</v>
      </c>
      <c r="K7" s="221">
        <f t="shared" si="1"/>
        <v>7.9681274900398405E-2</v>
      </c>
      <c r="L7" s="221">
        <f t="shared" si="6"/>
        <v>0.856573705179283</v>
      </c>
      <c r="M7" s="222" t="str">
        <f t="shared" si="4"/>
        <v>B</v>
      </c>
    </row>
    <row r="8" spans="2:17" outlineLevel="1">
      <c r="B8" s="115" t="s">
        <v>102</v>
      </c>
      <c r="C8" s="220">
        <f>'Юнит 5'!AL12</f>
        <v>783.16961429915341</v>
      </c>
      <c r="D8" s="221">
        <f t="shared" si="0"/>
        <v>0.11233221399795068</v>
      </c>
      <c r="E8" s="221">
        <f t="shared" si="5"/>
        <v>0.94995633891540032</v>
      </c>
      <c r="F8" s="222" t="str">
        <f t="shared" si="2"/>
        <v>B</v>
      </c>
      <c r="G8" s="222" t="str">
        <f t="shared" si="3"/>
        <v>C</v>
      </c>
      <c r="I8" s="115" t="s">
        <v>94</v>
      </c>
      <c r="J8" s="220">
        <f>ЯНВАРЬ!S4</f>
        <v>10</v>
      </c>
      <c r="K8" s="221">
        <f t="shared" si="1"/>
        <v>3.9840637450199202E-2</v>
      </c>
      <c r="L8" s="221">
        <f t="shared" si="6"/>
        <v>0.89641434262948216</v>
      </c>
      <c r="M8" s="222" t="str">
        <f t="shared" si="4"/>
        <v>B</v>
      </c>
    </row>
    <row r="9" spans="2:17" outlineLevel="1">
      <c r="B9" s="115" t="s">
        <v>101</v>
      </c>
      <c r="C9" s="220">
        <f>'Юнит 5'!AL11</f>
        <v>758.76739416745056</v>
      </c>
      <c r="D9" s="221">
        <f t="shared" si="0"/>
        <v>0.10883213513404767</v>
      </c>
      <c r="E9" s="221">
        <f t="shared" si="5"/>
        <v>1.058788474049448</v>
      </c>
      <c r="F9" s="222" t="str">
        <f t="shared" si="2"/>
        <v>C</v>
      </c>
      <c r="G9" s="222" t="str">
        <f t="shared" si="3"/>
        <v>C</v>
      </c>
      <c r="I9" s="115" t="s">
        <v>104</v>
      </c>
      <c r="J9" s="220">
        <f>ЯНВАРЬ!S14</f>
        <v>6</v>
      </c>
      <c r="K9" s="221">
        <f t="shared" si="1"/>
        <v>2.3904382470119521E-2</v>
      </c>
      <c r="L9" s="221">
        <f t="shared" si="6"/>
        <v>0.92031872509960166</v>
      </c>
      <c r="M9" s="222" t="str">
        <f t="shared" si="4"/>
        <v>B</v>
      </c>
    </row>
    <row r="10" spans="2:17" outlineLevel="1">
      <c r="B10" s="115" t="s">
        <v>103</v>
      </c>
      <c r="C10" s="220">
        <f>'Юнит 5'!AL13</f>
        <v>508.766293508937</v>
      </c>
      <c r="D10" s="221">
        <f t="shared" si="0"/>
        <v>7.2973776196020482E-2</v>
      </c>
      <c r="E10" s="221">
        <f t="shared" si="5"/>
        <v>1.1317622502454685</v>
      </c>
      <c r="F10" s="222" t="str">
        <f t="shared" si="2"/>
        <v>C</v>
      </c>
      <c r="G10" s="222" t="str">
        <f t="shared" si="3"/>
        <v>C</v>
      </c>
      <c r="I10" s="115" t="s">
        <v>95</v>
      </c>
      <c r="J10" s="220">
        <f>ЯНВАРЬ!S5</f>
        <v>4</v>
      </c>
      <c r="K10" s="221">
        <f t="shared" si="1"/>
        <v>1.5936254980079681E-2</v>
      </c>
      <c r="L10" s="221">
        <f t="shared" si="6"/>
        <v>0.93625498007968133</v>
      </c>
      <c r="M10" s="222" t="str">
        <f t="shared" si="4"/>
        <v>B</v>
      </c>
    </row>
    <row r="11" spans="2:17" outlineLevel="1">
      <c r="B11" s="115" t="s">
        <v>100</v>
      </c>
      <c r="C11" s="220">
        <f>'Юнит 5'!AL10</f>
        <v>398.95943085606785</v>
      </c>
      <c r="D11" s="221">
        <f t="shared" si="0"/>
        <v>5.7223869957633094E-2</v>
      </c>
      <c r="E11" s="221">
        <f t="shared" si="5"/>
        <v>1.1889861202031016</v>
      </c>
      <c r="F11" s="222" t="str">
        <f t="shared" si="2"/>
        <v>C</v>
      </c>
      <c r="G11" s="222" t="str">
        <f t="shared" si="3"/>
        <v>C</v>
      </c>
      <c r="I11" s="115" t="s">
        <v>103</v>
      </c>
      <c r="J11" s="220">
        <f>ЯНВАРЬ!S13</f>
        <v>4</v>
      </c>
      <c r="K11" s="221">
        <f t="shared" si="1"/>
        <v>1.5936254980079681E-2</v>
      </c>
      <c r="L11" s="221">
        <f t="shared" si="6"/>
        <v>0.952191235059761</v>
      </c>
      <c r="M11" s="222" t="str">
        <f t="shared" si="4"/>
        <v>C</v>
      </c>
    </row>
    <row r="12" spans="2:17" outlineLevel="1">
      <c r="B12" s="115" t="s">
        <v>99</v>
      </c>
      <c r="C12" s="220">
        <f>'Юнит 5'!AL9</f>
        <v>297.02680169331882</v>
      </c>
      <c r="D12" s="221">
        <f t="shared" si="0"/>
        <v>4.2603387110210077E-2</v>
      </c>
      <c r="E12" s="221">
        <f t="shared" si="5"/>
        <v>1.2315895073133116</v>
      </c>
      <c r="F12" s="222" t="str">
        <f t="shared" si="2"/>
        <v>C</v>
      </c>
      <c r="G12" s="222" t="str">
        <f t="shared" si="3"/>
        <v>A</v>
      </c>
      <c r="I12" s="115" t="s">
        <v>101</v>
      </c>
      <c r="J12" s="220">
        <f>ЯНВАРЬ!S11</f>
        <v>3</v>
      </c>
      <c r="K12" s="221">
        <f t="shared" si="1"/>
        <v>1.1952191235059761E-2</v>
      </c>
      <c r="L12" s="221">
        <f t="shared" si="6"/>
        <v>0.96414342629482075</v>
      </c>
      <c r="M12" s="222" t="str">
        <f t="shared" si="4"/>
        <v>C</v>
      </c>
    </row>
    <row r="13" spans="2:17" outlineLevel="1">
      <c r="B13" s="115" t="s">
        <v>94</v>
      </c>
      <c r="C13" s="220">
        <f>'Юнит 5'!AL4</f>
        <v>177.70463904045232</v>
      </c>
      <c r="D13" s="221">
        <f t="shared" si="0"/>
        <v>2.5488674709353124E-2</v>
      </c>
      <c r="E13" s="221">
        <f t="shared" si="5"/>
        <v>1.2570781820226649</v>
      </c>
      <c r="F13" s="222" t="str">
        <f t="shared" si="2"/>
        <v>C</v>
      </c>
      <c r="G13" s="222" t="str">
        <f t="shared" si="3"/>
        <v>B</v>
      </c>
      <c r="I13" s="115" t="s">
        <v>102</v>
      </c>
      <c r="J13" s="220">
        <f>ЯНВАРЬ!S12</f>
        <v>3</v>
      </c>
      <c r="K13" s="221">
        <f t="shared" si="1"/>
        <v>1.1952191235059761E-2</v>
      </c>
      <c r="L13" s="221">
        <f t="shared" si="6"/>
        <v>0.9760956175298805</v>
      </c>
      <c r="M13" s="222" t="str">
        <f t="shared" si="4"/>
        <v>C</v>
      </c>
    </row>
    <row r="14" spans="2:17" outlineLevel="1">
      <c r="B14" s="115" t="s">
        <v>105</v>
      </c>
      <c r="C14" s="220">
        <f>'Юнит 5'!AL15</f>
        <v>-22.030752587017872</v>
      </c>
      <c r="D14" s="221">
        <f t="shared" si="0"/>
        <v>-3.1599326237336535E-3</v>
      </c>
      <c r="E14" s="221">
        <f t="shared" si="5"/>
        <v>1.2539182493989312</v>
      </c>
      <c r="F14" s="222" t="str">
        <f t="shared" si="2"/>
        <v>C</v>
      </c>
      <c r="G14" s="222" t="str">
        <f t="shared" si="3"/>
        <v>C</v>
      </c>
      <c r="I14" s="115" t="s">
        <v>105</v>
      </c>
      <c r="J14" s="220">
        <f>ЯНВАРЬ!S15</f>
        <v>3</v>
      </c>
      <c r="K14" s="221">
        <f t="shared" si="1"/>
        <v>1.1952191235059761E-2</v>
      </c>
      <c r="L14" s="221">
        <f t="shared" si="6"/>
        <v>0.98804780876494025</v>
      </c>
      <c r="M14" s="222" t="str">
        <f t="shared" si="4"/>
        <v>C</v>
      </c>
    </row>
    <row r="15" spans="2:17" outlineLevel="1">
      <c r="B15" s="115" t="s">
        <v>97</v>
      </c>
      <c r="C15" s="220">
        <f>'Юнит 5'!AL7</f>
        <v>-852.48176387582316</v>
      </c>
      <c r="D15" s="221">
        <f t="shared" si="0"/>
        <v>-0.12227384998171135</v>
      </c>
      <c r="E15" s="221">
        <f t="shared" si="5"/>
        <v>1.1316443994172198</v>
      </c>
      <c r="F15" s="222" t="str">
        <f t="shared" si="2"/>
        <v>C</v>
      </c>
      <c r="G15" s="222" t="str">
        <f t="shared" si="3"/>
        <v>C</v>
      </c>
      <c r="I15" s="115" t="s">
        <v>100</v>
      </c>
      <c r="J15" s="220">
        <f>ЯНВАРЬ!S10</f>
        <v>2</v>
      </c>
      <c r="K15" s="221">
        <f t="shared" si="1"/>
        <v>7.9681274900398405E-3</v>
      </c>
      <c r="L15" s="221">
        <f t="shared" si="6"/>
        <v>0.99601593625498008</v>
      </c>
      <c r="M15" s="222" t="str">
        <f t="shared" si="4"/>
        <v>C</v>
      </c>
    </row>
    <row r="16" spans="2:17" outlineLevel="1">
      <c r="B16" s="115" t="s">
        <v>95</v>
      </c>
      <c r="C16" s="220">
        <f>'Юнит 5'!AL5</f>
        <v>-917.81235183443084</v>
      </c>
      <c r="D16" s="221">
        <f t="shared" si="0"/>
        <v>-0.13164439941721975</v>
      </c>
      <c r="E16" s="221">
        <f t="shared" si="5"/>
        <v>1</v>
      </c>
      <c r="F16" s="222" t="str">
        <f t="shared" si="2"/>
        <v>C</v>
      </c>
      <c r="G16" s="222" t="str">
        <f t="shared" si="3"/>
        <v>B</v>
      </c>
      <c r="I16" s="115" t="s">
        <v>97</v>
      </c>
      <c r="J16" s="220">
        <f>ЯНВАРЬ!S7</f>
        <v>1</v>
      </c>
      <c r="K16" s="221">
        <f t="shared" si="1"/>
        <v>3.9840637450199202E-3</v>
      </c>
      <c r="L16" s="221">
        <f t="shared" si="6"/>
        <v>1</v>
      </c>
      <c r="M16" s="222" t="str">
        <f t="shared" si="4"/>
        <v>C</v>
      </c>
    </row>
    <row r="17" spans="2:16" outlineLevel="1">
      <c r="C17" s="227">
        <f>SUM(C4:C16)</f>
        <v>6971.9057999999986</v>
      </c>
      <c r="D17" s="228">
        <f>SUM(D4:D16)</f>
        <v>1</v>
      </c>
      <c r="J17" s="227">
        <f>SUM(J4:J16)</f>
        <v>251</v>
      </c>
      <c r="K17" s="228">
        <f>SUM(K4:K16)</f>
        <v>1</v>
      </c>
    </row>
    <row r="19" spans="2:16" ht="16" hidden="1" outlineLevel="1" thickBot="1">
      <c r="B19" s="340"/>
      <c r="C19" s="341"/>
      <c r="D19" s="341"/>
      <c r="E19" s="341"/>
      <c r="F19" s="341"/>
      <c r="G19" s="341"/>
      <c r="H19" s="341"/>
      <c r="I19" s="341"/>
      <c r="J19" s="341"/>
      <c r="K19" s="341"/>
      <c r="L19" s="341"/>
      <c r="M19" s="342"/>
      <c r="O19" s="229"/>
      <c r="P19" s="229"/>
    </row>
    <row r="20" spans="2:16" ht="23.5" hidden="1" outlineLevel="1" thickBot="1">
      <c r="C20" s="216" t="s">
        <v>11</v>
      </c>
      <c r="D20" s="217" t="s">
        <v>113</v>
      </c>
      <c r="E20" s="218" t="s">
        <v>114</v>
      </c>
      <c r="F20" s="230" t="s">
        <v>115</v>
      </c>
      <c r="G20" s="217" t="s">
        <v>116</v>
      </c>
      <c r="J20" s="216" t="s">
        <v>117</v>
      </c>
      <c r="K20" s="217" t="s">
        <v>118</v>
      </c>
      <c r="L20" s="218" t="s">
        <v>114</v>
      </c>
      <c r="M20" s="219" t="s">
        <v>116</v>
      </c>
    </row>
    <row r="21" spans="2:16" ht="15" hidden="1" outlineLevel="1" thickBot="1">
      <c r="B21" s="231"/>
      <c r="C21" s="220"/>
      <c r="D21" s="221" t="e">
        <f>C21/C$73</f>
        <v>#DIV/0!</v>
      </c>
      <c r="E21" s="221" t="e">
        <f>D21</f>
        <v>#DIV/0!</v>
      </c>
      <c r="F21" s="222" t="e">
        <f t="shared" ref="F21:F72" si="7">IF(AND(E21&lt;=0),"C",IF(E21&lt;=0.8,"A",IF(E21&lt;=0.95,"B","C")))</f>
        <v>#DIV/0!</v>
      </c>
      <c r="G21" s="222" t="e">
        <f>VLOOKUP(B21:B72,I$21:M$72,5,0)</f>
        <v>#N/A</v>
      </c>
      <c r="I21" s="231"/>
      <c r="J21" s="220"/>
      <c r="K21" s="221" t="e">
        <f t="shared" ref="K21:K72" si="8">J21/J$73</f>
        <v>#DIV/0!</v>
      </c>
      <c r="L21" s="221" t="e">
        <f>K21</f>
        <v>#DIV/0!</v>
      </c>
      <c r="M21" s="222" t="e">
        <f>_xlfn.IFS(L21&lt;80%,"A",L21&lt;=95%,"B",L21&gt;95%,"C")</f>
        <v>#DIV/0!</v>
      </c>
    </row>
    <row r="22" spans="2:16" ht="15" hidden="1" outlineLevel="1" thickBot="1">
      <c r="B22" s="231"/>
      <c r="C22" s="220"/>
      <c r="D22" s="221" t="e">
        <f t="shared" ref="D22:D72" si="9">C22/C$73</f>
        <v>#DIV/0!</v>
      </c>
      <c r="E22" s="221" t="e">
        <f t="shared" ref="E22:E72" si="10">D22+E21</f>
        <v>#DIV/0!</v>
      </c>
      <c r="F22" s="222" t="e">
        <f t="shared" si="7"/>
        <v>#DIV/0!</v>
      </c>
      <c r="G22" s="222" t="e">
        <f t="shared" ref="G22:G72" si="11">VLOOKUP(B22:B73,I$21:M$72,5,0)</f>
        <v>#N/A</v>
      </c>
      <c r="I22" s="231"/>
      <c r="J22" s="220"/>
      <c r="K22" s="221" t="e">
        <f t="shared" si="8"/>
        <v>#DIV/0!</v>
      </c>
      <c r="L22" s="221" t="e">
        <f>K22+L21</f>
        <v>#DIV/0!</v>
      </c>
      <c r="M22" s="222" t="e">
        <f t="shared" ref="M22:M72" si="12">_xlfn.IFS(L22&lt;80%,"A",L22&lt;=95%,"B",L22&gt;95%,"C")</f>
        <v>#DIV/0!</v>
      </c>
    </row>
    <row r="23" spans="2:16" ht="15" hidden="1" outlineLevel="1" thickBot="1">
      <c r="B23" s="231"/>
      <c r="C23" s="220"/>
      <c r="D23" s="221" t="e">
        <f t="shared" si="9"/>
        <v>#DIV/0!</v>
      </c>
      <c r="E23" s="221" t="e">
        <f t="shared" si="10"/>
        <v>#DIV/0!</v>
      </c>
      <c r="F23" s="222" t="e">
        <f t="shared" si="7"/>
        <v>#DIV/0!</v>
      </c>
      <c r="G23" s="222" t="e">
        <f t="shared" si="11"/>
        <v>#N/A</v>
      </c>
      <c r="I23" s="231"/>
      <c r="J23" s="220"/>
      <c r="K23" s="221" t="e">
        <f t="shared" si="8"/>
        <v>#DIV/0!</v>
      </c>
      <c r="L23" s="221" t="e">
        <f t="shared" ref="L23:L72" si="13">K23+L22</f>
        <v>#DIV/0!</v>
      </c>
      <c r="M23" s="222" t="e">
        <f t="shared" si="12"/>
        <v>#DIV/0!</v>
      </c>
    </row>
    <row r="24" spans="2:16" ht="15" hidden="1" outlineLevel="1" thickBot="1">
      <c r="B24" s="231"/>
      <c r="C24" s="220"/>
      <c r="D24" s="221" t="e">
        <f t="shared" si="9"/>
        <v>#DIV/0!</v>
      </c>
      <c r="E24" s="221" t="e">
        <f t="shared" si="10"/>
        <v>#DIV/0!</v>
      </c>
      <c r="F24" s="222" t="e">
        <f t="shared" si="7"/>
        <v>#DIV/0!</v>
      </c>
      <c r="G24" s="222" t="e">
        <f t="shared" si="11"/>
        <v>#N/A</v>
      </c>
      <c r="I24" s="231"/>
      <c r="J24" s="220"/>
      <c r="K24" s="221" t="e">
        <f t="shared" si="8"/>
        <v>#DIV/0!</v>
      </c>
      <c r="L24" s="221" t="e">
        <f t="shared" si="13"/>
        <v>#DIV/0!</v>
      </c>
      <c r="M24" s="222" t="e">
        <f t="shared" si="12"/>
        <v>#DIV/0!</v>
      </c>
    </row>
    <row r="25" spans="2:16" ht="15" hidden="1" outlineLevel="1" thickBot="1">
      <c r="B25" s="231"/>
      <c r="C25" s="220"/>
      <c r="D25" s="221" t="e">
        <f t="shared" si="9"/>
        <v>#DIV/0!</v>
      </c>
      <c r="E25" s="221" t="e">
        <f t="shared" si="10"/>
        <v>#DIV/0!</v>
      </c>
      <c r="F25" s="222" t="e">
        <f t="shared" si="7"/>
        <v>#DIV/0!</v>
      </c>
      <c r="G25" s="222" t="e">
        <f t="shared" si="11"/>
        <v>#N/A</v>
      </c>
      <c r="I25" s="231"/>
      <c r="J25" s="220"/>
      <c r="K25" s="221" t="e">
        <f t="shared" si="8"/>
        <v>#DIV/0!</v>
      </c>
      <c r="L25" s="221" t="e">
        <f t="shared" si="13"/>
        <v>#DIV/0!</v>
      </c>
      <c r="M25" s="222" t="e">
        <f t="shared" si="12"/>
        <v>#DIV/0!</v>
      </c>
    </row>
    <row r="26" spans="2:16" ht="15" hidden="1" outlineLevel="1" thickBot="1">
      <c r="B26" s="231"/>
      <c r="C26" s="220"/>
      <c r="D26" s="221" t="e">
        <f t="shared" si="9"/>
        <v>#DIV/0!</v>
      </c>
      <c r="E26" s="221" t="e">
        <f t="shared" si="10"/>
        <v>#DIV/0!</v>
      </c>
      <c r="F26" s="222" t="e">
        <f t="shared" si="7"/>
        <v>#DIV/0!</v>
      </c>
      <c r="G26" s="222" t="e">
        <f t="shared" si="11"/>
        <v>#N/A</v>
      </c>
      <c r="I26" s="231"/>
      <c r="J26" s="220"/>
      <c r="K26" s="221" t="e">
        <f t="shared" si="8"/>
        <v>#DIV/0!</v>
      </c>
      <c r="L26" s="221" t="e">
        <f t="shared" si="13"/>
        <v>#DIV/0!</v>
      </c>
      <c r="M26" s="222" t="e">
        <f t="shared" si="12"/>
        <v>#DIV/0!</v>
      </c>
    </row>
    <row r="27" spans="2:16" ht="15" hidden="1" outlineLevel="1" thickBot="1">
      <c r="B27" s="231"/>
      <c r="C27" s="220"/>
      <c r="D27" s="221" t="e">
        <f t="shared" si="9"/>
        <v>#DIV/0!</v>
      </c>
      <c r="E27" s="221" t="e">
        <f t="shared" si="10"/>
        <v>#DIV/0!</v>
      </c>
      <c r="F27" s="222" t="e">
        <f t="shared" si="7"/>
        <v>#DIV/0!</v>
      </c>
      <c r="G27" s="222" t="e">
        <f t="shared" si="11"/>
        <v>#N/A</v>
      </c>
      <c r="I27" s="231"/>
      <c r="J27" s="220"/>
      <c r="K27" s="221" t="e">
        <f t="shared" si="8"/>
        <v>#DIV/0!</v>
      </c>
      <c r="L27" s="221" t="e">
        <f t="shared" si="13"/>
        <v>#DIV/0!</v>
      </c>
      <c r="M27" s="222" t="e">
        <f t="shared" si="12"/>
        <v>#DIV/0!</v>
      </c>
    </row>
    <row r="28" spans="2:16" ht="15" hidden="1" outlineLevel="1" thickBot="1">
      <c r="B28" s="231"/>
      <c r="C28" s="220"/>
      <c r="D28" s="221" t="e">
        <f t="shared" si="9"/>
        <v>#DIV/0!</v>
      </c>
      <c r="E28" s="221" t="e">
        <f t="shared" si="10"/>
        <v>#DIV/0!</v>
      </c>
      <c r="F28" s="222" t="e">
        <f t="shared" si="7"/>
        <v>#DIV/0!</v>
      </c>
      <c r="G28" s="222" t="e">
        <f t="shared" si="11"/>
        <v>#N/A</v>
      </c>
      <c r="I28" s="231"/>
      <c r="J28" s="220"/>
      <c r="K28" s="221" t="e">
        <f t="shared" si="8"/>
        <v>#DIV/0!</v>
      </c>
      <c r="L28" s="221" t="e">
        <f t="shared" si="13"/>
        <v>#DIV/0!</v>
      </c>
      <c r="M28" s="222" t="e">
        <f t="shared" si="12"/>
        <v>#DIV/0!</v>
      </c>
    </row>
    <row r="29" spans="2:16" ht="15" hidden="1" outlineLevel="1" thickBot="1">
      <c r="B29" s="231"/>
      <c r="C29" s="220"/>
      <c r="D29" s="221" t="e">
        <f t="shared" si="9"/>
        <v>#DIV/0!</v>
      </c>
      <c r="E29" s="221" t="e">
        <f t="shared" si="10"/>
        <v>#DIV/0!</v>
      </c>
      <c r="F29" s="222" t="e">
        <f t="shared" si="7"/>
        <v>#DIV/0!</v>
      </c>
      <c r="G29" s="222" t="e">
        <f t="shared" si="11"/>
        <v>#N/A</v>
      </c>
      <c r="I29" s="231"/>
      <c r="J29" s="220"/>
      <c r="K29" s="221" t="e">
        <f t="shared" si="8"/>
        <v>#DIV/0!</v>
      </c>
      <c r="L29" s="221" t="e">
        <f t="shared" si="13"/>
        <v>#DIV/0!</v>
      </c>
      <c r="M29" s="222" t="e">
        <f t="shared" si="12"/>
        <v>#DIV/0!</v>
      </c>
    </row>
    <row r="30" spans="2:16" ht="15" hidden="1" outlineLevel="1" thickBot="1">
      <c r="B30" s="231"/>
      <c r="C30" s="220"/>
      <c r="D30" s="221" t="e">
        <f t="shared" si="9"/>
        <v>#DIV/0!</v>
      </c>
      <c r="E30" s="221" t="e">
        <f t="shared" si="10"/>
        <v>#DIV/0!</v>
      </c>
      <c r="F30" s="222" t="e">
        <f t="shared" si="7"/>
        <v>#DIV/0!</v>
      </c>
      <c r="G30" s="222" t="e">
        <f t="shared" si="11"/>
        <v>#N/A</v>
      </c>
      <c r="I30" s="231"/>
      <c r="J30" s="220"/>
      <c r="K30" s="221" t="e">
        <f t="shared" si="8"/>
        <v>#DIV/0!</v>
      </c>
      <c r="L30" s="221" t="e">
        <f t="shared" si="13"/>
        <v>#DIV/0!</v>
      </c>
      <c r="M30" s="222" t="e">
        <f t="shared" si="12"/>
        <v>#DIV/0!</v>
      </c>
    </row>
    <row r="31" spans="2:16" ht="15" hidden="1" outlineLevel="1" thickBot="1">
      <c r="B31" s="231"/>
      <c r="C31" s="220"/>
      <c r="D31" s="221" t="e">
        <f t="shared" si="9"/>
        <v>#DIV/0!</v>
      </c>
      <c r="E31" s="221" t="e">
        <f t="shared" si="10"/>
        <v>#DIV/0!</v>
      </c>
      <c r="F31" s="222" t="e">
        <f t="shared" si="7"/>
        <v>#DIV/0!</v>
      </c>
      <c r="G31" s="222" t="e">
        <f t="shared" si="11"/>
        <v>#N/A</v>
      </c>
      <c r="I31" s="231"/>
      <c r="J31" s="220"/>
      <c r="K31" s="221" t="e">
        <f t="shared" si="8"/>
        <v>#DIV/0!</v>
      </c>
      <c r="L31" s="221" t="e">
        <f t="shared" si="13"/>
        <v>#DIV/0!</v>
      </c>
      <c r="M31" s="222" t="e">
        <f t="shared" si="12"/>
        <v>#DIV/0!</v>
      </c>
    </row>
    <row r="32" spans="2:16" ht="15" hidden="1" outlineLevel="1" thickBot="1">
      <c r="B32" s="231"/>
      <c r="C32" s="220"/>
      <c r="D32" s="221" t="e">
        <f t="shared" si="9"/>
        <v>#DIV/0!</v>
      </c>
      <c r="E32" s="221" t="e">
        <f t="shared" si="10"/>
        <v>#DIV/0!</v>
      </c>
      <c r="F32" s="222" t="e">
        <f t="shared" si="7"/>
        <v>#DIV/0!</v>
      </c>
      <c r="G32" s="222" t="e">
        <f t="shared" si="11"/>
        <v>#N/A</v>
      </c>
      <c r="I32" s="231"/>
      <c r="J32" s="220"/>
      <c r="K32" s="221" t="e">
        <f t="shared" si="8"/>
        <v>#DIV/0!</v>
      </c>
      <c r="L32" s="221" t="e">
        <f t="shared" si="13"/>
        <v>#DIV/0!</v>
      </c>
      <c r="M32" s="222" t="e">
        <f t="shared" si="12"/>
        <v>#DIV/0!</v>
      </c>
    </row>
    <row r="33" spans="2:13" ht="15" hidden="1" outlineLevel="1" thickBot="1">
      <c r="B33" s="231"/>
      <c r="C33" s="220"/>
      <c r="D33" s="221" t="e">
        <f t="shared" si="9"/>
        <v>#DIV/0!</v>
      </c>
      <c r="E33" s="221" t="e">
        <f t="shared" si="10"/>
        <v>#DIV/0!</v>
      </c>
      <c r="F33" s="222" t="e">
        <f t="shared" si="7"/>
        <v>#DIV/0!</v>
      </c>
      <c r="G33" s="222" t="e">
        <f t="shared" si="11"/>
        <v>#N/A</v>
      </c>
      <c r="I33" s="231"/>
      <c r="J33" s="220"/>
      <c r="K33" s="221" t="e">
        <f t="shared" si="8"/>
        <v>#DIV/0!</v>
      </c>
      <c r="L33" s="221" t="e">
        <f t="shared" si="13"/>
        <v>#DIV/0!</v>
      </c>
      <c r="M33" s="222" t="e">
        <f t="shared" si="12"/>
        <v>#DIV/0!</v>
      </c>
    </row>
    <row r="34" spans="2:13" ht="15" hidden="1" outlineLevel="1" thickBot="1">
      <c r="B34" s="231"/>
      <c r="C34" s="220"/>
      <c r="D34" s="221" t="e">
        <f t="shared" si="9"/>
        <v>#DIV/0!</v>
      </c>
      <c r="E34" s="221" t="e">
        <f t="shared" si="10"/>
        <v>#DIV/0!</v>
      </c>
      <c r="F34" s="222" t="e">
        <f t="shared" si="7"/>
        <v>#DIV/0!</v>
      </c>
      <c r="G34" s="222" t="e">
        <f t="shared" si="11"/>
        <v>#N/A</v>
      </c>
      <c r="I34" s="231"/>
      <c r="J34" s="220"/>
      <c r="K34" s="221" t="e">
        <f t="shared" si="8"/>
        <v>#DIV/0!</v>
      </c>
      <c r="L34" s="221" t="e">
        <f t="shared" si="13"/>
        <v>#DIV/0!</v>
      </c>
      <c r="M34" s="222" t="e">
        <f t="shared" si="12"/>
        <v>#DIV/0!</v>
      </c>
    </row>
    <row r="35" spans="2:13" ht="15" hidden="1" outlineLevel="1" thickBot="1">
      <c r="B35" s="231"/>
      <c r="C35" s="220"/>
      <c r="D35" s="221" t="e">
        <f t="shared" si="9"/>
        <v>#DIV/0!</v>
      </c>
      <c r="E35" s="221" t="e">
        <f t="shared" si="10"/>
        <v>#DIV/0!</v>
      </c>
      <c r="F35" s="222" t="e">
        <f t="shared" si="7"/>
        <v>#DIV/0!</v>
      </c>
      <c r="G35" s="222" t="e">
        <f t="shared" si="11"/>
        <v>#N/A</v>
      </c>
      <c r="I35" s="231"/>
      <c r="J35" s="220"/>
      <c r="K35" s="221" t="e">
        <f t="shared" si="8"/>
        <v>#DIV/0!</v>
      </c>
      <c r="L35" s="221" t="e">
        <f t="shared" si="13"/>
        <v>#DIV/0!</v>
      </c>
      <c r="M35" s="222" t="e">
        <f t="shared" si="12"/>
        <v>#DIV/0!</v>
      </c>
    </row>
    <row r="36" spans="2:13" ht="15" hidden="1" outlineLevel="1" thickBot="1">
      <c r="B36" s="231"/>
      <c r="C36" s="220"/>
      <c r="D36" s="221" t="e">
        <f t="shared" si="9"/>
        <v>#DIV/0!</v>
      </c>
      <c r="E36" s="221" t="e">
        <f t="shared" si="10"/>
        <v>#DIV/0!</v>
      </c>
      <c r="F36" s="222" t="e">
        <f t="shared" si="7"/>
        <v>#DIV/0!</v>
      </c>
      <c r="G36" s="222" t="e">
        <f t="shared" si="11"/>
        <v>#N/A</v>
      </c>
      <c r="I36" s="231"/>
      <c r="J36" s="220"/>
      <c r="K36" s="221" t="e">
        <f t="shared" si="8"/>
        <v>#DIV/0!</v>
      </c>
      <c r="L36" s="221" t="e">
        <f t="shared" si="13"/>
        <v>#DIV/0!</v>
      </c>
      <c r="M36" s="222" t="e">
        <f t="shared" si="12"/>
        <v>#DIV/0!</v>
      </c>
    </row>
    <row r="37" spans="2:13" ht="15" hidden="1" outlineLevel="1" thickBot="1">
      <c r="B37" s="231"/>
      <c r="C37" s="220"/>
      <c r="D37" s="221" t="e">
        <f t="shared" si="9"/>
        <v>#DIV/0!</v>
      </c>
      <c r="E37" s="221" t="e">
        <f t="shared" si="10"/>
        <v>#DIV/0!</v>
      </c>
      <c r="F37" s="222" t="e">
        <f t="shared" si="7"/>
        <v>#DIV/0!</v>
      </c>
      <c r="G37" s="222" t="e">
        <f t="shared" si="11"/>
        <v>#N/A</v>
      </c>
      <c r="I37" s="231"/>
      <c r="J37" s="220"/>
      <c r="K37" s="221" t="e">
        <f t="shared" si="8"/>
        <v>#DIV/0!</v>
      </c>
      <c r="L37" s="221" t="e">
        <f t="shared" si="13"/>
        <v>#DIV/0!</v>
      </c>
      <c r="M37" s="222" t="e">
        <f t="shared" si="12"/>
        <v>#DIV/0!</v>
      </c>
    </row>
    <row r="38" spans="2:13" ht="15" hidden="1" outlineLevel="1" thickBot="1">
      <c r="B38" s="231"/>
      <c r="C38" s="220"/>
      <c r="D38" s="221" t="e">
        <f t="shared" si="9"/>
        <v>#DIV/0!</v>
      </c>
      <c r="E38" s="221" t="e">
        <f t="shared" si="10"/>
        <v>#DIV/0!</v>
      </c>
      <c r="F38" s="222" t="e">
        <f t="shared" si="7"/>
        <v>#DIV/0!</v>
      </c>
      <c r="G38" s="222" t="e">
        <f t="shared" si="11"/>
        <v>#N/A</v>
      </c>
      <c r="I38" s="231"/>
      <c r="J38" s="220"/>
      <c r="K38" s="221" t="e">
        <f t="shared" si="8"/>
        <v>#DIV/0!</v>
      </c>
      <c r="L38" s="221" t="e">
        <f t="shared" si="13"/>
        <v>#DIV/0!</v>
      </c>
      <c r="M38" s="222" t="e">
        <f t="shared" si="12"/>
        <v>#DIV/0!</v>
      </c>
    </row>
    <row r="39" spans="2:13" ht="15" hidden="1" outlineLevel="1" thickBot="1">
      <c r="B39" s="231"/>
      <c r="C39" s="220"/>
      <c r="D39" s="221" t="e">
        <f t="shared" si="9"/>
        <v>#DIV/0!</v>
      </c>
      <c r="E39" s="221" t="e">
        <f t="shared" si="10"/>
        <v>#DIV/0!</v>
      </c>
      <c r="F39" s="222" t="e">
        <f t="shared" si="7"/>
        <v>#DIV/0!</v>
      </c>
      <c r="G39" s="222" t="e">
        <f t="shared" si="11"/>
        <v>#N/A</v>
      </c>
      <c r="I39" s="231"/>
      <c r="J39" s="220"/>
      <c r="K39" s="221" t="e">
        <f t="shared" si="8"/>
        <v>#DIV/0!</v>
      </c>
      <c r="L39" s="221" t="e">
        <f t="shared" si="13"/>
        <v>#DIV/0!</v>
      </c>
      <c r="M39" s="222" t="e">
        <f t="shared" si="12"/>
        <v>#DIV/0!</v>
      </c>
    </row>
    <row r="40" spans="2:13" ht="15" hidden="1" outlineLevel="1" thickBot="1">
      <c r="B40" s="231"/>
      <c r="C40" s="220"/>
      <c r="D40" s="221" t="e">
        <f t="shared" si="9"/>
        <v>#DIV/0!</v>
      </c>
      <c r="E40" s="221" t="e">
        <f t="shared" si="10"/>
        <v>#DIV/0!</v>
      </c>
      <c r="F40" s="222" t="e">
        <f t="shared" si="7"/>
        <v>#DIV/0!</v>
      </c>
      <c r="G40" s="222" t="e">
        <f t="shared" si="11"/>
        <v>#N/A</v>
      </c>
      <c r="I40" s="231"/>
      <c r="J40" s="220"/>
      <c r="K40" s="221" t="e">
        <f t="shared" si="8"/>
        <v>#DIV/0!</v>
      </c>
      <c r="L40" s="221" t="e">
        <f t="shared" si="13"/>
        <v>#DIV/0!</v>
      </c>
      <c r="M40" s="222" t="e">
        <f t="shared" si="12"/>
        <v>#DIV/0!</v>
      </c>
    </row>
    <row r="41" spans="2:13" ht="15" hidden="1" outlineLevel="1" thickBot="1">
      <c r="B41" s="231"/>
      <c r="C41" s="220"/>
      <c r="D41" s="221" t="e">
        <f t="shared" si="9"/>
        <v>#DIV/0!</v>
      </c>
      <c r="E41" s="221" t="e">
        <f t="shared" si="10"/>
        <v>#DIV/0!</v>
      </c>
      <c r="F41" s="222" t="e">
        <f t="shared" si="7"/>
        <v>#DIV/0!</v>
      </c>
      <c r="G41" s="222" t="e">
        <f t="shared" si="11"/>
        <v>#N/A</v>
      </c>
      <c r="I41" s="231"/>
      <c r="J41" s="220"/>
      <c r="K41" s="221" t="e">
        <f t="shared" si="8"/>
        <v>#DIV/0!</v>
      </c>
      <c r="L41" s="221" t="e">
        <f t="shared" si="13"/>
        <v>#DIV/0!</v>
      </c>
      <c r="M41" s="222" t="e">
        <f t="shared" si="12"/>
        <v>#DIV/0!</v>
      </c>
    </row>
    <row r="42" spans="2:13" ht="15" hidden="1" outlineLevel="1" thickBot="1">
      <c r="B42" s="231"/>
      <c r="C42" s="220"/>
      <c r="D42" s="221" t="e">
        <f t="shared" si="9"/>
        <v>#DIV/0!</v>
      </c>
      <c r="E42" s="221" t="e">
        <f t="shared" si="10"/>
        <v>#DIV/0!</v>
      </c>
      <c r="F42" s="222" t="e">
        <f t="shared" si="7"/>
        <v>#DIV/0!</v>
      </c>
      <c r="G42" s="222" t="e">
        <f t="shared" si="11"/>
        <v>#N/A</v>
      </c>
      <c r="I42" s="231"/>
      <c r="J42" s="220"/>
      <c r="K42" s="221" t="e">
        <f t="shared" si="8"/>
        <v>#DIV/0!</v>
      </c>
      <c r="L42" s="221" t="e">
        <f t="shared" si="13"/>
        <v>#DIV/0!</v>
      </c>
      <c r="M42" s="222" t="e">
        <f t="shared" si="12"/>
        <v>#DIV/0!</v>
      </c>
    </row>
    <row r="43" spans="2:13" ht="15" hidden="1" outlineLevel="1" thickBot="1">
      <c r="B43" s="231"/>
      <c r="C43" s="220"/>
      <c r="D43" s="221" t="e">
        <f t="shared" si="9"/>
        <v>#DIV/0!</v>
      </c>
      <c r="E43" s="221" t="e">
        <f t="shared" si="10"/>
        <v>#DIV/0!</v>
      </c>
      <c r="F43" s="222" t="e">
        <f t="shared" si="7"/>
        <v>#DIV/0!</v>
      </c>
      <c r="G43" s="222" t="e">
        <f t="shared" si="11"/>
        <v>#N/A</v>
      </c>
      <c r="I43" s="231"/>
      <c r="J43" s="220"/>
      <c r="K43" s="221" t="e">
        <f t="shared" si="8"/>
        <v>#DIV/0!</v>
      </c>
      <c r="L43" s="221" t="e">
        <f t="shared" si="13"/>
        <v>#DIV/0!</v>
      </c>
      <c r="M43" s="222" t="e">
        <f t="shared" si="12"/>
        <v>#DIV/0!</v>
      </c>
    </row>
    <row r="44" spans="2:13" ht="15" hidden="1" outlineLevel="1" thickBot="1">
      <c r="B44" s="231"/>
      <c r="C44" s="220"/>
      <c r="D44" s="221" t="e">
        <f t="shared" si="9"/>
        <v>#DIV/0!</v>
      </c>
      <c r="E44" s="221" t="e">
        <f t="shared" si="10"/>
        <v>#DIV/0!</v>
      </c>
      <c r="F44" s="222" t="e">
        <f t="shared" si="7"/>
        <v>#DIV/0!</v>
      </c>
      <c r="G44" s="222" t="e">
        <f t="shared" si="11"/>
        <v>#N/A</v>
      </c>
      <c r="I44" s="231"/>
      <c r="J44" s="220"/>
      <c r="K44" s="221" t="e">
        <f t="shared" si="8"/>
        <v>#DIV/0!</v>
      </c>
      <c r="L44" s="221" t="e">
        <f t="shared" si="13"/>
        <v>#DIV/0!</v>
      </c>
      <c r="M44" s="222" t="e">
        <f t="shared" si="12"/>
        <v>#DIV/0!</v>
      </c>
    </row>
    <row r="45" spans="2:13" ht="15" hidden="1" outlineLevel="1" thickBot="1">
      <c r="B45" s="231"/>
      <c r="C45" s="220"/>
      <c r="D45" s="221" t="e">
        <f t="shared" si="9"/>
        <v>#DIV/0!</v>
      </c>
      <c r="E45" s="221" t="e">
        <f t="shared" si="10"/>
        <v>#DIV/0!</v>
      </c>
      <c r="F45" s="222" t="e">
        <f t="shared" si="7"/>
        <v>#DIV/0!</v>
      </c>
      <c r="G45" s="222" t="e">
        <f t="shared" si="11"/>
        <v>#N/A</v>
      </c>
      <c r="I45" s="231"/>
      <c r="J45" s="220"/>
      <c r="K45" s="221" t="e">
        <f t="shared" si="8"/>
        <v>#DIV/0!</v>
      </c>
      <c r="L45" s="221" t="e">
        <f t="shared" si="13"/>
        <v>#DIV/0!</v>
      </c>
      <c r="M45" s="222" t="e">
        <f t="shared" si="12"/>
        <v>#DIV/0!</v>
      </c>
    </row>
    <row r="46" spans="2:13" ht="15" hidden="1" outlineLevel="1" thickBot="1">
      <c r="B46" s="231"/>
      <c r="C46" s="220"/>
      <c r="D46" s="221" t="e">
        <f t="shared" si="9"/>
        <v>#DIV/0!</v>
      </c>
      <c r="E46" s="221" t="e">
        <f t="shared" si="10"/>
        <v>#DIV/0!</v>
      </c>
      <c r="F46" s="222" t="e">
        <f t="shared" si="7"/>
        <v>#DIV/0!</v>
      </c>
      <c r="G46" s="222" t="e">
        <f t="shared" si="11"/>
        <v>#N/A</v>
      </c>
      <c r="I46" s="231"/>
      <c r="J46" s="220"/>
      <c r="K46" s="221" t="e">
        <f t="shared" si="8"/>
        <v>#DIV/0!</v>
      </c>
      <c r="L46" s="221" t="e">
        <f t="shared" si="13"/>
        <v>#DIV/0!</v>
      </c>
      <c r="M46" s="222" t="e">
        <f t="shared" si="12"/>
        <v>#DIV/0!</v>
      </c>
    </row>
    <row r="47" spans="2:13" ht="15" hidden="1" outlineLevel="1" thickBot="1">
      <c r="B47" s="231"/>
      <c r="C47" s="220"/>
      <c r="D47" s="221" t="e">
        <f t="shared" si="9"/>
        <v>#DIV/0!</v>
      </c>
      <c r="E47" s="221" t="e">
        <f t="shared" si="10"/>
        <v>#DIV/0!</v>
      </c>
      <c r="F47" s="222" t="e">
        <f t="shared" si="7"/>
        <v>#DIV/0!</v>
      </c>
      <c r="G47" s="222" t="e">
        <f t="shared" si="11"/>
        <v>#N/A</v>
      </c>
      <c r="I47" s="231"/>
      <c r="J47" s="220"/>
      <c r="K47" s="221" t="e">
        <f t="shared" si="8"/>
        <v>#DIV/0!</v>
      </c>
      <c r="L47" s="221" t="e">
        <f t="shared" si="13"/>
        <v>#DIV/0!</v>
      </c>
      <c r="M47" s="222" t="e">
        <f t="shared" si="12"/>
        <v>#DIV/0!</v>
      </c>
    </row>
    <row r="48" spans="2:13" ht="15" hidden="1" outlineLevel="1" thickBot="1">
      <c r="B48" s="231"/>
      <c r="C48" s="220"/>
      <c r="D48" s="221" t="e">
        <f t="shared" si="9"/>
        <v>#DIV/0!</v>
      </c>
      <c r="E48" s="221" t="e">
        <f t="shared" si="10"/>
        <v>#DIV/0!</v>
      </c>
      <c r="F48" s="222" t="e">
        <f t="shared" si="7"/>
        <v>#DIV/0!</v>
      </c>
      <c r="G48" s="222" t="e">
        <f t="shared" si="11"/>
        <v>#N/A</v>
      </c>
      <c r="I48" s="231"/>
      <c r="J48" s="220"/>
      <c r="K48" s="221" t="e">
        <f t="shared" si="8"/>
        <v>#DIV/0!</v>
      </c>
      <c r="L48" s="221" t="e">
        <f t="shared" si="13"/>
        <v>#DIV/0!</v>
      </c>
      <c r="M48" s="222" t="e">
        <f t="shared" si="12"/>
        <v>#DIV/0!</v>
      </c>
    </row>
    <row r="49" spans="2:13" ht="15" hidden="1" outlineLevel="1" thickBot="1">
      <c r="B49" s="231"/>
      <c r="C49" s="220"/>
      <c r="D49" s="221" t="e">
        <f t="shared" si="9"/>
        <v>#DIV/0!</v>
      </c>
      <c r="E49" s="221" t="e">
        <f t="shared" si="10"/>
        <v>#DIV/0!</v>
      </c>
      <c r="F49" s="222" t="e">
        <f t="shared" si="7"/>
        <v>#DIV/0!</v>
      </c>
      <c r="G49" s="222" t="e">
        <f t="shared" si="11"/>
        <v>#N/A</v>
      </c>
      <c r="I49" s="231"/>
      <c r="J49" s="220"/>
      <c r="K49" s="221" t="e">
        <f t="shared" si="8"/>
        <v>#DIV/0!</v>
      </c>
      <c r="L49" s="221" t="e">
        <f t="shared" si="13"/>
        <v>#DIV/0!</v>
      </c>
      <c r="M49" s="222" t="e">
        <f t="shared" si="12"/>
        <v>#DIV/0!</v>
      </c>
    </row>
    <row r="50" spans="2:13" ht="15" hidden="1" outlineLevel="1" thickBot="1">
      <c r="B50" s="231"/>
      <c r="C50" s="220"/>
      <c r="D50" s="221" t="e">
        <f t="shared" si="9"/>
        <v>#DIV/0!</v>
      </c>
      <c r="E50" s="221" t="e">
        <f t="shared" si="10"/>
        <v>#DIV/0!</v>
      </c>
      <c r="F50" s="222" t="e">
        <f t="shared" si="7"/>
        <v>#DIV/0!</v>
      </c>
      <c r="G50" s="222" t="e">
        <f t="shared" si="11"/>
        <v>#N/A</v>
      </c>
      <c r="I50" s="231"/>
      <c r="J50" s="220"/>
      <c r="K50" s="221" t="e">
        <f t="shared" si="8"/>
        <v>#DIV/0!</v>
      </c>
      <c r="L50" s="221" t="e">
        <f t="shared" si="13"/>
        <v>#DIV/0!</v>
      </c>
      <c r="M50" s="222" t="e">
        <f t="shared" si="12"/>
        <v>#DIV/0!</v>
      </c>
    </row>
    <row r="51" spans="2:13" ht="15" hidden="1" outlineLevel="1" thickBot="1">
      <c r="B51" s="231"/>
      <c r="C51" s="220"/>
      <c r="D51" s="221" t="e">
        <f t="shared" si="9"/>
        <v>#DIV/0!</v>
      </c>
      <c r="E51" s="221" t="e">
        <f t="shared" si="10"/>
        <v>#DIV/0!</v>
      </c>
      <c r="F51" s="222" t="e">
        <f t="shared" si="7"/>
        <v>#DIV/0!</v>
      </c>
      <c r="G51" s="222" t="e">
        <f t="shared" si="11"/>
        <v>#N/A</v>
      </c>
      <c r="I51" s="231"/>
      <c r="J51" s="220"/>
      <c r="K51" s="221" t="e">
        <f t="shared" si="8"/>
        <v>#DIV/0!</v>
      </c>
      <c r="L51" s="221" t="e">
        <f t="shared" si="13"/>
        <v>#DIV/0!</v>
      </c>
      <c r="M51" s="222" t="e">
        <f t="shared" si="12"/>
        <v>#DIV/0!</v>
      </c>
    </row>
    <row r="52" spans="2:13" ht="15" hidden="1" outlineLevel="1" thickBot="1">
      <c r="B52" s="231"/>
      <c r="C52" s="220"/>
      <c r="D52" s="221" t="e">
        <f t="shared" si="9"/>
        <v>#DIV/0!</v>
      </c>
      <c r="E52" s="221" t="e">
        <f t="shared" si="10"/>
        <v>#DIV/0!</v>
      </c>
      <c r="F52" s="222" t="e">
        <f t="shared" si="7"/>
        <v>#DIV/0!</v>
      </c>
      <c r="G52" s="222" t="e">
        <f t="shared" si="11"/>
        <v>#N/A</v>
      </c>
      <c r="I52" s="231"/>
      <c r="J52" s="220"/>
      <c r="K52" s="221" t="e">
        <f t="shared" si="8"/>
        <v>#DIV/0!</v>
      </c>
      <c r="L52" s="221" t="e">
        <f t="shared" si="13"/>
        <v>#DIV/0!</v>
      </c>
      <c r="M52" s="222" t="e">
        <f t="shared" si="12"/>
        <v>#DIV/0!</v>
      </c>
    </row>
    <row r="53" spans="2:13" ht="15" hidden="1" customHeight="1" outlineLevel="1">
      <c r="B53" s="231"/>
      <c r="C53" s="220"/>
      <c r="D53" s="221" t="e">
        <f t="shared" si="9"/>
        <v>#DIV/0!</v>
      </c>
      <c r="E53" s="221" t="e">
        <f t="shared" si="10"/>
        <v>#DIV/0!</v>
      </c>
      <c r="F53" s="222" t="e">
        <f t="shared" si="7"/>
        <v>#DIV/0!</v>
      </c>
      <c r="G53" s="222" t="e">
        <f t="shared" si="11"/>
        <v>#N/A</v>
      </c>
      <c r="I53" s="231"/>
      <c r="J53" s="220"/>
      <c r="K53" s="221" t="e">
        <f t="shared" si="8"/>
        <v>#DIV/0!</v>
      </c>
      <c r="L53" s="221" t="e">
        <f t="shared" si="13"/>
        <v>#DIV/0!</v>
      </c>
      <c r="M53" s="222" t="e">
        <f t="shared" si="12"/>
        <v>#DIV/0!</v>
      </c>
    </row>
    <row r="54" spans="2:13" ht="15" hidden="1" outlineLevel="1" thickBot="1">
      <c r="B54" s="231"/>
      <c r="C54" s="220"/>
      <c r="D54" s="221" t="e">
        <f t="shared" si="9"/>
        <v>#DIV/0!</v>
      </c>
      <c r="E54" s="221" t="e">
        <f t="shared" si="10"/>
        <v>#DIV/0!</v>
      </c>
      <c r="F54" s="222" t="e">
        <f t="shared" si="7"/>
        <v>#DIV/0!</v>
      </c>
      <c r="G54" s="222" t="e">
        <f t="shared" si="11"/>
        <v>#N/A</v>
      </c>
      <c r="I54" s="231"/>
      <c r="J54" s="220"/>
      <c r="K54" s="221" t="e">
        <f t="shared" si="8"/>
        <v>#DIV/0!</v>
      </c>
      <c r="L54" s="221" t="e">
        <f t="shared" si="13"/>
        <v>#DIV/0!</v>
      </c>
      <c r="M54" s="222" t="e">
        <f t="shared" si="12"/>
        <v>#DIV/0!</v>
      </c>
    </row>
    <row r="55" spans="2:13" ht="15" hidden="1" outlineLevel="1" thickBot="1">
      <c r="B55" s="231"/>
      <c r="C55" s="220"/>
      <c r="D55" s="221" t="e">
        <f t="shared" si="9"/>
        <v>#DIV/0!</v>
      </c>
      <c r="E55" s="221" t="e">
        <f t="shared" si="10"/>
        <v>#DIV/0!</v>
      </c>
      <c r="F55" s="222" t="e">
        <f t="shared" si="7"/>
        <v>#DIV/0!</v>
      </c>
      <c r="G55" s="222" t="e">
        <f t="shared" si="11"/>
        <v>#N/A</v>
      </c>
      <c r="I55" s="231"/>
      <c r="J55" s="220"/>
      <c r="K55" s="221" t="e">
        <f t="shared" si="8"/>
        <v>#DIV/0!</v>
      </c>
      <c r="L55" s="221" t="e">
        <f t="shared" si="13"/>
        <v>#DIV/0!</v>
      </c>
      <c r="M55" s="222" t="e">
        <f t="shared" si="12"/>
        <v>#DIV/0!</v>
      </c>
    </row>
    <row r="56" spans="2:13" ht="15" hidden="1" outlineLevel="1" thickBot="1">
      <c r="B56" s="231"/>
      <c r="C56" s="220"/>
      <c r="D56" s="221" t="e">
        <f t="shared" si="9"/>
        <v>#DIV/0!</v>
      </c>
      <c r="E56" s="221" t="e">
        <f t="shared" si="10"/>
        <v>#DIV/0!</v>
      </c>
      <c r="F56" s="222" t="e">
        <f t="shared" si="7"/>
        <v>#DIV/0!</v>
      </c>
      <c r="G56" s="222" t="e">
        <f t="shared" si="11"/>
        <v>#N/A</v>
      </c>
      <c r="I56" s="231"/>
      <c r="J56" s="220"/>
      <c r="K56" s="221" t="e">
        <f t="shared" si="8"/>
        <v>#DIV/0!</v>
      </c>
      <c r="L56" s="221" t="e">
        <f t="shared" si="13"/>
        <v>#DIV/0!</v>
      </c>
      <c r="M56" s="222" t="e">
        <f t="shared" si="12"/>
        <v>#DIV/0!</v>
      </c>
    </row>
    <row r="57" spans="2:13" ht="15" hidden="1" outlineLevel="1" thickBot="1">
      <c r="B57" s="231"/>
      <c r="C57" s="220"/>
      <c r="D57" s="221" t="e">
        <f t="shared" si="9"/>
        <v>#DIV/0!</v>
      </c>
      <c r="E57" s="221" t="e">
        <f t="shared" si="10"/>
        <v>#DIV/0!</v>
      </c>
      <c r="F57" s="222" t="e">
        <f t="shared" si="7"/>
        <v>#DIV/0!</v>
      </c>
      <c r="G57" s="222" t="e">
        <f t="shared" si="11"/>
        <v>#N/A</v>
      </c>
      <c r="I57" s="231"/>
      <c r="J57" s="220"/>
      <c r="K57" s="221" t="e">
        <f t="shared" si="8"/>
        <v>#DIV/0!</v>
      </c>
      <c r="L57" s="221" t="e">
        <f t="shared" si="13"/>
        <v>#DIV/0!</v>
      </c>
      <c r="M57" s="222" t="e">
        <f t="shared" si="12"/>
        <v>#DIV/0!</v>
      </c>
    </row>
    <row r="58" spans="2:13" ht="15" hidden="1" outlineLevel="1" thickBot="1">
      <c r="B58" s="231"/>
      <c r="C58" s="220"/>
      <c r="D58" s="221" t="e">
        <f t="shared" si="9"/>
        <v>#DIV/0!</v>
      </c>
      <c r="E58" s="221" t="e">
        <f t="shared" si="10"/>
        <v>#DIV/0!</v>
      </c>
      <c r="F58" s="222" t="e">
        <f t="shared" si="7"/>
        <v>#DIV/0!</v>
      </c>
      <c r="G58" s="222" t="e">
        <f t="shared" si="11"/>
        <v>#N/A</v>
      </c>
      <c r="I58" s="231"/>
      <c r="J58" s="220"/>
      <c r="K58" s="221" t="e">
        <f t="shared" si="8"/>
        <v>#DIV/0!</v>
      </c>
      <c r="L58" s="221" t="e">
        <f t="shared" si="13"/>
        <v>#DIV/0!</v>
      </c>
      <c r="M58" s="222" t="e">
        <f t="shared" si="12"/>
        <v>#DIV/0!</v>
      </c>
    </row>
    <row r="59" spans="2:13" ht="15" hidden="1" outlineLevel="1" thickBot="1">
      <c r="B59" s="231"/>
      <c r="C59" s="220"/>
      <c r="D59" s="221" t="e">
        <f t="shared" si="9"/>
        <v>#DIV/0!</v>
      </c>
      <c r="E59" s="221" t="e">
        <f t="shared" si="10"/>
        <v>#DIV/0!</v>
      </c>
      <c r="F59" s="222" t="e">
        <f t="shared" si="7"/>
        <v>#DIV/0!</v>
      </c>
      <c r="G59" s="222" t="e">
        <f t="shared" si="11"/>
        <v>#N/A</v>
      </c>
      <c r="I59" s="231"/>
      <c r="J59" s="220"/>
      <c r="K59" s="221" t="e">
        <f t="shared" si="8"/>
        <v>#DIV/0!</v>
      </c>
      <c r="L59" s="221" t="e">
        <f t="shared" si="13"/>
        <v>#DIV/0!</v>
      </c>
      <c r="M59" s="222" t="e">
        <f t="shared" si="12"/>
        <v>#DIV/0!</v>
      </c>
    </row>
    <row r="60" spans="2:13" ht="15" hidden="1" outlineLevel="1" thickBot="1">
      <c r="B60" s="231"/>
      <c r="C60" s="220"/>
      <c r="D60" s="221" t="e">
        <f t="shared" si="9"/>
        <v>#DIV/0!</v>
      </c>
      <c r="E60" s="221" t="e">
        <f t="shared" si="10"/>
        <v>#DIV/0!</v>
      </c>
      <c r="F60" s="222" t="e">
        <f t="shared" si="7"/>
        <v>#DIV/0!</v>
      </c>
      <c r="G60" s="222" t="e">
        <f t="shared" si="11"/>
        <v>#N/A</v>
      </c>
      <c r="I60" s="231"/>
      <c r="J60" s="220"/>
      <c r="K60" s="221" t="e">
        <f t="shared" si="8"/>
        <v>#DIV/0!</v>
      </c>
      <c r="L60" s="221" t="e">
        <f t="shared" si="13"/>
        <v>#DIV/0!</v>
      </c>
      <c r="M60" s="222" t="e">
        <f t="shared" si="12"/>
        <v>#DIV/0!</v>
      </c>
    </row>
    <row r="61" spans="2:13" ht="15" hidden="1" outlineLevel="1" thickBot="1">
      <c r="B61" s="231"/>
      <c r="C61" s="220"/>
      <c r="D61" s="221" t="e">
        <f t="shared" si="9"/>
        <v>#DIV/0!</v>
      </c>
      <c r="E61" s="221" t="e">
        <f t="shared" si="10"/>
        <v>#DIV/0!</v>
      </c>
      <c r="F61" s="222" t="e">
        <f t="shared" si="7"/>
        <v>#DIV/0!</v>
      </c>
      <c r="G61" s="222" t="e">
        <f t="shared" si="11"/>
        <v>#N/A</v>
      </c>
      <c r="I61" s="231"/>
      <c r="J61" s="220"/>
      <c r="K61" s="221" t="e">
        <f t="shared" si="8"/>
        <v>#DIV/0!</v>
      </c>
      <c r="L61" s="221" t="e">
        <f t="shared" si="13"/>
        <v>#DIV/0!</v>
      </c>
      <c r="M61" s="222" t="e">
        <f t="shared" si="12"/>
        <v>#DIV/0!</v>
      </c>
    </row>
    <row r="62" spans="2:13" ht="15" hidden="1" outlineLevel="1" thickBot="1">
      <c r="B62" s="231"/>
      <c r="C62" s="220"/>
      <c r="D62" s="221" t="e">
        <f t="shared" si="9"/>
        <v>#DIV/0!</v>
      </c>
      <c r="E62" s="221" t="e">
        <f t="shared" si="10"/>
        <v>#DIV/0!</v>
      </c>
      <c r="F62" s="222" t="e">
        <f t="shared" si="7"/>
        <v>#DIV/0!</v>
      </c>
      <c r="G62" s="222" t="e">
        <f t="shared" si="11"/>
        <v>#N/A</v>
      </c>
      <c r="I62" s="231"/>
      <c r="J62" s="220"/>
      <c r="K62" s="221" t="e">
        <f t="shared" si="8"/>
        <v>#DIV/0!</v>
      </c>
      <c r="L62" s="221" t="e">
        <f t="shared" si="13"/>
        <v>#DIV/0!</v>
      </c>
      <c r="M62" s="222" t="e">
        <f t="shared" si="12"/>
        <v>#DIV/0!</v>
      </c>
    </row>
    <row r="63" spans="2:13" ht="15" hidden="1" outlineLevel="1" thickBot="1">
      <c r="B63" s="231"/>
      <c r="C63" s="220"/>
      <c r="D63" s="221" t="e">
        <f t="shared" si="9"/>
        <v>#DIV/0!</v>
      </c>
      <c r="E63" s="221" t="e">
        <f t="shared" si="10"/>
        <v>#DIV/0!</v>
      </c>
      <c r="F63" s="222" t="e">
        <f t="shared" si="7"/>
        <v>#DIV/0!</v>
      </c>
      <c r="G63" s="222" t="e">
        <f t="shared" si="11"/>
        <v>#N/A</v>
      </c>
      <c r="I63" s="231"/>
      <c r="J63" s="220"/>
      <c r="K63" s="221" t="e">
        <f t="shared" si="8"/>
        <v>#DIV/0!</v>
      </c>
      <c r="L63" s="221" t="e">
        <f t="shared" si="13"/>
        <v>#DIV/0!</v>
      </c>
      <c r="M63" s="222" t="e">
        <f t="shared" si="12"/>
        <v>#DIV/0!</v>
      </c>
    </row>
    <row r="64" spans="2:13" ht="15" hidden="1" outlineLevel="1" thickBot="1">
      <c r="B64" s="231"/>
      <c r="C64" s="220"/>
      <c r="D64" s="221" t="e">
        <f t="shared" si="9"/>
        <v>#DIV/0!</v>
      </c>
      <c r="E64" s="221" t="e">
        <f t="shared" si="10"/>
        <v>#DIV/0!</v>
      </c>
      <c r="F64" s="222" t="e">
        <f t="shared" si="7"/>
        <v>#DIV/0!</v>
      </c>
      <c r="G64" s="222" t="e">
        <f t="shared" si="11"/>
        <v>#N/A</v>
      </c>
      <c r="I64" s="231"/>
      <c r="J64" s="220"/>
      <c r="K64" s="221" t="e">
        <f t="shared" si="8"/>
        <v>#DIV/0!</v>
      </c>
      <c r="L64" s="221" t="e">
        <f t="shared" si="13"/>
        <v>#DIV/0!</v>
      </c>
      <c r="M64" s="222" t="e">
        <f t="shared" si="12"/>
        <v>#DIV/0!</v>
      </c>
    </row>
    <row r="65" spans="2:13" ht="15" hidden="1" outlineLevel="1" thickBot="1">
      <c r="B65" s="231"/>
      <c r="C65" s="220"/>
      <c r="D65" s="221" t="e">
        <f t="shared" si="9"/>
        <v>#DIV/0!</v>
      </c>
      <c r="E65" s="221" t="e">
        <f>D65+E64</f>
        <v>#DIV/0!</v>
      </c>
      <c r="F65" s="222" t="e">
        <f t="shared" si="7"/>
        <v>#DIV/0!</v>
      </c>
      <c r="G65" s="222" t="e">
        <f t="shared" si="11"/>
        <v>#N/A</v>
      </c>
      <c r="I65" s="231"/>
      <c r="J65" s="220"/>
      <c r="K65" s="221" t="e">
        <f t="shared" si="8"/>
        <v>#DIV/0!</v>
      </c>
      <c r="L65" s="221" t="e">
        <f t="shared" si="13"/>
        <v>#DIV/0!</v>
      </c>
      <c r="M65" s="222" t="e">
        <f t="shared" si="12"/>
        <v>#DIV/0!</v>
      </c>
    </row>
    <row r="66" spans="2:13" ht="15" hidden="1" outlineLevel="1" thickBot="1">
      <c r="B66" s="231"/>
      <c r="C66" s="220"/>
      <c r="D66" s="221" t="e">
        <f t="shared" si="9"/>
        <v>#DIV/0!</v>
      </c>
      <c r="E66" s="221" t="e">
        <f t="shared" si="10"/>
        <v>#DIV/0!</v>
      </c>
      <c r="F66" s="222" t="e">
        <f t="shared" si="7"/>
        <v>#DIV/0!</v>
      </c>
      <c r="G66" s="222" t="e">
        <f t="shared" si="11"/>
        <v>#N/A</v>
      </c>
      <c r="I66" s="231"/>
      <c r="J66" s="220"/>
      <c r="K66" s="221" t="e">
        <f t="shared" si="8"/>
        <v>#DIV/0!</v>
      </c>
      <c r="L66" s="221" t="e">
        <f t="shared" si="13"/>
        <v>#DIV/0!</v>
      </c>
      <c r="M66" s="222" t="e">
        <f t="shared" si="12"/>
        <v>#DIV/0!</v>
      </c>
    </row>
    <row r="67" spans="2:13" ht="15" hidden="1" outlineLevel="1" thickBot="1">
      <c r="B67" s="231"/>
      <c r="C67" s="220"/>
      <c r="D67" s="221" t="e">
        <f t="shared" si="9"/>
        <v>#DIV/0!</v>
      </c>
      <c r="E67" s="221" t="e">
        <f t="shared" si="10"/>
        <v>#DIV/0!</v>
      </c>
      <c r="F67" s="222" t="e">
        <f t="shared" si="7"/>
        <v>#DIV/0!</v>
      </c>
      <c r="G67" s="222" t="e">
        <f t="shared" si="11"/>
        <v>#N/A</v>
      </c>
      <c r="I67" s="231"/>
      <c r="J67" s="220"/>
      <c r="K67" s="221" t="e">
        <f t="shared" si="8"/>
        <v>#DIV/0!</v>
      </c>
      <c r="L67" s="221" t="e">
        <f t="shared" si="13"/>
        <v>#DIV/0!</v>
      </c>
      <c r="M67" s="222" t="e">
        <f t="shared" si="12"/>
        <v>#DIV/0!</v>
      </c>
    </row>
    <row r="68" spans="2:13" ht="15" hidden="1" outlineLevel="1" thickBot="1">
      <c r="B68" s="231"/>
      <c r="C68" s="220"/>
      <c r="D68" s="221" t="e">
        <f t="shared" si="9"/>
        <v>#DIV/0!</v>
      </c>
      <c r="E68" s="221" t="e">
        <f t="shared" si="10"/>
        <v>#DIV/0!</v>
      </c>
      <c r="F68" s="222" t="e">
        <f t="shared" si="7"/>
        <v>#DIV/0!</v>
      </c>
      <c r="G68" s="222" t="e">
        <f t="shared" si="11"/>
        <v>#N/A</v>
      </c>
      <c r="I68" s="231"/>
      <c r="J68" s="220"/>
      <c r="K68" s="221" t="e">
        <f t="shared" si="8"/>
        <v>#DIV/0!</v>
      </c>
      <c r="L68" s="221" t="e">
        <f t="shared" si="13"/>
        <v>#DIV/0!</v>
      </c>
      <c r="M68" s="222" t="e">
        <f t="shared" si="12"/>
        <v>#DIV/0!</v>
      </c>
    </row>
    <row r="69" spans="2:13" ht="16" hidden="1" customHeight="1" outlineLevel="1">
      <c r="B69" s="231"/>
      <c r="C69" s="220"/>
      <c r="D69" s="221" t="e">
        <f t="shared" si="9"/>
        <v>#DIV/0!</v>
      </c>
      <c r="E69" s="221" t="e">
        <f t="shared" si="10"/>
        <v>#DIV/0!</v>
      </c>
      <c r="F69" s="222" t="e">
        <f t="shared" si="7"/>
        <v>#DIV/0!</v>
      </c>
      <c r="G69" s="222" t="e">
        <f t="shared" si="11"/>
        <v>#N/A</v>
      </c>
      <c r="I69" s="231"/>
      <c r="J69" s="220"/>
      <c r="K69" s="221" t="e">
        <f t="shared" si="8"/>
        <v>#DIV/0!</v>
      </c>
      <c r="L69" s="221" t="e">
        <f t="shared" si="13"/>
        <v>#DIV/0!</v>
      </c>
      <c r="M69" s="222" t="e">
        <f t="shared" si="12"/>
        <v>#DIV/0!</v>
      </c>
    </row>
    <row r="70" spans="2:13" ht="15" hidden="1" outlineLevel="1" thickBot="1">
      <c r="B70" s="231"/>
      <c r="C70" s="220"/>
      <c r="D70" s="221" t="e">
        <f t="shared" si="9"/>
        <v>#DIV/0!</v>
      </c>
      <c r="E70" s="221" t="e">
        <f t="shared" si="10"/>
        <v>#DIV/0!</v>
      </c>
      <c r="F70" s="222" t="e">
        <f t="shared" si="7"/>
        <v>#DIV/0!</v>
      </c>
      <c r="G70" s="222" t="e">
        <f t="shared" si="11"/>
        <v>#N/A</v>
      </c>
      <c r="I70" s="231"/>
      <c r="J70" s="220"/>
      <c r="K70" s="221" t="e">
        <f t="shared" si="8"/>
        <v>#DIV/0!</v>
      </c>
      <c r="L70" s="221" t="e">
        <f t="shared" si="13"/>
        <v>#DIV/0!</v>
      </c>
      <c r="M70" s="222" t="e">
        <f t="shared" si="12"/>
        <v>#DIV/0!</v>
      </c>
    </row>
    <row r="71" spans="2:13" ht="15" hidden="1" outlineLevel="1" thickBot="1">
      <c r="B71" s="231"/>
      <c r="C71" s="220"/>
      <c r="D71" s="221" t="e">
        <f t="shared" si="9"/>
        <v>#DIV/0!</v>
      </c>
      <c r="E71" s="221" t="e">
        <f t="shared" si="10"/>
        <v>#DIV/0!</v>
      </c>
      <c r="F71" s="222" t="e">
        <f t="shared" si="7"/>
        <v>#DIV/0!</v>
      </c>
      <c r="G71" s="222" t="e">
        <f t="shared" si="11"/>
        <v>#N/A</v>
      </c>
      <c r="I71" s="231"/>
      <c r="J71" s="220"/>
      <c r="K71" s="221" t="e">
        <f t="shared" si="8"/>
        <v>#DIV/0!</v>
      </c>
      <c r="L71" s="221" t="e">
        <f t="shared" si="13"/>
        <v>#DIV/0!</v>
      </c>
      <c r="M71" s="222" t="e">
        <f t="shared" si="12"/>
        <v>#DIV/0!</v>
      </c>
    </row>
    <row r="72" spans="2:13" ht="15" hidden="1" outlineLevel="1" thickBot="1">
      <c r="B72" s="231"/>
      <c r="C72" s="220"/>
      <c r="D72" s="221" t="e">
        <f t="shared" si="9"/>
        <v>#DIV/0!</v>
      </c>
      <c r="E72" s="221" t="e">
        <f t="shared" si="10"/>
        <v>#DIV/0!</v>
      </c>
      <c r="F72" s="222" t="e">
        <f t="shared" si="7"/>
        <v>#DIV/0!</v>
      </c>
      <c r="G72" s="222" t="e">
        <f t="shared" si="11"/>
        <v>#N/A</v>
      </c>
      <c r="I72" s="231"/>
      <c r="J72" s="220"/>
      <c r="K72" s="221" t="e">
        <f t="shared" si="8"/>
        <v>#DIV/0!</v>
      </c>
      <c r="L72" s="221" t="e">
        <f t="shared" si="13"/>
        <v>#DIV/0!</v>
      </c>
      <c r="M72" s="222" t="e">
        <f t="shared" si="12"/>
        <v>#DIV/0!</v>
      </c>
    </row>
    <row r="73" spans="2:13" hidden="1" outlineLevel="1">
      <c r="C73" s="227">
        <f>SUM(C21:C72)</f>
        <v>0</v>
      </c>
      <c r="D73" s="232" t="e">
        <f>SUM(D21:D72)</f>
        <v>#DIV/0!</v>
      </c>
      <c r="J73" s="227">
        <f>SUM(J21:J72)</f>
        <v>0</v>
      </c>
      <c r="K73" s="232" t="e">
        <f>SUM(K21:K72)</f>
        <v>#DIV/0!</v>
      </c>
      <c r="L73" s="232"/>
    </row>
    <row r="74" spans="2:13" collapsed="1"/>
  </sheetData>
  <sortState xmlns:xlrd2="http://schemas.microsoft.com/office/spreadsheetml/2017/richdata2" ref="B4:C16">
    <sortCondition descending="1" ref="C4:C16"/>
  </sortState>
  <mergeCells count="2">
    <mergeCell ref="B2:M2"/>
    <mergeCell ref="B19:M19"/>
  </mergeCells>
  <conditionalFormatting sqref="M21:M72 K21:K72 D21:D72 G4:G16 D4:D16 K4:K16 M4:M16">
    <cfRule type="cellIs" dxfId="114" priority="10" operator="equal">
      <formula>"C"</formula>
    </cfRule>
    <cfRule type="cellIs" dxfId="113" priority="11" operator="equal">
      <formula>"B"</formula>
    </cfRule>
    <cfRule type="cellIs" dxfId="112" priority="12" operator="equal">
      <formula>"A"</formula>
    </cfRule>
  </conditionalFormatting>
  <conditionalFormatting sqref="G21:G72">
    <cfRule type="cellIs" dxfId="111" priority="7" operator="equal">
      <formula>"C"</formula>
    </cfRule>
    <cfRule type="cellIs" dxfId="110" priority="8" operator="equal">
      <formula>"B"</formula>
    </cfRule>
    <cfRule type="cellIs" dxfId="109" priority="9" operator="equal">
      <formula>"A"</formula>
    </cfRule>
  </conditionalFormatting>
  <conditionalFormatting sqref="F4:F16">
    <cfRule type="cellIs" dxfId="108" priority="4" operator="equal">
      <formula>"C"</formula>
    </cfRule>
    <cfRule type="cellIs" dxfId="107" priority="5" operator="equal">
      <formula>"B"</formula>
    </cfRule>
    <cfRule type="cellIs" dxfId="106" priority="6" operator="equal">
      <formula>"A"</formula>
    </cfRule>
  </conditionalFormatting>
  <conditionalFormatting sqref="F21:F72">
    <cfRule type="cellIs" dxfId="105" priority="1" operator="equal">
      <formula>"C"</formula>
    </cfRule>
    <cfRule type="cellIs" dxfId="104" priority="2" operator="equal">
      <formula>"B"</formula>
    </cfRule>
    <cfRule type="cellIs" dxfId="103" priority="3" operator="equal">
      <formula>"A"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C44A1-5749-4D3F-BED9-1B8E673229A2}">
  <dimension ref="B1:Q74"/>
  <sheetViews>
    <sheetView zoomScale="80" zoomScaleNormal="80" workbookViewId="0">
      <selection activeCell="O10" sqref="O10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337" t="s">
        <v>112</v>
      </c>
      <c r="C2" s="338"/>
      <c r="D2" s="338"/>
      <c r="E2" s="338"/>
      <c r="F2" s="338"/>
      <c r="G2" s="338"/>
      <c r="H2" s="338"/>
      <c r="I2" s="338"/>
      <c r="J2" s="338"/>
      <c r="K2" s="338"/>
      <c r="L2" s="338"/>
      <c r="M2" s="339"/>
    </row>
    <row r="3" spans="2:17" ht="28.5" customHeight="1" outlineLevel="1" thickBot="1">
      <c r="C3" s="216" t="s">
        <v>11</v>
      </c>
      <c r="D3" s="217" t="s">
        <v>113</v>
      </c>
      <c r="E3" s="218" t="s">
        <v>114</v>
      </c>
      <c r="F3" s="217" t="s">
        <v>115</v>
      </c>
      <c r="G3" s="217" t="s">
        <v>116</v>
      </c>
      <c r="J3" s="216" t="s">
        <v>117</v>
      </c>
      <c r="K3" s="217" t="s">
        <v>118</v>
      </c>
      <c r="L3" s="218" t="s">
        <v>114</v>
      </c>
      <c r="M3" s="219" t="s">
        <v>116</v>
      </c>
    </row>
    <row r="4" spans="2:17" ht="15" outlineLevel="1" thickBot="1">
      <c r="B4" s="115" t="s">
        <v>98</v>
      </c>
      <c r="C4" s="220">
        <f>'Юнит 5'!AL8</f>
        <v>2045.1120516462852</v>
      </c>
      <c r="D4" s="221">
        <f t="shared" ref="D4:D16" si="0">C4/C$17</f>
        <v>0.29333615661391832</v>
      </c>
      <c r="E4" s="221">
        <f>D4</f>
        <v>0.29333615661391832</v>
      </c>
      <c r="F4" s="222" t="str">
        <f>IF(AND(E4&lt;=0),"C",IF(E4&lt;=0.8,"A",IF(E4&lt;=0.95,"B","C")))</f>
        <v>A</v>
      </c>
      <c r="G4" s="222" t="str">
        <f>VLOOKUP(B$4:B$16,I$4:M$16,5,0)</f>
        <v>A</v>
      </c>
      <c r="I4" s="115" t="s">
        <v>92</v>
      </c>
      <c r="J4" s="220">
        <f>'Юнит 5'!S3</f>
        <v>19</v>
      </c>
      <c r="K4" s="221">
        <f t="shared" ref="K4:K16" si="1">J4/J$17</f>
        <v>0.27536231884057971</v>
      </c>
      <c r="L4" s="221">
        <f>K4</f>
        <v>0.27536231884057971</v>
      </c>
      <c r="M4" s="222" t="str">
        <f>_xlfn.IFS(L4&lt;80%,"A",L4&lt;=95%,"B",L4&gt;95%,"C")</f>
        <v>A</v>
      </c>
      <c r="P4" s="223" t="s">
        <v>119</v>
      </c>
      <c r="Q4" s="224">
        <v>0.8</v>
      </c>
    </row>
    <row r="5" spans="2:17" ht="15" outlineLevel="1" thickBot="1">
      <c r="B5" s="115" t="s">
        <v>92</v>
      </c>
      <c r="C5" s="220">
        <f>'Юнит 5'!AL3</f>
        <v>1813.3318043273737</v>
      </c>
      <c r="D5" s="221">
        <f t="shared" si="0"/>
        <v>0.26009126576658192</v>
      </c>
      <c r="E5" s="221">
        <f>E4+D5</f>
        <v>0.55342742238050024</v>
      </c>
      <c r="F5" s="222" t="str">
        <f t="shared" ref="F5:F16" si="2">IF(AND(E5&lt;=0),"C",IF(E5&lt;=0.8,"A",IF(E5&lt;=0.95,"B","C")))</f>
        <v>A</v>
      </c>
      <c r="G5" s="222" t="str">
        <f t="shared" ref="G5:G16" si="3">VLOOKUP(B$4:B$16,I$4:M$16,5,0)</f>
        <v>A</v>
      </c>
      <c r="I5" s="115" t="s">
        <v>98</v>
      </c>
      <c r="J5" s="220">
        <f>'Юнит 5'!S8</f>
        <v>14</v>
      </c>
      <c r="K5" s="221">
        <f t="shared" si="1"/>
        <v>0.20289855072463769</v>
      </c>
      <c r="L5" s="221">
        <f>L4+K5</f>
        <v>0.47826086956521741</v>
      </c>
      <c r="M5" s="222" t="str">
        <f t="shared" ref="M5:M16" si="4">_xlfn.IFS(L5&lt;80%,"A",L5&lt;=95%,"B",L5&gt;95%,"C")</f>
        <v>A</v>
      </c>
      <c r="P5" s="225" t="s">
        <v>120</v>
      </c>
      <c r="Q5" s="224">
        <v>0.15</v>
      </c>
    </row>
    <row r="6" spans="2:17" ht="15" outlineLevel="1" thickBot="1">
      <c r="B6" s="115" t="s">
        <v>96</v>
      </c>
      <c r="C6" s="220">
        <f>'Юнит 5'!AL6</f>
        <v>1154.6045108184385</v>
      </c>
      <c r="D6" s="221">
        <f t="shared" si="0"/>
        <v>0.16560816280943422</v>
      </c>
      <c r="E6" s="221">
        <f t="shared" ref="E6:E16" si="5">E5+D6</f>
        <v>0.71903558518993449</v>
      </c>
      <c r="F6" s="222" t="str">
        <f t="shared" si="2"/>
        <v>A</v>
      </c>
      <c r="G6" s="222" t="str">
        <f t="shared" si="3"/>
        <v>B</v>
      </c>
      <c r="I6" s="115" t="s">
        <v>99</v>
      </c>
      <c r="J6" s="220">
        <f>'Юнит 5'!S9</f>
        <v>11</v>
      </c>
      <c r="K6" s="221">
        <f t="shared" si="1"/>
        <v>0.15942028985507245</v>
      </c>
      <c r="L6" s="221">
        <f t="shared" ref="L6:L16" si="6">L5+K6</f>
        <v>0.6376811594202898</v>
      </c>
      <c r="M6" s="222" t="str">
        <f t="shared" si="4"/>
        <v>A</v>
      </c>
      <c r="P6" s="226" t="s">
        <v>121</v>
      </c>
      <c r="Q6" s="224">
        <v>0.05</v>
      </c>
    </row>
    <row r="7" spans="2:17" outlineLevel="1">
      <c r="B7" s="115" t="s">
        <v>104</v>
      </c>
      <c r="C7" s="220">
        <f>'Юнит 5'!AL14</f>
        <v>826.7881279397933</v>
      </c>
      <c r="D7" s="221">
        <f t="shared" si="0"/>
        <v>0.11858853972751518</v>
      </c>
      <c r="E7" s="221">
        <f t="shared" si="5"/>
        <v>0.83762412491744964</v>
      </c>
      <c r="F7" s="222" t="str">
        <f t="shared" si="2"/>
        <v>B</v>
      </c>
      <c r="G7" s="222" t="str">
        <f t="shared" si="3"/>
        <v>C</v>
      </c>
      <c r="I7" s="115" t="s">
        <v>94</v>
      </c>
      <c r="J7" s="220">
        <f>'Юнит 5'!S4</f>
        <v>10</v>
      </c>
      <c r="K7" s="221">
        <f t="shared" si="1"/>
        <v>0.14492753623188406</v>
      </c>
      <c r="L7" s="221">
        <f t="shared" si="6"/>
        <v>0.78260869565217384</v>
      </c>
      <c r="M7" s="222" t="str">
        <f t="shared" si="4"/>
        <v>A</v>
      </c>
    </row>
    <row r="8" spans="2:17" outlineLevel="1">
      <c r="B8" s="115" t="s">
        <v>102</v>
      </c>
      <c r="C8" s="220">
        <f>'Юнит 5'!AL12</f>
        <v>783.16961429915341</v>
      </c>
      <c r="D8" s="221">
        <f t="shared" si="0"/>
        <v>0.11233221399795068</v>
      </c>
      <c r="E8" s="221">
        <f t="shared" si="5"/>
        <v>0.94995633891540032</v>
      </c>
      <c r="F8" s="222" t="str">
        <f t="shared" si="2"/>
        <v>B</v>
      </c>
      <c r="G8" s="222" t="str">
        <f t="shared" si="3"/>
        <v>B</v>
      </c>
      <c r="I8" s="115" t="s">
        <v>95</v>
      </c>
      <c r="J8" s="220">
        <f>'Юнит 5'!S5</f>
        <v>3</v>
      </c>
      <c r="K8" s="221">
        <f t="shared" si="1"/>
        <v>4.3478260869565216E-2</v>
      </c>
      <c r="L8" s="221">
        <f t="shared" si="6"/>
        <v>0.82608695652173902</v>
      </c>
      <c r="M8" s="222" t="str">
        <f t="shared" si="4"/>
        <v>B</v>
      </c>
    </row>
    <row r="9" spans="2:17" outlineLevel="1">
      <c r="B9" s="115" t="s">
        <v>101</v>
      </c>
      <c r="C9" s="220">
        <f>'Юнит 5'!AL11</f>
        <v>758.76739416745056</v>
      </c>
      <c r="D9" s="221">
        <f t="shared" si="0"/>
        <v>0.10883213513404767</v>
      </c>
      <c r="E9" s="221">
        <f t="shared" si="5"/>
        <v>1.058788474049448</v>
      </c>
      <c r="F9" s="222" t="str">
        <f t="shared" si="2"/>
        <v>C</v>
      </c>
      <c r="G9" s="222" t="str">
        <f t="shared" si="3"/>
        <v>B</v>
      </c>
      <c r="I9" s="115" t="s">
        <v>96</v>
      </c>
      <c r="J9" s="220">
        <f>'Юнит 5'!S6</f>
        <v>3</v>
      </c>
      <c r="K9" s="221">
        <f t="shared" si="1"/>
        <v>4.3478260869565216E-2</v>
      </c>
      <c r="L9" s="221">
        <f t="shared" si="6"/>
        <v>0.86956521739130421</v>
      </c>
      <c r="M9" s="222" t="str">
        <f t="shared" si="4"/>
        <v>B</v>
      </c>
    </row>
    <row r="10" spans="2:17" outlineLevel="1">
      <c r="B10" s="115" t="s">
        <v>103</v>
      </c>
      <c r="C10" s="220">
        <f>'Юнит 5'!AL13</f>
        <v>508.766293508937</v>
      </c>
      <c r="D10" s="221">
        <f t="shared" si="0"/>
        <v>7.2973776196020482E-2</v>
      </c>
      <c r="E10" s="221">
        <f t="shared" si="5"/>
        <v>1.1317622502454685</v>
      </c>
      <c r="F10" s="222" t="str">
        <f t="shared" si="2"/>
        <v>C</v>
      </c>
      <c r="G10" s="222" t="str">
        <f t="shared" si="3"/>
        <v>C</v>
      </c>
      <c r="I10" s="115" t="s">
        <v>101</v>
      </c>
      <c r="J10" s="220">
        <f>'Юнит 5'!S11</f>
        <v>2</v>
      </c>
      <c r="K10" s="221">
        <f t="shared" si="1"/>
        <v>2.8985507246376812E-2</v>
      </c>
      <c r="L10" s="221">
        <f t="shared" si="6"/>
        <v>0.89855072463768104</v>
      </c>
      <c r="M10" s="222" t="str">
        <f t="shared" si="4"/>
        <v>B</v>
      </c>
    </row>
    <row r="11" spans="2:17" outlineLevel="1">
      <c r="B11" s="115" t="s">
        <v>100</v>
      </c>
      <c r="C11" s="220">
        <f>'Юнит 5'!AL10</f>
        <v>398.95943085606785</v>
      </c>
      <c r="D11" s="221">
        <f t="shared" si="0"/>
        <v>5.7223869957633094E-2</v>
      </c>
      <c r="E11" s="221">
        <f t="shared" si="5"/>
        <v>1.1889861202031016</v>
      </c>
      <c r="F11" s="222" t="str">
        <f t="shared" si="2"/>
        <v>C</v>
      </c>
      <c r="G11" s="222" t="str">
        <f t="shared" si="3"/>
        <v>C</v>
      </c>
      <c r="I11" s="115" t="s">
        <v>102</v>
      </c>
      <c r="J11" s="220">
        <f>'Юнит 5'!S12</f>
        <v>2</v>
      </c>
      <c r="K11" s="221">
        <f t="shared" si="1"/>
        <v>2.8985507246376812E-2</v>
      </c>
      <c r="L11" s="221">
        <f t="shared" si="6"/>
        <v>0.92753623188405787</v>
      </c>
      <c r="M11" s="222" t="str">
        <f t="shared" si="4"/>
        <v>B</v>
      </c>
    </row>
    <row r="12" spans="2:17" outlineLevel="1">
      <c r="B12" s="115" t="s">
        <v>99</v>
      </c>
      <c r="C12" s="220">
        <f>'Юнит 5'!AL9</f>
        <v>297.02680169331882</v>
      </c>
      <c r="D12" s="221">
        <f t="shared" si="0"/>
        <v>4.2603387110210077E-2</v>
      </c>
      <c r="E12" s="221">
        <f t="shared" si="5"/>
        <v>1.2315895073133116</v>
      </c>
      <c r="F12" s="222" t="str">
        <f t="shared" si="2"/>
        <v>C</v>
      </c>
      <c r="G12" s="222" t="str">
        <f t="shared" si="3"/>
        <v>A</v>
      </c>
      <c r="I12" s="115" t="s">
        <v>104</v>
      </c>
      <c r="J12" s="220">
        <f>'Юнит 5'!S14</f>
        <v>2</v>
      </c>
      <c r="K12" s="221">
        <f t="shared" si="1"/>
        <v>2.8985507246376812E-2</v>
      </c>
      <c r="L12" s="221">
        <f t="shared" si="6"/>
        <v>0.9565217391304347</v>
      </c>
      <c r="M12" s="222" t="str">
        <f t="shared" si="4"/>
        <v>C</v>
      </c>
    </row>
    <row r="13" spans="2:17" outlineLevel="1">
      <c r="B13" s="115" t="s">
        <v>94</v>
      </c>
      <c r="C13" s="220">
        <f>'Юнит 5'!AL4</f>
        <v>177.70463904045232</v>
      </c>
      <c r="D13" s="221">
        <f t="shared" si="0"/>
        <v>2.5488674709353124E-2</v>
      </c>
      <c r="E13" s="221">
        <f t="shared" si="5"/>
        <v>1.2570781820226649</v>
      </c>
      <c r="F13" s="222" t="str">
        <f t="shared" si="2"/>
        <v>C</v>
      </c>
      <c r="G13" s="222" t="str">
        <f t="shared" si="3"/>
        <v>A</v>
      </c>
      <c r="I13" s="115" t="s">
        <v>97</v>
      </c>
      <c r="J13" s="220">
        <f>'Юнит 5'!S7</f>
        <v>1</v>
      </c>
      <c r="K13" s="221">
        <f t="shared" si="1"/>
        <v>1.4492753623188406E-2</v>
      </c>
      <c r="L13" s="221">
        <f t="shared" si="6"/>
        <v>0.97101449275362306</v>
      </c>
      <c r="M13" s="222" t="str">
        <f t="shared" si="4"/>
        <v>C</v>
      </c>
    </row>
    <row r="14" spans="2:17" outlineLevel="1">
      <c r="B14" s="115" t="s">
        <v>105</v>
      </c>
      <c r="C14" s="220">
        <f>'Юнит 5'!AL15</f>
        <v>-22.030752587017872</v>
      </c>
      <c r="D14" s="221">
        <f t="shared" si="0"/>
        <v>-3.1599326237336535E-3</v>
      </c>
      <c r="E14" s="221">
        <f t="shared" si="5"/>
        <v>1.2539182493989312</v>
      </c>
      <c r="F14" s="222" t="str">
        <f t="shared" si="2"/>
        <v>C</v>
      </c>
      <c r="G14" s="222" t="str">
        <f t="shared" si="3"/>
        <v>C</v>
      </c>
      <c r="I14" s="115" t="s">
        <v>100</v>
      </c>
      <c r="J14" s="220">
        <f>'Юнит 5'!S10</f>
        <v>1</v>
      </c>
      <c r="K14" s="221">
        <f t="shared" si="1"/>
        <v>1.4492753623188406E-2</v>
      </c>
      <c r="L14" s="221">
        <f t="shared" si="6"/>
        <v>0.98550724637681142</v>
      </c>
      <c r="M14" s="222" t="str">
        <f t="shared" si="4"/>
        <v>C</v>
      </c>
    </row>
    <row r="15" spans="2:17" outlineLevel="1">
      <c r="B15" s="115" t="s">
        <v>97</v>
      </c>
      <c r="C15" s="220">
        <f>'Юнит 5'!AL7</f>
        <v>-852.48176387582316</v>
      </c>
      <c r="D15" s="221">
        <f t="shared" si="0"/>
        <v>-0.12227384998171135</v>
      </c>
      <c r="E15" s="221">
        <f t="shared" si="5"/>
        <v>1.1316443994172198</v>
      </c>
      <c r="F15" s="222" t="str">
        <f t="shared" si="2"/>
        <v>C</v>
      </c>
      <c r="G15" s="222" t="str">
        <f t="shared" si="3"/>
        <v>C</v>
      </c>
      <c r="I15" s="115" t="s">
        <v>103</v>
      </c>
      <c r="J15" s="220">
        <f>'Юнит 5'!S13</f>
        <v>1</v>
      </c>
      <c r="K15" s="221">
        <f t="shared" si="1"/>
        <v>1.4492753623188406E-2</v>
      </c>
      <c r="L15" s="221">
        <f t="shared" si="6"/>
        <v>0.99999999999999978</v>
      </c>
      <c r="M15" s="222" t="str">
        <f t="shared" si="4"/>
        <v>C</v>
      </c>
    </row>
    <row r="16" spans="2:17" outlineLevel="1">
      <c r="B16" s="115" t="s">
        <v>95</v>
      </c>
      <c r="C16" s="220">
        <f>'Юнит 5'!AL5</f>
        <v>-917.81235183443084</v>
      </c>
      <c r="D16" s="221">
        <f t="shared" si="0"/>
        <v>-0.13164439941721975</v>
      </c>
      <c r="E16" s="221">
        <f t="shared" si="5"/>
        <v>1</v>
      </c>
      <c r="F16" s="222" t="str">
        <f t="shared" si="2"/>
        <v>C</v>
      </c>
      <c r="G16" s="222" t="str">
        <f t="shared" si="3"/>
        <v>B</v>
      </c>
      <c r="I16" s="115" t="s">
        <v>105</v>
      </c>
      <c r="J16" s="220">
        <f>'Юнит 5'!S15</f>
        <v>0</v>
      </c>
      <c r="K16" s="221">
        <f t="shared" si="1"/>
        <v>0</v>
      </c>
      <c r="L16" s="221">
        <f t="shared" si="6"/>
        <v>0.99999999999999978</v>
      </c>
      <c r="M16" s="222" t="str">
        <f t="shared" si="4"/>
        <v>C</v>
      </c>
    </row>
    <row r="17" spans="2:16" outlineLevel="1">
      <c r="C17" s="227">
        <f>SUM(C4:C16)</f>
        <v>6971.9057999999986</v>
      </c>
      <c r="D17" s="228">
        <f>SUM(D4:D16)</f>
        <v>1</v>
      </c>
      <c r="J17" s="227">
        <f>SUM(J4:J16)</f>
        <v>69</v>
      </c>
      <c r="K17" s="228">
        <f>SUM(K4:K16)</f>
        <v>0.99999999999999978</v>
      </c>
    </row>
    <row r="19" spans="2:16" ht="16" hidden="1" outlineLevel="1" thickBot="1">
      <c r="B19" s="340"/>
      <c r="C19" s="341"/>
      <c r="D19" s="341"/>
      <c r="E19" s="341"/>
      <c r="F19" s="341"/>
      <c r="G19" s="341"/>
      <c r="H19" s="341"/>
      <c r="I19" s="341"/>
      <c r="J19" s="341"/>
      <c r="K19" s="341"/>
      <c r="L19" s="341"/>
      <c r="M19" s="342"/>
      <c r="O19" s="229"/>
      <c r="P19" s="229"/>
    </row>
    <row r="20" spans="2:16" ht="23.5" hidden="1" outlineLevel="1" thickBot="1">
      <c r="C20" s="216" t="s">
        <v>11</v>
      </c>
      <c r="D20" s="217" t="s">
        <v>113</v>
      </c>
      <c r="E20" s="218" t="s">
        <v>114</v>
      </c>
      <c r="F20" s="230" t="s">
        <v>115</v>
      </c>
      <c r="G20" s="217" t="s">
        <v>116</v>
      </c>
      <c r="J20" s="216" t="s">
        <v>117</v>
      </c>
      <c r="K20" s="217" t="s">
        <v>118</v>
      </c>
      <c r="L20" s="218" t="s">
        <v>114</v>
      </c>
      <c r="M20" s="219" t="s">
        <v>116</v>
      </c>
    </row>
    <row r="21" spans="2:16" ht="15" hidden="1" outlineLevel="1" thickBot="1">
      <c r="B21" s="231"/>
      <c r="C21" s="220"/>
      <c r="D21" s="221" t="e">
        <f>C21/C$73</f>
        <v>#DIV/0!</v>
      </c>
      <c r="E21" s="221" t="e">
        <f>D21</f>
        <v>#DIV/0!</v>
      </c>
      <c r="F21" s="222" t="e">
        <f t="shared" ref="F21:F72" si="7">IF(AND(E21&lt;=0),"C",IF(E21&lt;=0.8,"A",IF(E21&lt;=0.95,"B","C")))</f>
        <v>#DIV/0!</v>
      </c>
      <c r="G21" s="222" t="e">
        <f>VLOOKUP(B21:B72,I$21:M$72,5,0)</f>
        <v>#N/A</v>
      </c>
      <c r="I21" s="231"/>
      <c r="J21" s="220"/>
      <c r="K21" s="221" t="e">
        <f t="shared" ref="K21:K72" si="8">J21/J$73</f>
        <v>#DIV/0!</v>
      </c>
      <c r="L21" s="221" t="e">
        <f>K21</f>
        <v>#DIV/0!</v>
      </c>
      <c r="M21" s="222" t="e">
        <f>_xlfn.IFS(L21&lt;80%,"A",L21&lt;=95%,"B",L21&gt;95%,"C")</f>
        <v>#DIV/0!</v>
      </c>
    </row>
    <row r="22" spans="2:16" ht="15" hidden="1" outlineLevel="1" thickBot="1">
      <c r="B22" s="231"/>
      <c r="C22" s="220"/>
      <c r="D22" s="221" t="e">
        <f t="shared" ref="D22:D72" si="9">C22/C$73</f>
        <v>#DIV/0!</v>
      </c>
      <c r="E22" s="221" t="e">
        <f t="shared" ref="E22:E72" si="10">D22+E21</f>
        <v>#DIV/0!</v>
      </c>
      <c r="F22" s="222" t="e">
        <f t="shared" si="7"/>
        <v>#DIV/0!</v>
      </c>
      <c r="G22" s="222" t="e">
        <f t="shared" ref="G22:G72" si="11">VLOOKUP(B22:B73,I$21:M$72,5,0)</f>
        <v>#N/A</v>
      </c>
      <c r="I22" s="231"/>
      <c r="J22" s="220"/>
      <c r="K22" s="221" t="e">
        <f t="shared" si="8"/>
        <v>#DIV/0!</v>
      </c>
      <c r="L22" s="221" t="e">
        <f>K22+L21</f>
        <v>#DIV/0!</v>
      </c>
      <c r="M22" s="222" t="e">
        <f t="shared" ref="M22:M72" si="12">_xlfn.IFS(L22&lt;80%,"A",L22&lt;=95%,"B",L22&gt;95%,"C")</f>
        <v>#DIV/0!</v>
      </c>
    </row>
    <row r="23" spans="2:16" ht="15" hidden="1" outlineLevel="1" thickBot="1">
      <c r="B23" s="231"/>
      <c r="C23" s="220"/>
      <c r="D23" s="221" t="e">
        <f t="shared" si="9"/>
        <v>#DIV/0!</v>
      </c>
      <c r="E23" s="221" t="e">
        <f t="shared" si="10"/>
        <v>#DIV/0!</v>
      </c>
      <c r="F23" s="222" t="e">
        <f t="shared" si="7"/>
        <v>#DIV/0!</v>
      </c>
      <c r="G23" s="222" t="e">
        <f t="shared" si="11"/>
        <v>#N/A</v>
      </c>
      <c r="I23" s="231"/>
      <c r="J23" s="220"/>
      <c r="K23" s="221" t="e">
        <f t="shared" si="8"/>
        <v>#DIV/0!</v>
      </c>
      <c r="L23" s="221" t="e">
        <f t="shared" ref="L23:L72" si="13">K23+L22</f>
        <v>#DIV/0!</v>
      </c>
      <c r="M23" s="222" t="e">
        <f t="shared" si="12"/>
        <v>#DIV/0!</v>
      </c>
    </row>
    <row r="24" spans="2:16" ht="15" hidden="1" outlineLevel="1" thickBot="1">
      <c r="B24" s="231"/>
      <c r="C24" s="220"/>
      <c r="D24" s="221" t="e">
        <f t="shared" si="9"/>
        <v>#DIV/0!</v>
      </c>
      <c r="E24" s="221" t="e">
        <f t="shared" si="10"/>
        <v>#DIV/0!</v>
      </c>
      <c r="F24" s="222" t="e">
        <f t="shared" si="7"/>
        <v>#DIV/0!</v>
      </c>
      <c r="G24" s="222" t="e">
        <f t="shared" si="11"/>
        <v>#N/A</v>
      </c>
      <c r="I24" s="231"/>
      <c r="J24" s="220"/>
      <c r="K24" s="221" t="e">
        <f t="shared" si="8"/>
        <v>#DIV/0!</v>
      </c>
      <c r="L24" s="221" t="e">
        <f t="shared" si="13"/>
        <v>#DIV/0!</v>
      </c>
      <c r="M24" s="222" t="e">
        <f t="shared" si="12"/>
        <v>#DIV/0!</v>
      </c>
    </row>
    <row r="25" spans="2:16" ht="15" hidden="1" outlineLevel="1" thickBot="1">
      <c r="B25" s="231"/>
      <c r="C25" s="220"/>
      <c r="D25" s="221" t="e">
        <f t="shared" si="9"/>
        <v>#DIV/0!</v>
      </c>
      <c r="E25" s="221" t="e">
        <f t="shared" si="10"/>
        <v>#DIV/0!</v>
      </c>
      <c r="F25" s="222" t="e">
        <f t="shared" si="7"/>
        <v>#DIV/0!</v>
      </c>
      <c r="G25" s="222" t="e">
        <f t="shared" si="11"/>
        <v>#N/A</v>
      </c>
      <c r="I25" s="231"/>
      <c r="J25" s="220"/>
      <c r="K25" s="221" t="e">
        <f t="shared" si="8"/>
        <v>#DIV/0!</v>
      </c>
      <c r="L25" s="221" t="e">
        <f t="shared" si="13"/>
        <v>#DIV/0!</v>
      </c>
      <c r="M25" s="222" t="e">
        <f t="shared" si="12"/>
        <v>#DIV/0!</v>
      </c>
    </row>
    <row r="26" spans="2:16" ht="15" hidden="1" outlineLevel="1" thickBot="1">
      <c r="B26" s="231"/>
      <c r="C26" s="220"/>
      <c r="D26" s="221" t="e">
        <f t="shared" si="9"/>
        <v>#DIV/0!</v>
      </c>
      <c r="E26" s="221" t="e">
        <f t="shared" si="10"/>
        <v>#DIV/0!</v>
      </c>
      <c r="F26" s="222" t="e">
        <f t="shared" si="7"/>
        <v>#DIV/0!</v>
      </c>
      <c r="G26" s="222" t="e">
        <f t="shared" si="11"/>
        <v>#N/A</v>
      </c>
      <c r="I26" s="231"/>
      <c r="J26" s="220"/>
      <c r="K26" s="221" t="e">
        <f t="shared" si="8"/>
        <v>#DIV/0!</v>
      </c>
      <c r="L26" s="221" t="e">
        <f t="shared" si="13"/>
        <v>#DIV/0!</v>
      </c>
      <c r="M26" s="222" t="e">
        <f t="shared" si="12"/>
        <v>#DIV/0!</v>
      </c>
    </row>
    <row r="27" spans="2:16" ht="15" hidden="1" outlineLevel="1" thickBot="1">
      <c r="B27" s="231"/>
      <c r="C27" s="220"/>
      <c r="D27" s="221" t="e">
        <f t="shared" si="9"/>
        <v>#DIV/0!</v>
      </c>
      <c r="E27" s="221" t="e">
        <f t="shared" si="10"/>
        <v>#DIV/0!</v>
      </c>
      <c r="F27" s="222" t="e">
        <f t="shared" si="7"/>
        <v>#DIV/0!</v>
      </c>
      <c r="G27" s="222" t="e">
        <f t="shared" si="11"/>
        <v>#N/A</v>
      </c>
      <c r="I27" s="231"/>
      <c r="J27" s="220"/>
      <c r="K27" s="221" t="e">
        <f t="shared" si="8"/>
        <v>#DIV/0!</v>
      </c>
      <c r="L27" s="221" t="e">
        <f t="shared" si="13"/>
        <v>#DIV/0!</v>
      </c>
      <c r="M27" s="222" t="e">
        <f t="shared" si="12"/>
        <v>#DIV/0!</v>
      </c>
    </row>
    <row r="28" spans="2:16" ht="15" hidden="1" outlineLevel="1" thickBot="1">
      <c r="B28" s="231"/>
      <c r="C28" s="220"/>
      <c r="D28" s="221" t="e">
        <f t="shared" si="9"/>
        <v>#DIV/0!</v>
      </c>
      <c r="E28" s="221" t="e">
        <f t="shared" si="10"/>
        <v>#DIV/0!</v>
      </c>
      <c r="F28" s="222" t="e">
        <f t="shared" si="7"/>
        <v>#DIV/0!</v>
      </c>
      <c r="G28" s="222" t="e">
        <f t="shared" si="11"/>
        <v>#N/A</v>
      </c>
      <c r="I28" s="231"/>
      <c r="J28" s="220"/>
      <c r="K28" s="221" t="e">
        <f t="shared" si="8"/>
        <v>#DIV/0!</v>
      </c>
      <c r="L28" s="221" t="e">
        <f t="shared" si="13"/>
        <v>#DIV/0!</v>
      </c>
      <c r="M28" s="222" t="e">
        <f t="shared" si="12"/>
        <v>#DIV/0!</v>
      </c>
    </row>
    <row r="29" spans="2:16" ht="15" hidden="1" outlineLevel="1" thickBot="1">
      <c r="B29" s="231"/>
      <c r="C29" s="220"/>
      <c r="D29" s="221" t="e">
        <f t="shared" si="9"/>
        <v>#DIV/0!</v>
      </c>
      <c r="E29" s="221" t="e">
        <f t="shared" si="10"/>
        <v>#DIV/0!</v>
      </c>
      <c r="F29" s="222" t="e">
        <f t="shared" si="7"/>
        <v>#DIV/0!</v>
      </c>
      <c r="G29" s="222" t="e">
        <f t="shared" si="11"/>
        <v>#N/A</v>
      </c>
      <c r="I29" s="231"/>
      <c r="J29" s="220"/>
      <c r="K29" s="221" t="e">
        <f t="shared" si="8"/>
        <v>#DIV/0!</v>
      </c>
      <c r="L29" s="221" t="e">
        <f t="shared" si="13"/>
        <v>#DIV/0!</v>
      </c>
      <c r="M29" s="222" t="e">
        <f t="shared" si="12"/>
        <v>#DIV/0!</v>
      </c>
    </row>
    <row r="30" spans="2:16" ht="15" hidden="1" outlineLevel="1" thickBot="1">
      <c r="B30" s="231"/>
      <c r="C30" s="220"/>
      <c r="D30" s="221" t="e">
        <f t="shared" si="9"/>
        <v>#DIV/0!</v>
      </c>
      <c r="E30" s="221" t="e">
        <f t="shared" si="10"/>
        <v>#DIV/0!</v>
      </c>
      <c r="F30" s="222" t="e">
        <f t="shared" si="7"/>
        <v>#DIV/0!</v>
      </c>
      <c r="G30" s="222" t="e">
        <f t="shared" si="11"/>
        <v>#N/A</v>
      </c>
      <c r="I30" s="231"/>
      <c r="J30" s="220"/>
      <c r="K30" s="221" t="e">
        <f t="shared" si="8"/>
        <v>#DIV/0!</v>
      </c>
      <c r="L30" s="221" t="e">
        <f t="shared" si="13"/>
        <v>#DIV/0!</v>
      </c>
      <c r="M30" s="222" t="e">
        <f t="shared" si="12"/>
        <v>#DIV/0!</v>
      </c>
    </row>
    <row r="31" spans="2:16" ht="15" hidden="1" outlineLevel="1" thickBot="1">
      <c r="B31" s="231"/>
      <c r="C31" s="220"/>
      <c r="D31" s="221" t="e">
        <f t="shared" si="9"/>
        <v>#DIV/0!</v>
      </c>
      <c r="E31" s="221" t="e">
        <f t="shared" si="10"/>
        <v>#DIV/0!</v>
      </c>
      <c r="F31" s="222" t="e">
        <f t="shared" si="7"/>
        <v>#DIV/0!</v>
      </c>
      <c r="G31" s="222" t="e">
        <f t="shared" si="11"/>
        <v>#N/A</v>
      </c>
      <c r="I31" s="231"/>
      <c r="J31" s="220"/>
      <c r="K31" s="221" t="e">
        <f t="shared" si="8"/>
        <v>#DIV/0!</v>
      </c>
      <c r="L31" s="221" t="e">
        <f t="shared" si="13"/>
        <v>#DIV/0!</v>
      </c>
      <c r="M31" s="222" t="e">
        <f t="shared" si="12"/>
        <v>#DIV/0!</v>
      </c>
    </row>
    <row r="32" spans="2:16" ht="15" hidden="1" outlineLevel="1" thickBot="1">
      <c r="B32" s="231"/>
      <c r="C32" s="220"/>
      <c r="D32" s="221" t="e">
        <f t="shared" si="9"/>
        <v>#DIV/0!</v>
      </c>
      <c r="E32" s="221" t="e">
        <f t="shared" si="10"/>
        <v>#DIV/0!</v>
      </c>
      <c r="F32" s="222" t="e">
        <f t="shared" si="7"/>
        <v>#DIV/0!</v>
      </c>
      <c r="G32" s="222" t="e">
        <f t="shared" si="11"/>
        <v>#N/A</v>
      </c>
      <c r="I32" s="231"/>
      <c r="J32" s="220"/>
      <c r="K32" s="221" t="e">
        <f t="shared" si="8"/>
        <v>#DIV/0!</v>
      </c>
      <c r="L32" s="221" t="e">
        <f t="shared" si="13"/>
        <v>#DIV/0!</v>
      </c>
      <c r="M32" s="222" t="e">
        <f t="shared" si="12"/>
        <v>#DIV/0!</v>
      </c>
    </row>
    <row r="33" spans="2:13" ht="15" hidden="1" outlineLevel="1" thickBot="1">
      <c r="B33" s="231"/>
      <c r="C33" s="220"/>
      <c r="D33" s="221" t="e">
        <f t="shared" si="9"/>
        <v>#DIV/0!</v>
      </c>
      <c r="E33" s="221" t="e">
        <f t="shared" si="10"/>
        <v>#DIV/0!</v>
      </c>
      <c r="F33" s="222" t="e">
        <f t="shared" si="7"/>
        <v>#DIV/0!</v>
      </c>
      <c r="G33" s="222" t="e">
        <f t="shared" si="11"/>
        <v>#N/A</v>
      </c>
      <c r="I33" s="231"/>
      <c r="J33" s="220"/>
      <c r="K33" s="221" t="e">
        <f t="shared" si="8"/>
        <v>#DIV/0!</v>
      </c>
      <c r="L33" s="221" t="e">
        <f t="shared" si="13"/>
        <v>#DIV/0!</v>
      </c>
      <c r="M33" s="222" t="e">
        <f t="shared" si="12"/>
        <v>#DIV/0!</v>
      </c>
    </row>
    <row r="34" spans="2:13" ht="15" hidden="1" outlineLevel="1" thickBot="1">
      <c r="B34" s="231"/>
      <c r="C34" s="220"/>
      <c r="D34" s="221" t="e">
        <f t="shared" si="9"/>
        <v>#DIV/0!</v>
      </c>
      <c r="E34" s="221" t="e">
        <f t="shared" si="10"/>
        <v>#DIV/0!</v>
      </c>
      <c r="F34" s="222" t="e">
        <f t="shared" si="7"/>
        <v>#DIV/0!</v>
      </c>
      <c r="G34" s="222" t="e">
        <f t="shared" si="11"/>
        <v>#N/A</v>
      </c>
      <c r="I34" s="231"/>
      <c r="J34" s="220"/>
      <c r="K34" s="221" t="e">
        <f t="shared" si="8"/>
        <v>#DIV/0!</v>
      </c>
      <c r="L34" s="221" t="e">
        <f t="shared" si="13"/>
        <v>#DIV/0!</v>
      </c>
      <c r="M34" s="222" t="e">
        <f t="shared" si="12"/>
        <v>#DIV/0!</v>
      </c>
    </row>
    <row r="35" spans="2:13" ht="15" hidden="1" outlineLevel="1" thickBot="1">
      <c r="B35" s="231"/>
      <c r="C35" s="220"/>
      <c r="D35" s="221" t="e">
        <f t="shared" si="9"/>
        <v>#DIV/0!</v>
      </c>
      <c r="E35" s="221" t="e">
        <f t="shared" si="10"/>
        <v>#DIV/0!</v>
      </c>
      <c r="F35" s="222" t="e">
        <f t="shared" si="7"/>
        <v>#DIV/0!</v>
      </c>
      <c r="G35" s="222" t="e">
        <f t="shared" si="11"/>
        <v>#N/A</v>
      </c>
      <c r="I35" s="231"/>
      <c r="J35" s="220"/>
      <c r="K35" s="221" t="e">
        <f t="shared" si="8"/>
        <v>#DIV/0!</v>
      </c>
      <c r="L35" s="221" t="e">
        <f t="shared" si="13"/>
        <v>#DIV/0!</v>
      </c>
      <c r="M35" s="222" t="e">
        <f t="shared" si="12"/>
        <v>#DIV/0!</v>
      </c>
    </row>
    <row r="36" spans="2:13" ht="15" hidden="1" outlineLevel="1" thickBot="1">
      <c r="B36" s="231"/>
      <c r="C36" s="220"/>
      <c r="D36" s="221" t="e">
        <f t="shared" si="9"/>
        <v>#DIV/0!</v>
      </c>
      <c r="E36" s="221" t="e">
        <f t="shared" si="10"/>
        <v>#DIV/0!</v>
      </c>
      <c r="F36" s="222" t="e">
        <f t="shared" si="7"/>
        <v>#DIV/0!</v>
      </c>
      <c r="G36" s="222" t="e">
        <f t="shared" si="11"/>
        <v>#N/A</v>
      </c>
      <c r="I36" s="231"/>
      <c r="J36" s="220"/>
      <c r="K36" s="221" t="e">
        <f t="shared" si="8"/>
        <v>#DIV/0!</v>
      </c>
      <c r="L36" s="221" t="e">
        <f t="shared" si="13"/>
        <v>#DIV/0!</v>
      </c>
      <c r="M36" s="222" t="e">
        <f t="shared" si="12"/>
        <v>#DIV/0!</v>
      </c>
    </row>
    <row r="37" spans="2:13" ht="15" hidden="1" outlineLevel="1" thickBot="1">
      <c r="B37" s="231"/>
      <c r="C37" s="220"/>
      <c r="D37" s="221" t="e">
        <f t="shared" si="9"/>
        <v>#DIV/0!</v>
      </c>
      <c r="E37" s="221" t="e">
        <f t="shared" si="10"/>
        <v>#DIV/0!</v>
      </c>
      <c r="F37" s="222" t="e">
        <f t="shared" si="7"/>
        <v>#DIV/0!</v>
      </c>
      <c r="G37" s="222" t="e">
        <f t="shared" si="11"/>
        <v>#N/A</v>
      </c>
      <c r="I37" s="231"/>
      <c r="J37" s="220"/>
      <c r="K37" s="221" t="e">
        <f t="shared" si="8"/>
        <v>#DIV/0!</v>
      </c>
      <c r="L37" s="221" t="e">
        <f t="shared" si="13"/>
        <v>#DIV/0!</v>
      </c>
      <c r="M37" s="222" t="e">
        <f t="shared" si="12"/>
        <v>#DIV/0!</v>
      </c>
    </row>
    <row r="38" spans="2:13" ht="15" hidden="1" outlineLevel="1" thickBot="1">
      <c r="B38" s="231"/>
      <c r="C38" s="220"/>
      <c r="D38" s="221" t="e">
        <f t="shared" si="9"/>
        <v>#DIV/0!</v>
      </c>
      <c r="E38" s="221" t="e">
        <f t="shared" si="10"/>
        <v>#DIV/0!</v>
      </c>
      <c r="F38" s="222" t="e">
        <f t="shared" si="7"/>
        <v>#DIV/0!</v>
      </c>
      <c r="G38" s="222" t="e">
        <f t="shared" si="11"/>
        <v>#N/A</v>
      </c>
      <c r="I38" s="231"/>
      <c r="J38" s="220"/>
      <c r="K38" s="221" t="e">
        <f t="shared" si="8"/>
        <v>#DIV/0!</v>
      </c>
      <c r="L38" s="221" t="e">
        <f t="shared" si="13"/>
        <v>#DIV/0!</v>
      </c>
      <c r="M38" s="222" t="e">
        <f t="shared" si="12"/>
        <v>#DIV/0!</v>
      </c>
    </row>
    <row r="39" spans="2:13" ht="15" hidden="1" outlineLevel="1" thickBot="1">
      <c r="B39" s="231"/>
      <c r="C39" s="220"/>
      <c r="D39" s="221" t="e">
        <f t="shared" si="9"/>
        <v>#DIV/0!</v>
      </c>
      <c r="E39" s="221" t="e">
        <f t="shared" si="10"/>
        <v>#DIV/0!</v>
      </c>
      <c r="F39" s="222" t="e">
        <f t="shared" si="7"/>
        <v>#DIV/0!</v>
      </c>
      <c r="G39" s="222" t="e">
        <f t="shared" si="11"/>
        <v>#N/A</v>
      </c>
      <c r="I39" s="231"/>
      <c r="J39" s="220"/>
      <c r="K39" s="221" t="e">
        <f t="shared" si="8"/>
        <v>#DIV/0!</v>
      </c>
      <c r="L39" s="221" t="e">
        <f t="shared" si="13"/>
        <v>#DIV/0!</v>
      </c>
      <c r="M39" s="222" t="e">
        <f t="shared" si="12"/>
        <v>#DIV/0!</v>
      </c>
    </row>
    <row r="40" spans="2:13" ht="15" hidden="1" outlineLevel="1" thickBot="1">
      <c r="B40" s="231"/>
      <c r="C40" s="220"/>
      <c r="D40" s="221" t="e">
        <f t="shared" si="9"/>
        <v>#DIV/0!</v>
      </c>
      <c r="E40" s="221" t="e">
        <f t="shared" si="10"/>
        <v>#DIV/0!</v>
      </c>
      <c r="F40" s="222" t="e">
        <f t="shared" si="7"/>
        <v>#DIV/0!</v>
      </c>
      <c r="G40" s="222" t="e">
        <f t="shared" si="11"/>
        <v>#N/A</v>
      </c>
      <c r="I40" s="231"/>
      <c r="J40" s="220"/>
      <c r="K40" s="221" t="e">
        <f t="shared" si="8"/>
        <v>#DIV/0!</v>
      </c>
      <c r="L40" s="221" t="e">
        <f t="shared" si="13"/>
        <v>#DIV/0!</v>
      </c>
      <c r="M40" s="222" t="e">
        <f t="shared" si="12"/>
        <v>#DIV/0!</v>
      </c>
    </row>
    <row r="41" spans="2:13" ht="15" hidden="1" outlineLevel="1" thickBot="1">
      <c r="B41" s="231"/>
      <c r="C41" s="220"/>
      <c r="D41" s="221" t="e">
        <f t="shared" si="9"/>
        <v>#DIV/0!</v>
      </c>
      <c r="E41" s="221" t="e">
        <f t="shared" si="10"/>
        <v>#DIV/0!</v>
      </c>
      <c r="F41" s="222" t="e">
        <f t="shared" si="7"/>
        <v>#DIV/0!</v>
      </c>
      <c r="G41" s="222" t="e">
        <f t="shared" si="11"/>
        <v>#N/A</v>
      </c>
      <c r="I41" s="231"/>
      <c r="J41" s="220"/>
      <c r="K41" s="221" t="e">
        <f t="shared" si="8"/>
        <v>#DIV/0!</v>
      </c>
      <c r="L41" s="221" t="e">
        <f t="shared" si="13"/>
        <v>#DIV/0!</v>
      </c>
      <c r="M41" s="222" t="e">
        <f t="shared" si="12"/>
        <v>#DIV/0!</v>
      </c>
    </row>
    <row r="42" spans="2:13" ht="15" hidden="1" outlineLevel="1" thickBot="1">
      <c r="B42" s="231"/>
      <c r="C42" s="220"/>
      <c r="D42" s="221" t="e">
        <f t="shared" si="9"/>
        <v>#DIV/0!</v>
      </c>
      <c r="E42" s="221" t="e">
        <f t="shared" si="10"/>
        <v>#DIV/0!</v>
      </c>
      <c r="F42" s="222" t="e">
        <f t="shared" si="7"/>
        <v>#DIV/0!</v>
      </c>
      <c r="G42" s="222" t="e">
        <f t="shared" si="11"/>
        <v>#N/A</v>
      </c>
      <c r="I42" s="231"/>
      <c r="J42" s="220"/>
      <c r="K42" s="221" t="e">
        <f t="shared" si="8"/>
        <v>#DIV/0!</v>
      </c>
      <c r="L42" s="221" t="e">
        <f t="shared" si="13"/>
        <v>#DIV/0!</v>
      </c>
      <c r="M42" s="222" t="e">
        <f t="shared" si="12"/>
        <v>#DIV/0!</v>
      </c>
    </row>
    <row r="43" spans="2:13" ht="15" hidden="1" outlineLevel="1" thickBot="1">
      <c r="B43" s="231"/>
      <c r="C43" s="220"/>
      <c r="D43" s="221" t="e">
        <f t="shared" si="9"/>
        <v>#DIV/0!</v>
      </c>
      <c r="E43" s="221" t="e">
        <f t="shared" si="10"/>
        <v>#DIV/0!</v>
      </c>
      <c r="F43" s="222" t="e">
        <f t="shared" si="7"/>
        <v>#DIV/0!</v>
      </c>
      <c r="G43" s="222" t="e">
        <f t="shared" si="11"/>
        <v>#N/A</v>
      </c>
      <c r="I43" s="231"/>
      <c r="J43" s="220"/>
      <c r="K43" s="221" t="e">
        <f t="shared" si="8"/>
        <v>#DIV/0!</v>
      </c>
      <c r="L43" s="221" t="e">
        <f t="shared" si="13"/>
        <v>#DIV/0!</v>
      </c>
      <c r="M43" s="222" t="e">
        <f t="shared" si="12"/>
        <v>#DIV/0!</v>
      </c>
    </row>
    <row r="44" spans="2:13" ht="15" hidden="1" outlineLevel="1" thickBot="1">
      <c r="B44" s="231"/>
      <c r="C44" s="220"/>
      <c r="D44" s="221" t="e">
        <f t="shared" si="9"/>
        <v>#DIV/0!</v>
      </c>
      <c r="E44" s="221" t="e">
        <f t="shared" si="10"/>
        <v>#DIV/0!</v>
      </c>
      <c r="F44" s="222" t="e">
        <f t="shared" si="7"/>
        <v>#DIV/0!</v>
      </c>
      <c r="G44" s="222" t="e">
        <f t="shared" si="11"/>
        <v>#N/A</v>
      </c>
      <c r="I44" s="231"/>
      <c r="J44" s="220"/>
      <c r="K44" s="221" t="e">
        <f t="shared" si="8"/>
        <v>#DIV/0!</v>
      </c>
      <c r="L44" s="221" t="e">
        <f t="shared" si="13"/>
        <v>#DIV/0!</v>
      </c>
      <c r="M44" s="222" t="e">
        <f t="shared" si="12"/>
        <v>#DIV/0!</v>
      </c>
    </row>
    <row r="45" spans="2:13" ht="15" hidden="1" outlineLevel="1" thickBot="1">
      <c r="B45" s="231"/>
      <c r="C45" s="220"/>
      <c r="D45" s="221" t="e">
        <f t="shared" si="9"/>
        <v>#DIV/0!</v>
      </c>
      <c r="E45" s="221" t="e">
        <f t="shared" si="10"/>
        <v>#DIV/0!</v>
      </c>
      <c r="F45" s="222" t="e">
        <f t="shared" si="7"/>
        <v>#DIV/0!</v>
      </c>
      <c r="G45" s="222" t="e">
        <f t="shared" si="11"/>
        <v>#N/A</v>
      </c>
      <c r="I45" s="231"/>
      <c r="J45" s="220"/>
      <c r="K45" s="221" t="e">
        <f t="shared" si="8"/>
        <v>#DIV/0!</v>
      </c>
      <c r="L45" s="221" t="e">
        <f t="shared" si="13"/>
        <v>#DIV/0!</v>
      </c>
      <c r="M45" s="222" t="e">
        <f t="shared" si="12"/>
        <v>#DIV/0!</v>
      </c>
    </row>
    <row r="46" spans="2:13" ht="15" hidden="1" outlineLevel="1" thickBot="1">
      <c r="B46" s="231"/>
      <c r="C46" s="220"/>
      <c r="D46" s="221" t="e">
        <f t="shared" si="9"/>
        <v>#DIV/0!</v>
      </c>
      <c r="E46" s="221" t="e">
        <f t="shared" si="10"/>
        <v>#DIV/0!</v>
      </c>
      <c r="F46" s="222" t="e">
        <f t="shared" si="7"/>
        <v>#DIV/0!</v>
      </c>
      <c r="G46" s="222" t="e">
        <f t="shared" si="11"/>
        <v>#N/A</v>
      </c>
      <c r="I46" s="231"/>
      <c r="J46" s="220"/>
      <c r="K46" s="221" t="e">
        <f t="shared" si="8"/>
        <v>#DIV/0!</v>
      </c>
      <c r="L46" s="221" t="e">
        <f t="shared" si="13"/>
        <v>#DIV/0!</v>
      </c>
      <c r="M46" s="222" t="e">
        <f t="shared" si="12"/>
        <v>#DIV/0!</v>
      </c>
    </row>
    <row r="47" spans="2:13" ht="15" hidden="1" outlineLevel="1" thickBot="1">
      <c r="B47" s="231"/>
      <c r="C47" s="220"/>
      <c r="D47" s="221" t="e">
        <f t="shared" si="9"/>
        <v>#DIV/0!</v>
      </c>
      <c r="E47" s="221" t="e">
        <f t="shared" si="10"/>
        <v>#DIV/0!</v>
      </c>
      <c r="F47" s="222" t="e">
        <f t="shared" si="7"/>
        <v>#DIV/0!</v>
      </c>
      <c r="G47" s="222" t="e">
        <f t="shared" si="11"/>
        <v>#N/A</v>
      </c>
      <c r="I47" s="231"/>
      <c r="J47" s="220"/>
      <c r="K47" s="221" t="e">
        <f t="shared" si="8"/>
        <v>#DIV/0!</v>
      </c>
      <c r="L47" s="221" t="e">
        <f t="shared" si="13"/>
        <v>#DIV/0!</v>
      </c>
      <c r="M47" s="222" t="e">
        <f t="shared" si="12"/>
        <v>#DIV/0!</v>
      </c>
    </row>
    <row r="48" spans="2:13" ht="15" hidden="1" outlineLevel="1" thickBot="1">
      <c r="B48" s="231"/>
      <c r="C48" s="220"/>
      <c r="D48" s="221" t="e">
        <f t="shared" si="9"/>
        <v>#DIV/0!</v>
      </c>
      <c r="E48" s="221" t="e">
        <f t="shared" si="10"/>
        <v>#DIV/0!</v>
      </c>
      <c r="F48" s="222" t="e">
        <f t="shared" si="7"/>
        <v>#DIV/0!</v>
      </c>
      <c r="G48" s="222" t="e">
        <f t="shared" si="11"/>
        <v>#N/A</v>
      </c>
      <c r="I48" s="231"/>
      <c r="J48" s="220"/>
      <c r="K48" s="221" t="e">
        <f t="shared" si="8"/>
        <v>#DIV/0!</v>
      </c>
      <c r="L48" s="221" t="e">
        <f t="shared" si="13"/>
        <v>#DIV/0!</v>
      </c>
      <c r="M48" s="222" t="e">
        <f t="shared" si="12"/>
        <v>#DIV/0!</v>
      </c>
    </row>
    <row r="49" spans="2:13" ht="15" hidden="1" outlineLevel="1" thickBot="1">
      <c r="B49" s="231"/>
      <c r="C49" s="220"/>
      <c r="D49" s="221" t="e">
        <f t="shared" si="9"/>
        <v>#DIV/0!</v>
      </c>
      <c r="E49" s="221" t="e">
        <f t="shared" si="10"/>
        <v>#DIV/0!</v>
      </c>
      <c r="F49" s="222" t="e">
        <f t="shared" si="7"/>
        <v>#DIV/0!</v>
      </c>
      <c r="G49" s="222" t="e">
        <f t="shared" si="11"/>
        <v>#N/A</v>
      </c>
      <c r="I49" s="231"/>
      <c r="J49" s="220"/>
      <c r="K49" s="221" t="e">
        <f t="shared" si="8"/>
        <v>#DIV/0!</v>
      </c>
      <c r="L49" s="221" t="e">
        <f t="shared" si="13"/>
        <v>#DIV/0!</v>
      </c>
      <c r="M49" s="222" t="e">
        <f t="shared" si="12"/>
        <v>#DIV/0!</v>
      </c>
    </row>
    <row r="50" spans="2:13" ht="15" hidden="1" outlineLevel="1" thickBot="1">
      <c r="B50" s="231"/>
      <c r="C50" s="220"/>
      <c r="D50" s="221" t="e">
        <f t="shared" si="9"/>
        <v>#DIV/0!</v>
      </c>
      <c r="E50" s="221" t="e">
        <f t="shared" si="10"/>
        <v>#DIV/0!</v>
      </c>
      <c r="F50" s="222" t="e">
        <f t="shared" si="7"/>
        <v>#DIV/0!</v>
      </c>
      <c r="G50" s="222" t="e">
        <f t="shared" si="11"/>
        <v>#N/A</v>
      </c>
      <c r="I50" s="231"/>
      <c r="J50" s="220"/>
      <c r="K50" s="221" t="e">
        <f t="shared" si="8"/>
        <v>#DIV/0!</v>
      </c>
      <c r="L50" s="221" t="e">
        <f t="shared" si="13"/>
        <v>#DIV/0!</v>
      </c>
      <c r="M50" s="222" t="e">
        <f t="shared" si="12"/>
        <v>#DIV/0!</v>
      </c>
    </row>
    <row r="51" spans="2:13" ht="15" hidden="1" outlineLevel="1" thickBot="1">
      <c r="B51" s="231"/>
      <c r="C51" s="220"/>
      <c r="D51" s="221" t="e">
        <f t="shared" si="9"/>
        <v>#DIV/0!</v>
      </c>
      <c r="E51" s="221" t="e">
        <f t="shared" si="10"/>
        <v>#DIV/0!</v>
      </c>
      <c r="F51" s="222" t="e">
        <f t="shared" si="7"/>
        <v>#DIV/0!</v>
      </c>
      <c r="G51" s="222" t="e">
        <f t="shared" si="11"/>
        <v>#N/A</v>
      </c>
      <c r="I51" s="231"/>
      <c r="J51" s="220"/>
      <c r="K51" s="221" t="e">
        <f t="shared" si="8"/>
        <v>#DIV/0!</v>
      </c>
      <c r="L51" s="221" t="e">
        <f t="shared" si="13"/>
        <v>#DIV/0!</v>
      </c>
      <c r="M51" s="222" t="e">
        <f t="shared" si="12"/>
        <v>#DIV/0!</v>
      </c>
    </row>
    <row r="52" spans="2:13" ht="15" hidden="1" outlineLevel="1" thickBot="1">
      <c r="B52" s="231"/>
      <c r="C52" s="220"/>
      <c r="D52" s="221" t="e">
        <f t="shared" si="9"/>
        <v>#DIV/0!</v>
      </c>
      <c r="E52" s="221" t="e">
        <f t="shared" si="10"/>
        <v>#DIV/0!</v>
      </c>
      <c r="F52" s="222" t="e">
        <f t="shared" si="7"/>
        <v>#DIV/0!</v>
      </c>
      <c r="G52" s="222" t="e">
        <f t="shared" si="11"/>
        <v>#N/A</v>
      </c>
      <c r="I52" s="231"/>
      <c r="J52" s="220"/>
      <c r="K52" s="221" t="e">
        <f t="shared" si="8"/>
        <v>#DIV/0!</v>
      </c>
      <c r="L52" s="221" t="e">
        <f t="shared" si="13"/>
        <v>#DIV/0!</v>
      </c>
      <c r="M52" s="222" t="e">
        <f t="shared" si="12"/>
        <v>#DIV/0!</v>
      </c>
    </row>
    <row r="53" spans="2:13" ht="15" hidden="1" customHeight="1" outlineLevel="1">
      <c r="B53" s="231"/>
      <c r="C53" s="220"/>
      <c r="D53" s="221" t="e">
        <f t="shared" si="9"/>
        <v>#DIV/0!</v>
      </c>
      <c r="E53" s="221" t="e">
        <f t="shared" si="10"/>
        <v>#DIV/0!</v>
      </c>
      <c r="F53" s="222" t="e">
        <f t="shared" si="7"/>
        <v>#DIV/0!</v>
      </c>
      <c r="G53" s="222" t="e">
        <f t="shared" si="11"/>
        <v>#N/A</v>
      </c>
      <c r="I53" s="231"/>
      <c r="J53" s="220"/>
      <c r="K53" s="221" t="e">
        <f t="shared" si="8"/>
        <v>#DIV/0!</v>
      </c>
      <c r="L53" s="221" t="e">
        <f t="shared" si="13"/>
        <v>#DIV/0!</v>
      </c>
      <c r="M53" s="222" t="e">
        <f t="shared" si="12"/>
        <v>#DIV/0!</v>
      </c>
    </row>
    <row r="54" spans="2:13" ht="15" hidden="1" outlineLevel="1" thickBot="1">
      <c r="B54" s="231"/>
      <c r="C54" s="220"/>
      <c r="D54" s="221" t="e">
        <f t="shared" si="9"/>
        <v>#DIV/0!</v>
      </c>
      <c r="E54" s="221" t="e">
        <f t="shared" si="10"/>
        <v>#DIV/0!</v>
      </c>
      <c r="F54" s="222" t="e">
        <f t="shared" si="7"/>
        <v>#DIV/0!</v>
      </c>
      <c r="G54" s="222" t="e">
        <f t="shared" si="11"/>
        <v>#N/A</v>
      </c>
      <c r="I54" s="231"/>
      <c r="J54" s="220"/>
      <c r="K54" s="221" t="e">
        <f t="shared" si="8"/>
        <v>#DIV/0!</v>
      </c>
      <c r="L54" s="221" t="e">
        <f t="shared" si="13"/>
        <v>#DIV/0!</v>
      </c>
      <c r="M54" s="222" t="e">
        <f t="shared" si="12"/>
        <v>#DIV/0!</v>
      </c>
    </row>
    <row r="55" spans="2:13" ht="15" hidden="1" outlineLevel="1" thickBot="1">
      <c r="B55" s="231"/>
      <c r="C55" s="220"/>
      <c r="D55" s="221" t="e">
        <f t="shared" si="9"/>
        <v>#DIV/0!</v>
      </c>
      <c r="E55" s="221" t="e">
        <f t="shared" si="10"/>
        <v>#DIV/0!</v>
      </c>
      <c r="F55" s="222" t="e">
        <f t="shared" si="7"/>
        <v>#DIV/0!</v>
      </c>
      <c r="G55" s="222" t="e">
        <f t="shared" si="11"/>
        <v>#N/A</v>
      </c>
      <c r="I55" s="231"/>
      <c r="J55" s="220"/>
      <c r="K55" s="221" t="e">
        <f t="shared" si="8"/>
        <v>#DIV/0!</v>
      </c>
      <c r="L55" s="221" t="e">
        <f t="shared" si="13"/>
        <v>#DIV/0!</v>
      </c>
      <c r="M55" s="222" t="e">
        <f t="shared" si="12"/>
        <v>#DIV/0!</v>
      </c>
    </row>
    <row r="56" spans="2:13" ht="15" hidden="1" outlineLevel="1" thickBot="1">
      <c r="B56" s="231"/>
      <c r="C56" s="220"/>
      <c r="D56" s="221" t="e">
        <f t="shared" si="9"/>
        <v>#DIV/0!</v>
      </c>
      <c r="E56" s="221" t="e">
        <f t="shared" si="10"/>
        <v>#DIV/0!</v>
      </c>
      <c r="F56" s="222" t="e">
        <f t="shared" si="7"/>
        <v>#DIV/0!</v>
      </c>
      <c r="G56" s="222" t="e">
        <f t="shared" si="11"/>
        <v>#N/A</v>
      </c>
      <c r="I56" s="231"/>
      <c r="J56" s="220"/>
      <c r="K56" s="221" t="e">
        <f t="shared" si="8"/>
        <v>#DIV/0!</v>
      </c>
      <c r="L56" s="221" t="e">
        <f t="shared" si="13"/>
        <v>#DIV/0!</v>
      </c>
      <c r="M56" s="222" t="e">
        <f t="shared" si="12"/>
        <v>#DIV/0!</v>
      </c>
    </row>
    <row r="57" spans="2:13" ht="15" hidden="1" outlineLevel="1" thickBot="1">
      <c r="B57" s="231"/>
      <c r="C57" s="220"/>
      <c r="D57" s="221" t="e">
        <f t="shared" si="9"/>
        <v>#DIV/0!</v>
      </c>
      <c r="E57" s="221" t="e">
        <f t="shared" si="10"/>
        <v>#DIV/0!</v>
      </c>
      <c r="F57" s="222" t="e">
        <f t="shared" si="7"/>
        <v>#DIV/0!</v>
      </c>
      <c r="G57" s="222" t="e">
        <f t="shared" si="11"/>
        <v>#N/A</v>
      </c>
      <c r="I57" s="231"/>
      <c r="J57" s="220"/>
      <c r="K57" s="221" t="e">
        <f t="shared" si="8"/>
        <v>#DIV/0!</v>
      </c>
      <c r="L57" s="221" t="e">
        <f t="shared" si="13"/>
        <v>#DIV/0!</v>
      </c>
      <c r="M57" s="222" t="e">
        <f t="shared" si="12"/>
        <v>#DIV/0!</v>
      </c>
    </row>
    <row r="58" spans="2:13" ht="15" hidden="1" outlineLevel="1" thickBot="1">
      <c r="B58" s="231"/>
      <c r="C58" s="220"/>
      <c r="D58" s="221" t="e">
        <f t="shared" si="9"/>
        <v>#DIV/0!</v>
      </c>
      <c r="E58" s="221" t="e">
        <f t="shared" si="10"/>
        <v>#DIV/0!</v>
      </c>
      <c r="F58" s="222" t="e">
        <f t="shared" si="7"/>
        <v>#DIV/0!</v>
      </c>
      <c r="G58" s="222" t="e">
        <f t="shared" si="11"/>
        <v>#N/A</v>
      </c>
      <c r="I58" s="231"/>
      <c r="J58" s="220"/>
      <c r="K58" s="221" t="e">
        <f t="shared" si="8"/>
        <v>#DIV/0!</v>
      </c>
      <c r="L58" s="221" t="e">
        <f t="shared" si="13"/>
        <v>#DIV/0!</v>
      </c>
      <c r="M58" s="222" t="e">
        <f t="shared" si="12"/>
        <v>#DIV/0!</v>
      </c>
    </row>
    <row r="59" spans="2:13" ht="15" hidden="1" outlineLevel="1" thickBot="1">
      <c r="B59" s="231"/>
      <c r="C59" s="220"/>
      <c r="D59" s="221" t="e">
        <f t="shared" si="9"/>
        <v>#DIV/0!</v>
      </c>
      <c r="E59" s="221" t="e">
        <f t="shared" si="10"/>
        <v>#DIV/0!</v>
      </c>
      <c r="F59" s="222" t="e">
        <f t="shared" si="7"/>
        <v>#DIV/0!</v>
      </c>
      <c r="G59" s="222" t="e">
        <f t="shared" si="11"/>
        <v>#N/A</v>
      </c>
      <c r="I59" s="231"/>
      <c r="J59" s="220"/>
      <c r="K59" s="221" t="e">
        <f t="shared" si="8"/>
        <v>#DIV/0!</v>
      </c>
      <c r="L59" s="221" t="e">
        <f t="shared" si="13"/>
        <v>#DIV/0!</v>
      </c>
      <c r="M59" s="222" t="e">
        <f t="shared" si="12"/>
        <v>#DIV/0!</v>
      </c>
    </row>
    <row r="60" spans="2:13" ht="15" hidden="1" outlineLevel="1" thickBot="1">
      <c r="B60" s="231"/>
      <c r="C60" s="220"/>
      <c r="D60" s="221" t="e">
        <f t="shared" si="9"/>
        <v>#DIV/0!</v>
      </c>
      <c r="E60" s="221" t="e">
        <f t="shared" si="10"/>
        <v>#DIV/0!</v>
      </c>
      <c r="F60" s="222" t="e">
        <f t="shared" si="7"/>
        <v>#DIV/0!</v>
      </c>
      <c r="G60" s="222" t="e">
        <f t="shared" si="11"/>
        <v>#N/A</v>
      </c>
      <c r="I60" s="231"/>
      <c r="J60" s="220"/>
      <c r="K60" s="221" t="e">
        <f t="shared" si="8"/>
        <v>#DIV/0!</v>
      </c>
      <c r="L60" s="221" t="e">
        <f t="shared" si="13"/>
        <v>#DIV/0!</v>
      </c>
      <c r="M60" s="222" t="e">
        <f t="shared" si="12"/>
        <v>#DIV/0!</v>
      </c>
    </row>
    <row r="61" spans="2:13" ht="15" hidden="1" outlineLevel="1" thickBot="1">
      <c r="B61" s="231"/>
      <c r="C61" s="220"/>
      <c r="D61" s="221" t="e">
        <f t="shared" si="9"/>
        <v>#DIV/0!</v>
      </c>
      <c r="E61" s="221" t="e">
        <f t="shared" si="10"/>
        <v>#DIV/0!</v>
      </c>
      <c r="F61" s="222" t="e">
        <f t="shared" si="7"/>
        <v>#DIV/0!</v>
      </c>
      <c r="G61" s="222" t="e">
        <f t="shared" si="11"/>
        <v>#N/A</v>
      </c>
      <c r="I61" s="231"/>
      <c r="J61" s="220"/>
      <c r="K61" s="221" t="e">
        <f t="shared" si="8"/>
        <v>#DIV/0!</v>
      </c>
      <c r="L61" s="221" t="e">
        <f t="shared" si="13"/>
        <v>#DIV/0!</v>
      </c>
      <c r="M61" s="222" t="e">
        <f t="shared" si="12"/>
        <v>#DIV/0!</v>
      </c>
    </row>
    <row r="62" spans="2:13" ht="15" hidden="1" outlineLevel="1" thickBot="1">
      <c r="B62" s="231"/>
      <c r="C62" s="220"/>
      <c r="D62" s="221" t="e">
        <f t="shared" si="9"/>
        <v>#DIV/0!</v>
      </c>
      <c r="E62" s="221" t="e">
        <f t="shared" si="10"/>
        <v>#DIV/0!</v>
      </c>
      <c r="F62" s="222" t="e">
        <f t="shared" si="7"/>
        <v>#DIV/0!</v>
      </c>
      <c r="G62" s="222" t="e">
        <f t="shared" si="11"/>
        <v>#N/A</v>
      </c>
      <c r="I62" s="231"/>
      <c r="J62" s="220"/>
      <c r="K62" s="221" t="e">
        <f t="shared" si="8"/>
        <v>#DIV/0!</v>
      </c>
      <c r="L62" s="221" t="e">
        <f t="shared" si="13"/>
        <v>#DIV/0!</v>
      </c>
      <c r="M62" s="222" t="e">
        <f t="shared" si="12"/>
        <v>#DIV/0!</v>
      </c>
    </row>
    <row r="63" spans="2:13" ht="15" hidden="1" outlineLevel="1" thickBot="1">
      <c r="B63" s="231"/>
      <c r="C63" s="220"/>
      <c r="D63" s="221" t="e">
        <f t="shared" si="9"/>
        <v>#DIV/0!</v>
      </c>
      <c r="E63" s="221" t="e">
        <f t="shared" si="10"/>
        <v>#DIV/0!</v>
      </c>
      <c r="F63" s="222" t="e">
        <f t="shared" si="7"/>
        <v>#DIV/0!</v>
      </c>
      <c r="G63" s="222" t="e">
        <f t="shared" si="11"/>
        <v>#N/A</v>
      </c>
      <c r="I63" s="231"/>
      <c r="J63" s="220"/>
      <c r="K63" s="221" t="e">
        <f t="shared" si="8"/>
        <v>#DIV/0!</v>
      </c>
      <c r="L63" s="221" t="e">
        <f t="shared" si="13"/>
        <v>#DIV/0!</v>
      </c>
      <c r="M63" s="222" t="e">
        <f t="shared" si="12"/>
        <v>#DIV/0!</v>
      </c>
    </row>
    <row r="64" spans="2:13" ht="15" hidden="1" outlineLevel="1" thickBot="1">
      <c r="B64" s="231"/>
      <c r="C64" s="220"/>
      <c r="D64" s="221" t="e">
        <f t="shared" si="9"/>
        <v>#DIV/0!</v>
      </c>
      <c r="E64" s="221" t="e">
        <f t="shared" si="10"/>
        <v>#DIV/0!</v>
      </c>
      <c r="F64" s="222" t="e">
        <f t="shared" si="7"/>
        <v>#DIV/0!</v>
      </c>
      <c r="G64" s="222" t="e">
        <f t="shared" si="11"/>
        <v>#N/A</v>
      </c>
      <c r="I64" s="231"/>
      <c r="J64" s="220"/>
      <c r="K64" s="221" t="e">
        <f t="shared" si="8"/>
        <v>#DIV/0!</v>
      </c>
      <c r="L64" s="221" t="e">
        <f t="shared" si="13"/>
        <v>#DIV/0!</v>
      </c>
      <c r="M64" s="222" t="e">
        <f t="shared" si="12"/>
        <v>#DIV/0!</v>
      </c>
    </row>
    <row r="65" spans="2:13" ht="15" hidden="1" outlineLevel="1" thickBot="1">
      <c r="B65" s="231"/>
      <c r="C65" s="220"/>
      <c r="D65" s="221" t="e">
        <f t="shared" si="9"/>
        <v>#DIV/0!</v>
      </c>
      <c r="E65" s="221" t="e">
        <f>D65+E64</f>
        <v>#DIV/0!</v>
      </c>
      <c r="F65" s="222" t="e">
        <f t="shared" si="7"/>
        <v>#DIV/0!</v>
      </c>
      <c r="G65" s="222" t="e">
        <f t="shared" si="11"/>
        <v>#N/A</v>
      </c>
      <c r="I65" s="231"/>
      <c r="J65" s="220"/>
      <c r="K65" s="221" t="e">
        <f t="shared" si="8"/>
        <v>#DIV/0!</v>
      </c>
      <c r="L65" s="221" t="e">
        <f t="shared" si="13"/>
        <v>#DIV/0!</v>
      </c>
      <c r="M65" s="222" t="e">
        <f t="shared" si="12"/>
        <v>#DIV/0!</v>
      </c>
    </row>
    <row r="66" spans="2:13" ht="15" hidden="1" outlineLevel="1" thickBot="1">
      <c r="B66" s="231"/>
      <c r="C66" s="220"/>
      <c r="D66" s="221" t="e">
        <f t="shared" si="9"/>
        <v>#DIV/0!</v>
      </c>
      <c r="E66" s="221" t="e">
        <f t="shared" si="10"/>
        <v>#DIV/0!</v>
      </c>
      <c r="F66" s="222" t="e">
        <f t="shared" si="7"/>
        <v>#DIV/0!</v>
      </c>
      <c r="G66" s="222" t="e">
        <f t="shared" si="11"/>
        <v>#N/A</v>
      </c>
      <c r="I66" s="231"/>
      <c r="J66" s="220"/>
      <c r="K66" s="221" t="e">
        <f t="shared" si="8"/>
        <v>#DIV/0!</v>
      </c>
      <c r="L66" s="221" t="e">
        <f t="shared" si="13"/>
        <v>#DIV/0!</v>
      </c>
      <c r="M66" s="222" t="e">
        <f t="shared" si="12"/>
        <v>#DIV/0!</v>
      </c>
    </row>
    <row r="67" spans="2:13" ht="15" hidden="1" outlineLevel="1" thickBot="1">
      <c r="B67" s="231"/>
      <c r="C67" s="220"/>
      <c r="D67" s="221" t="e">
        <f t="shared" si="9"/>
        <v>#DIV/0!</v>
      </c>
      <c r="E67" s="221" t="e">
        <f t="shared" si="10"/>
        <v>#DIV/0!</v>
      </c>
      <c r="F67" s="222" t="e">
        <f t="shared" si="7"/>
        <v>#DIV/0!</v>
      </c>
      <c r="G67" s="222" t="e">
        <f t="shared" si="11"/>
        <v>#N/A</v>
      </c>
      <c r="I67" s="231"/>
      <c r="J67" s="220"/>
      <c r="K67" s="221" t="e">
        <f t="shared" si="8"/>
        <v>#DIV/0!</v>
      </c>
      <c r="L67" s="221" t="e">
        <f t="shared" si="13"/>
        <v>#DIV/0!</v>
      </c>
      <c r="M67" s="222" t="e">
        <f t="shared" si="12"/>
        <v>#DIV/0!</v>
      </c>
    </row>
    <row r="68" spans="2:13" ht="15" hidden="1" outlineLevel="1" thickBot="1">
      <c r="B68" s="231"/>
      <c r="C68" s="220"/>
      <c r="D68" s="221" t="e">
        <f t="shared" si="9"/>
        <v>#DIV/0!</v>
      </c>
      <c r="E68" s="221" t="e">
        <f t="shared" si="10"/>
        <v>#DIV/0!</v>
      </c>
      <c r="F68" s="222" t="e">
        <f t="shared" si="7"/>
        <v>#DIV/0!</v>
      </c>
      <c r="G68" s="222" t="e">
        <f t="shared" si="11"/>
        <v>#N/A</v>
      </c>
      <c r="I68" s="231"/>
      <c r="J68" s="220"/>
      <c r="K68" s="221" t="e">
        <f t="shared" si="8"/>
        <v>#DIV/0!</v>
      </c>
      <c r="L68" s="221" t="e">
        <f t="shared" si="13"/>
        <v>#DIV/0!</v>
      </c>
      <c r="M68" s="222" t="e">
        <f t="shared" si="12"/>
        <v>#DIV/0!</v>
      </c>
    </row>
    <row r="69" spans="2:13" ht="16" hidden="1" customHeight="1" outlineLevel="1">
      <c r="B69" s="231"/>
      <c r="C69" s="220"/>
      <c r="D69" s="221" t="e">
        <f t="shared" si="9"/>
        <v>#DIV/0!</v>
      </c>
      <c r="E69" s="221" t="e">
        <f t="shared" si="10"/>
        <v>#DIV/0!</v>
      </c>
      <c r="F69" s="222" t="e">
        <f t="shared" si="7"/>
        <v>#DIV/0!</v>
      </c>
      <c r="G69" s="222" t="e">
        <f t="shared" si="11"/>
        <v>#N/A</v>
      </c>
      <c r="I69" s="231"/>
      <c r="J69" s="220"/>
      <c r="K69" s="221" t="e">
        <f t="shared" si="8"/>
        <v>#DIV/0!</v>
      </c>
      <c r="L69" s="221" t="e">
        <f t="shared" si="13"/>
        <v>#DIV/0!</v>
      </c>
      <c r="M69" s="222" t="e">
        <f t="shared" si="12"/>
        <v>#DIV/0!</v>
      </c>
    </row>
    <row r="70" spans="2:13" ht="15" hidden="1" outlineLevel="1" thickBot="1">
      <c r="B70" s="231"/>
      <c r="C70" s="220"/>
      <c r="D70" s="221" t="e">
        <f t="shared" si="9"/>
        <v>#DIV/0!</v>
      </c>
      <c r="E70" s="221" t="e">
        <f t="shared" si="10"/>
        <v>#DIV/0!</v>
      </c>
      <c r="F70" s="222" t="e">
        <f t="shared" si="7"/>
        <v>#DIV/0!</v>
      </c>
      <c r="G70" s="222" t="e">
        <f t="shared" si="11"/>
        <v>#N/A</v>
      </c>
      <c r="I70" s="231"/>
      <c r="J70" s="220"/>
      <c r="K70" s="221" t="e">
        <f t="shared" si="8"/>
        <v>#DIV/0!</v>
      </c>
      <c r="L70" s="221" t="e">
        <f t="shared" si="13"/>
        <v>#DIV/0!</v>
      </c>
      <c r="M70" s="222" t="e">
        <f t="shared" si="12"/>
        <v>#DIV/0!</v>
      </c>
    </row>
    <row r="71" spans="2:13" ht="15" hidden="1" outlineLevel="1" thickBot="1">
      <c r="B71" s="231"/>
      <c r="C71" s="220"/>
      <c r="D71" s="221" t="e">
        <f t="shared" si="9"/>
        <v>#DIV/0!</v>
      </c>
      <c r="E71" s="221" t="e">
        <f t="shared" si="10"/>
        <v>#DIV/0!</v>
      </c>
      <c r="F71" s="222" t="e">
        <f t="shared" si="7"/>
        <v>#DIV/0!</v>
      </c>
      <c r="G71" s="222" t="e">
        <f t="shared" si="11"/>
        <v>#N/A</v>
      </c>
      <c r="I71" s="231"/>
      <c r="J71" s="220"/>
      <c r="K71" s="221" t="e">
        <f t="shared" si="8"/>
        <v>#DIV/0!</v>
      </c>
      <c r="L71" s="221" t="e">
        <f t="shared" si="13"/>
        <v>#DIV/0!</v>
      </c>
      <c r="M71" s="222" t="e">
        <f t="shared" si="12"/>
        <v>#DIV/0!</v>
      </c>
    </row>
    <row r="72" spans="2:13" ht="15" hidden="1" outlineLevel="1" thickBot="1">
      <c r="B72" s="231"/>
      <c r="C72" s="220"/>
      <c r="D72" s="221" t="e">
        <f t="shared" si="9"/>
        <v>#DIV/0!</v>
      </c>
      <c r="E72" s="221" t="e">
        <f t="shared" si="10"/>
        <v>#DIV/0!</v>
      </c>
      <c r="F72" s="222" t="e">
        <f t="shared" si="7"/>
        <v>#DIV/0!</v>
      </c>
      <c r="G72" s="222" t="e">
        <f t="shared" si="11"/>
        <v>#N/A</v>
      </c>
      <c r="I72" s="231"/>
      <c r="J72" s="220"/>
      <c r="K72" s="221" t="e">
        <f t="shared" si="8"/>
        <v>#DIV/0!</v>
      </c>
      <c r="L72" s="221" t="e">
        <f t="shared" si="13"/>
        <v>#DIV/0!</v>
      </c>
      <c r="M72" s="222" t="e">
        <f t="shared" si="12"/>
        <v>#DIV/0!</v>
      </c>
    </row>
    <row r="73" spans="2:13" hidden="1" outlineLevel="1">
      <c r="C73" s="227">
        <f>SUM(C21:C72)</f>
        <v>0</v>
      </c>
      <c r="D73" s="232" t="e">
        <f>SUM(D21:D72)</f>
        <v>#DIV/0!</v>
      </c>
      <c r="J73" s="227">
        <f>SUM(J21:J72)</f>
        <v>0</v>
      </c>
      <c r="K73" s="232" t="e">
        <f>SUM(K21:K72)</f>
        <v>#DIV/0!</v>
      </c>
      <c r="L73" s="232"/>
    </row>
    <row r="74" spans="2:13" collapsed="1"/>
  </sheetData>
  <sortState xmlns:xlrd2="http://schemas.microsoft.com/office/spreadsheetml/2017/richdata2" ref="B4:C16">
    <sortCondition descending="1" ref="C4:C16"/>
  </sortState>
  <mergeCells count="2">
    <mergeCell ref="B2:M2"/>
    <mergeCell ref="B19:M19"/>
  </mergeCells>
  <conditionalFormatting sqref="M21:M72 K21:K72 D21:D72 G4:G16 D4:D16 K4:K16 M4:M16">
    <cfRule type="cellIs" dxfId="102" priority="10" operator="equal">
      <formula>"C"</formula>
    </cfRule>
    <cfRule type="cellIs" dxfId="101" priority="11" operator="equal">
      <formula>"B"</formula>
    </cfRule>
    <cfRule type="cellIs" dxfId="100" priority="12" operator="equal">
      <formula>"A"</formula>
    </cfRule>
  </conditionalFormatting>
  <conditionalFormatting sqref="G21:G72">
    <cfRule type="cellIs" dxfId="99" priority="7" operator="equal">
      <formula>"C"</formula>
    </cfRule>
    <cfRule type="cellIs" dxfId="98" priority="8" operator="equal">
      <formula>"B"</formula>
    </cfRule>
    <cfRule type="cellIs" dxfId="97" priority="9" operator="equal">
      <formula>"A"</formula>
    </cfRule>
  </conditionalFormatting>
  <conditionalFormatting sqref="F4:F16">
    <cfRule type="cellIs" dxfId="96" priority="4" operator="equal">
      <formula>"C"</formula>
    </cfRule>
    <cfRule type="cellIs" dxfId="95" priority="5" operator="equal">
      <formula>"B"</formula>
    </cfRule>
    <cfRule type="cellIs" dxfId="94" priority="6" operator="equal">
      <formula>"A"</formula>
    </cfRule>
  </conditionalFormatting>
  <conditionalFormatting sqref="F21:F72">
    <cfRule type="cellIs" dxfId="93" priority="1" operator="equal">
      <formula>"C"</formula>
    </cfRule>
    <cfRule type="cellIs" dxfId="92" priority="2" operator="equal">
      <formula>"B"</formula>
    </cfRule>
    <cfRule type="cellIs" dxfId="91" priority="3" operator="equal">
      <formula>"A"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58DBA-3E5D-495D-B2E4-CEC7F41DFABB}">
  <dimension ref="B1:Q74"/>
  <sheetViews>
    <sheetView zoomScale="80" zoomScaleNormal="80" workbookViewId="0">
      <selection activeCell="O11" sqref="O11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337" t="s">
        <v>112</v>
      </c>
      <c r="C2" s="338"/>
      <c r="D2" s="338"/>
      <c r="E2" s="338"/>
      <c r="F2" s="338"/>
      <c r="G2" s="338"/>
      <c r="H2" s="338"/>
      <c r="I2" s="338"/>
      <c r="J2" s="338"/>
      <c r="K2" s="338"/>
      <c r="L2" s="338"/>
      <c r="M2" s="339"/>
    </row>
    <row r="3" spans="2:17" ht="28.5" customHeight="1" outlineLevel="1" thickBot="1">
      <c r="C3" s="216" t="s">
        <v>11</v>
      </c>
      <c r="D3" s="217" t="s">
        <v>113</v>
      </c>
      <c r="E3" s="218" t="s">
        <v>114</v>
      </c>
      <c r="F3" s="217" t="s">
        <v>115</v>
      </c>
      <c r="G3" s="217" t="s">
        <v>116</v>
      </c>
      <c r="J3" s="216" t="s">
        <v>117</v>
      </c>
      <c r="K3" s="217" t="s">
        <v>118</v>
      </c>
      <c r="L3" s="218" t="s">
        <v>114</v>
      </c>
      <c r="M3" s="219" t="s">
        <v>116</v>
      </c>
    </row>
    <row r="4" spans="2:17" ht="15" outlineLevel="1" thickBot="1">
      <c r="B4" s="115" t="s">
        <v>92</v>
      </c>
      <c r="C4" s="220">
        <f>'Юнит 4'!AL3</f>
        <v>5677.8441688888897</v>
      </c>
      <c r="D4" s="221">
        <f t="shared" ref="D4:D16" si="0">C4/C$17</f>
        <v>0.41524799797791723</v>
      </c>
      <c r="E4" s="221">
        <f>D4</f>
        <v>0.41524799797791723</v>
      </c>
      <c r="F4" s="222" t="str">
        <f>IF(AND(E4&lt;=0),"C",IF(E4&lt;=0.8,"A",IF(E4&lt;=0.95,"B","C")))</f>
        <v>A</v>
      </c>
      <c r="G4" s="222" t="str">
        <f>VLOOKUP(B$4:B$16,I$4:M$16,5,0)</f>
        <v>A</v>
      </c>
      <c r="I4" s="115" t="s">
        <v>92</v>
      </c>
      <c r="J4" s="220">
        <f>'Юнит 4'!S3</f>
        <v>21</v>
      </c>
      <c r="K4" s="221">
        <f t="shared" ref="K4:K16" si="1">J4/J$17</f>
        <v>0.44680851063829785</v>
      </c>
      <c r="L4" s="221">
        <f>K4</f>
        <v>0.44680851063829785</v>
      </c>
      <c r="M4" s="222" t="str">
        <f>_xlfn.IFS(L4&lt;80%,"A",L4&lt;=95%,"B",L4&gt;95%,"C")</f>
        <v>A</v>
      </c>
      <c r="P4" s="223" t="s">
        <v>119</v>
      </c>
      <c r="Q4" s="224">
        <v>0.8</v>
      </c>
    </row>
    <row r="5" spans="2:17" ht="15" outlineLevel="1" thickBot="1">
      <c r="B5" s="115" t="s">
        <v>98</v>
      </c>
      <c r="C5" s="220">
        <f>'Юнит 4'!AL8</f>
        <v>5497.2060888888882</v>
      </c>
      <c r="D5" s="221">
        <f t="shared" si="0"/>
        <v>0.40203706811661843</v>
      </c>
      <c r="E5" s="221">
        <f>E4+D5</f>
        <v>0.81728506609453566</v>
      </c>
      <c r="F5" s="222" t="str">
        <f t="shared" ref="F5:F16" si="2">IF(AND(E5&lt;=0),"C",IF(E5&lt;=0.8,"A",IF(E5&lt;=0.95,"B","C")))</f>
        <v>B</v>
      </c>
      <c r="G5" s="222" t="str">
        <f t="shared" ref="G5:G16" si="3">VLOOKUP(B$4:B$16,I$4:M$16,5,0)</f>
        <v>A</v>
      </c>
      <c r="I5" s="115" t="s">
        <v>98</v>
      </c>
      <c r="J5" s="220">
        <f>'Юнит 4'!S8</f>
        <v>10</v>
      </c>
      <c r="K5" s="221">
        <f t="shared" si="1"/>
        <v>0.21276595744680851</v>
      </c>
      <c r="L5" s="221">
        <f>L4+K5</f>
        <v>0.65957446808510634</v>
      </c>
      <c r="M5" s="222" t="str">
        <f t="shared" ref="M5:M16" si="4">_xlfn.IFS(L5&lt;80%,"A",L5&lt;=95%,"B",L5&gt;95%,"C")</f>
        <v>A</v>
      </c>
      <c r="P5" s="225" t="s">
        <v>120</v>
      </c>
      <c r="Q5" s="224">
        <v>0.15</v>
      </c>
    </row>
    <row r="6" spans="2:17" ht="15" outlineLevel="1" thickBot="1">
      <c r="B6" s="115" t="s">
        <v>96</v>
      </c>
      <c r="C6" s="220">
        <f>'Юнит 4'!AL6</f>
        <v>1821.9753155555557</v>
      </c>
      <c r="D6" s="221">
        <f t="shared" si="0"/>
        <v>0.13324980038993986</v>
      </c>
      <c r="E6" s="221">
        <f t="shared" ref="E6:E16" si="5">E5+D6</f>
        <v>0.95053486648447549</v>
      </c>
      <c r="F6" s="222" t="str">
        <f t="shared" si="2"/>
        <v>C</v>
      </c>
      <c r="G6" s="222" t="str">
        <f t="shared" si="3"/>
        <v>B</v>
      </c>
      <c r="I6" s="115" t="s">
        <v>99</v>
      </c>
      <c r="J6" s="220">
        <f>'Юнит 4'!S9</f>
        <v>9</v>
      </c>
      <c r="K6" s="221">
        <f t="shared" si="1"/>
        <v>0.19148936170212766</v>
      </c>
      <c r="L6" s="221">
        <f t="shared" ref="L6:L16" si="6">L5+K6</f>
        <v>0.85106382978723394</v>
      </c>
      <c r="M6" s="222" t="str">
        <f t="shared" si="4"/>
        <v>B</v>
      </c>
      <c r="P6" s="226" t="s">
        <v>121</v>
      </c>
      <c r="Q6" s="224">
        <v>0.05</v>
      </c>
    </row>
    <row r="7" spans="2:17" outlineLevel="1">
      <c r="B7" s="115" t="s">
        <v>99</v>
      </c>
      <c r="C7" s="220">
        <f>'Юнит 4'!AL9</f>
        <v>814.7513244444433</v>
      </c>
      <c r="D7" s="221">
        <f t="shared" si="0"/>
        <v>5.9586675199580011E-2</v>
      </c>
      <c r="E7" s="221">
        <f t="shared" si="5"/>
        <v>1.0101215416840554</v>
      </c>
      <c r="F7" s="222" t="str">
        <f t="shared" si="2"/>
        <v>C</v>
      </c>
      <c r="G7" s="222" t="str">
        <f t="shared" si="3"/>
        <v>B</v>
      </c>
      <c r="I7" s="115" t="s">
        <v>96</v>
      </c>
      <c r="J7" s="220">
        <f>'Юнит 4'!S6</f>
        <v>4</v>
      </c>
      <c r="K7" s="221">
        <f t="shared" si="1"/>
        <v>8.5106382978723402E-2</v>
      </c>
      <c r="L7" s="221">
        <f t="shared" si="6"/>
        <v>0.93617021276595735</v>
      </c>
      <c r="M7" s="222" t="str">
        <f t="shared" si="4"/>
        <v>B</v>
      </c>
    </row>
    <row r="8" spans="2:17" outlineLevel="1">
      <c r="B8" s="115" t="s">
        <v>105</v>
      </c>
      <c r="C8" s="220">
        <f>'Юнит 4'!AL15</f>
        <v>550.12526222222243</v>
      </c>
      <c r="D8" s="221">
        <f t="shared" si="0"/>
        <v>4.0233301052282705E-2</v>
      </c>
      <c r="E8" s="221">
        <f t="shared" si="5"/>
        <v>1.0503548427363381</v>
      </c>
      <c r="F8" s="222" t="str">
        <f t="shared" si="2"/>
        <v>C</v>
      </c>
      <c r="G8" s="222" t="str">
        <f t="shared" si="3"/>
        <v>C</v>
      </c>
      <c r="I8" s="115" t="s">
        <v>102</v>
      </c>
      <c r="J8" s="220">
        <f>'Юнит 4'!S12</f>
        <v>1</v>
      </c>
      <c r="K8" s="221">
        <f t="shared" si="1"/>
        <v>2.1276595744680851E-2</v>
      </c>
      <c r="L8" s="221">
        <f t="shared" si="6"/>
        <v>0.95744680851063824</v>
      </c>
      <c r="M8" s="222" t="str">
        <f t="shared" si="4"/>
        <v>C</v>
      </c>
    </row>
    <row r="9" spans="2:17" outlineLevel="1">
      <c r="B9" s="115" t="s">
        <v>102</v>
      </c>
      <c r="C9" s="220">
        <f>'Юнит 4'!AL12</f>
        <v>373.65885333333335</v>
      </c>
      <c r="D9" s="221">
        <f t="shared" si="0"/>
        <v>2.7327465523548297E-2</v>
      </c>
      <c r="E9" s="221">
        <f t="shared" si="5"/>
        <v>1.0776823082598863</v>
      </c>
      <c r="F9" s="222" t="str">
        <f t="shared" si="2"/>
        <v>C</v>
      </c>
      <c r="G9" s="222" t="str">
        <f t="shared" si="3"/>
        <v>C</v>
      </c>
      <c r="I9" s="115" t="s">
        <v>103</v>
      </c>
      <c r="J9" s="220">
        <f>'Юнит 4'!S13</f>
        <v>1</v>
      </c>
      <c r="K9" s="221">
        <f t="shared" si="1"/>
        <v>2.1276595744680851E-2</v>
      </c>
      <c r="L9" s="221">
        <f t="shared" si="6"/>
        <v>0.97872340425531912</v>
      </c>
      <c r="M9" s="222" t="str">
        <f t="shared" si="4"/>
        <v>C</v>
      </c>
    </row>
    <row r="10" spans="2:17" outlineLevel="1">
      <c r="B10" s="115" t="s">
        <v>103</v>
      </c>
      <c r="C10" s="220">
        <f>'Юнит 4'!AL13</f>
        <v>292.2935911111112</v>
      </c>
      <c r="D10" s="221">
        <f t="shared" si="0"/>
        <v>2.1376833340323406E-2</v>
      </c>
      <c r="E10" s="221">
        <f t="shared" si="5"/>
        <v>1.0990591416002098</v>
      </c>
      <c r="F10" s="222" t="str">
        <f t="shared" si="2"/>
        <v>C</v>
      </c>
      <c r="G10" s="222" t="str">
        <f t="shared" si="3"/>
        <v>C</v>
      </c>
      <c r="I10" s="115" t="s">
        <v>105</v>
      </c>
      <c r="J10" s="220">
        <f>'Юнит 4'!S15</f>
        <v>1</v>
      </c>
      <c r="K10" s="221">
        <f t="shared" si="1"/>
        <v>2.1276595744680851E-2</v>
      </c>
      <c r="L10" s="221">
        <f t="shared" si="6"/>
        <v>1</v>
      </c>
      <c r="M10" s="222" t="str">
        <f t="shared" si="4"/>
        <v>C</v>
      </c>
    </row>
    <row r="11" spans="2:17" outlineLevel="1">
      <c r="B11" s="115" t="s">
        <v>101</v>
      </c>
      <c r="C11" s="220">
        <f>'Юнит 4'!AL11</f>
        <v>-24.942493333333335</v>
      </c>
      <c r="D11" s="221">
        <f t="shared" si="0"/>
        <v>-1.824164262555142E-3</v>
      </c>
      <c r="E11" s="221">
        <f t="shared" si="5"/>
        <v>1.0972349773376546</v>
      </c>
      <c r="F11" s="222" t="str">
        <f t="shared" si="2"/>
        <v>C</v>
      </c>
      <c r="G11" s="222" t="str">
        <f t="shared" si="3"/>
        <v>C</v>
      </c>
      <c r="I11" s="115" t="s">
        <v>94</v>
      </c>
      <c r="J11" s="220">
        <f>'Юнит 4'!S4</f>
        <v>0</v>
      </c>
      <c r="K11" s="221">
        <f t="shared" si="1"/>
        <v>0</v>
      </c>
      <c r="L11" s="221">
        <f t="shared" si="6"/>
        <v>1</v>
      </c>
      <c r="M11" s="222" t="str">
        <f t="shared" si="4"/>
        <v>C</v>
      </c>
    </row>
    <row r="12" spans="2:17" outlineLevel="1">
      <c r="B12" s="115" t="s">
        <v>104</v>
      </c>
      <c r="C12" s="220">
        <f>'Юнит 4'!AL14</f>
        <v>-37.733515555555556</v>
      </c>
      <c r="D12" s="221">
        <f t="shared" si="0"/>
        <v>-2.7596331151475222E-3</v>
      </c>
      <c r="E12" s="221">
        <f t="shared" si="5"/>
        <v>1.094475344222507</v>
      </c>
      <c r="F12" s="222" t="str">
        <f t="shared" si="2"/>
        <v>C</v>
      </c>
      <c r="G12" s="222" t="str">
        <f t="shared" si="3"/>
        <v>C</v>
      </c>
      <c r="I12" s="115" t="s">
        <v>95</v>
      </c>
      <c r="J12" s="220">
        <f>'Юнит 4'!S5</f>
        <v>0</v>
      </c>
      <c r="K12" s="221">
        <f t="shared" si="1"/>
        <v>0</v>
      </c>
      <c r="L12" s="221">
        <f t="shared" si="6"/>
        <v>1</v>
      </c>
      <c r="M12" s="222" t="str">
        <f t="shared" si="4"/>
        <v>C</v>
      </c>
    </row>
    <row r="13" spans="2:17" outlineLevel="1">
      <c r="B13" s="115" t="s">
        <v>100</v>
      </c>
      <c r="C13" s="220">
        <f>'Юнит 4'!AL10</f>
        <v>-121.34249333333334</v>
      </c>
      <c r="D13" s="221">
        <f t="shared" si="0"/>
        <v>-8.8743589868856554E-3</v>
      </c>
      <c r="E13" s="221">
        <f t="shared" si="5"/>
        <v>1.0856009852356214</v>
      </c>
      <c r="F13" s="222" t="str">
        <f t="shared" si="2"/>
        <v>C</v>
      </c>
      <c r="G13" s="222" t="str">
        <f t="shared" si="3"/>
        <v>C</v>
      </c>
      <c r="I13" s="115" t="s">
        <v>97</v>
      </c>
      <c r="J13" s="220">
        <f>'Юнит 4'!S7</f>
        <v>0</v>
      </c>
      <c r="K13" s="221">
        <f t="shared" si="1"/>
        <v>0</v>
      </c>
      <c r="L13" s="221">
        <f t="shared" si="6"/>
        <v>1</v>
      </c>
      <c r="M13" s="222" t="str">
        <f t="shared" si="4"/>
        <v>C</v>
      </c>
    </row>
    <row r="14" spans="2:17" outlineLevel="1">
      <c r="B14" s="115" t="s">
        <v>94</v>
      </c>
      <c r="C14" s="220">
        <f>'Юнит 4'!AL4</f>
        <v>-294.91161777777779</v>
      </c>
      <c r="D14" s="221">
        <f t="shared" si="0"/>
        <v>-2.1568302197102342E-2</v>
      </c>
      <c r="E14" s="221">
        <f t="shared" si="5"/>
        <v>1.0640326830385192</v>
      </c>
      <c r="F14" s="222" t="str">
        <f t="shared" si="2"/>
        <v>C</v>
      </c>
      <c r="G14" s="222" t="str">
        <f t="shared" si="3"/>
        <v>C</v>
      </c>
      <c r="I14" s="115" t="s">
        <v>100</v>
      </c>
      <c r="J14" s="220">
        <f>'Юнит 4'!S10</f>
        <v>0</v>
      </c>
      <c r="K14" s="221">
        <f t="shared" si="1"/>
        <v>0</v>
      </c>
      <c r="L14" s="221">
        <f t="shared" si="6"/>
        <v>1</v>
      </c>
      <c r="M14" s="222" t="str">
        <f t="shared" si="4"/>
        <v>C</v>
      </c>
    </row>
    <row r="15" spans="2:17" outlineLevel="1">
      <c r="B15" s="115" t="s">
        <v>95</v>
      </c>
      <c r="C15" s="220">
        <f>'Юнит 4'!AL5</f>
        <v>-383.11076888888886</v>
      </c>
      <c r="D15" s="221">
        <f t="shared" si="0"/>
        <v>-2.8018729477745342E-2</v>
      </c>
      <c r="E15" s="221">
        <f t="shared" si="5"/>
        <v>1.0360139535607737</v>
      </c>
      <c r="F15" s="222" t="str">
        <f t="shared" si="2"/>
        <v>C</v>
      </c>
      <c r="G15" s="222" t="str">
        <f t="shared" si="3"/>
        <v>C</v>
      </c>
      <c r="I15" s="115" t="s">
        <v>101</v>
      </c>
      <c r="J15" s="220">
        <f>'Юнит 4'!S11</f>
        <v>0</v>
      </c>
      <c r="K15" s="221">
        <f t="shared" si="1"/>
        <v>0</v>
      </c>
      <c r="L15" s="221">
        <f t="shared" si="6"/>
        <v>1</v>
      </c>
      <c r="M15" s="222" t="str">
        <f t="shared" si="4"/>
        <v>C</v>
      </c>
    </row>
    <row r="16" spans="2:17" outlineLevel="1">
      <c r="B16" s="115" t="s">
        <v>97</v>
      </c>
      <c r="C16" s="220">
        <f>'Юнит 4'!AL7</f>
        <v>-492.4325155555556</v>
      </c>
      <c r="D16" s="221">
        <f t="shared" si="0"/>
        <v>-3.6013953560773665E-2</v>
      </c>
      <c r="E16" s="221">
        <f t="shared" si="5"/>
        <v>1</v>
      </c>
      <c r="F16" s="222" t="str">
        <f t="shared" si="2"/>
        <v>C</v>
      </c>
      <c r="G16" s="222" t="str">
        <f t="shared" si="3"/>
        <v>C</v>
      </c>
      <c r="I16" s="115" t="s">
        <v>104</v>
      </c>
      <c r="J16" s="220">
        <f>'Юнит 4'!S14</f>
        <v>0</v>
      </c>
      <c r="K16" s="221">
        <f t="shared" si="1"/>
        <v>0</v>
      </c>
      <c r="L16" s="221">
        <f t="shared" si="6"/>
        <v>1</v>
      </c>
      <c r="M16" s="222" t="str">
        <f t="shared" si="4"/>
        <v>C</v>
      </c>
    </row>
    <row r="17" spans="2:16" outlineLevel="1">
      <c r="C17" s="227">
        <f>SUM(C4:C16)</f>
        <v>13673.381199999996</v>
      </c>
      <c r="D17" s="228">
        <f>SUM(D4:D16)</f>
        <v>1</v>
      </c>
      <c r="J17" s="227">
        <f>SUM(J4:J16)</f>
        <v>47</v>
      </c>
      <c r="K17" s="228">
        <f>SUM(K4:K16)</f>
        <v>1</v>
      </c>
    </row>
    <row r="19" spans="2:16" ht="16" hidden="1" outlineLevel="1" thickBot="1">
      <c r="B19" s="340"/>
      <c r="C19" s="341"/>
      <c r="D19" s="341"/>
      <c r="E19" s="341"/>
      <c r="F19" s="341"/>
      <c r="G19" s="341"/>
      <c r="H19" s="341"/>
      <c r="I19" s="341"/>
      <c r="J19" s="341"/>
      <c r="K19" s="341"/>
      <c r="L19" s="341"/>
      <c r="M19" s="342"/>
      <c r="O19" s="229"/>
      <c r="P19" s="229"/>
    </row>
    <row r="20" spans="2:16" ht="23.5" hidden="1" outlineLevel="1" thickBot="1">
      <c r="C20" s="216" t="s">
        <v>11</v>
      </c>
      <c r="D20" s="217" t="s">
        <v>113</v>
      </c>
      <c r="E20" s="218" t="s">
        <v>114</v>
      </c>
      <c r="F20" s="230" t="s">
        <v>115</v>
      </c>
      <c r="G20" s="217" t="s">
        <v>116</v>
      </c>
      <c r="J20" s="216" t="s">
        <v>117</v>
      </c>
      <c r="K20" s="217" t="s">
        <v>118</v>
      </c>
      <c r="L20" s="218" t="s">
        <v>114</v>
      </c>
      <c r="M20" s="219" t="s">
        <v>116</v>
      </c>
    </row>
    <row r="21" spans="2:16" ht="15" hidden="1" outlineLevel="1" thickBot="1">
      <c r="B21" s="231"/>
      <c r="C21" s="220"/>
      <c r="D21" s="221" t="e">
        <f>C21/C$73</f>
        <v>#DIV/0!</v>
      </c>
      <c r="E21" s="221" t="e">
        <f>D21</f>
        <v>#DIV/0!</v>
      </c>
      <c r="F21" s="222" t="e">
        <f t="shared" ref="F21:F72" si="7">IF(AND(E21&lt;=0),"C",IF(E21&lt;=0.8,"A",IF(E21&lt;=0.95,"B","C")))</f>
        <v>#DIV/0!</v>
      </c>
      <c r="G21" s="222" t="e">
        <f>VLOOKUP(B21:B72,I$21:M$72,5,0)</f>
        <v>#N/A</v>
      </c>
      <c r="I21" s="231"/>
      <c r="J21" s="220"/>
      <c r="K21" s="221" t="e">
        <f t="shared" ref="K21:K72" si="8">J21/J$73</f>
        <v>#DIV/0!</v>
      </c>
      <c r="L21" s="221" t="e">
        <f>K21</f>
        <v>#DIV/0!</v>
      </c>
      <c r="M21" s="222" t="e">
        <f>_xlfn.IFS(L21&lt;80%,"A",L21&lt;=95%,"B",L21&gt;95%,"C")</f>
        <v>#DIV/0!</v>
      </c>
    </row>
    <row r="22" spans="2:16" ht="15" hidden="1" outlineLevel="1" thickBot="1">
      <c r="B22" s="231"/>
      <c r="C22" s="220"/>
      <c r="D22" s="221" t="e">
        <f t="shared" ref="D22:D72" si="9">C22/C$73</f>
        <v>#DIV/0!</v>
      </c>
      <c r="E22" s="221" t="e">
        <f t="shared" ref="E22:E72" si="10">D22+E21</f>
        <v>#DIV/0!</v>
      </c>
      <c r="F22" s="222" t="e">
        <f t="shared" si="7"/>
        <v>#DIV/0!</v>
      </c>
      <c r="G22" s="222" t="e">
        <f t="shared" ref="G22:G72" si="11">VLOOKUP(B22:B73,I$21:M$72,5,0)</f>
        <v>#N/A</v>
      </c>
      <c r="I22" s="231"/>
      <c r="J22" s="220"/>
      <c r="K22" s="221" t="e">
        <f t="shared" si="8"/>
        <v>#DIV/0!</v>
      </c>
      <c r="L22" s="221" t="e">
        <f>K22+L21</f>
        <v>#DIV/0!</v>
      </c>
      <c r="M22" s="222" t="e">
        <f t="shared" ref="M22:M72" si="12">_xlfn.IFS(L22&lt;80%,"A",L22&lt;=95%,"B",L22&gt;95%,"C")</f>
        <v>#DIV/0!</v>
      </c>
    </row>
    <row r="23" spans="2:16" ht="15" hidden="1" outlineLevel="1" thickBot="1">
      <c r="B23" s="231"/>
      <c r="C23" s="220"/>
      <c r="D23" s="221" t="e">
        <f t="shared" si="9"/>
        <v>#DIV/0!</v>
      </c>
      <c r="E23" s="221" t="e">
        <f t="shared" si="10"/>
        <v>#DIV/0!</v>
      </c>
      <c r="F23" s="222" t="e">
        <f t="shared" si="7"/>
        <v>#DIV/0!</v>
      </c>
      <c r="G23" s="222" t="e">
        <f t="shared" si="11"/>
        <v>#N/A</v>
      </c>
      <c r="I23" s="231"/>
      <c r="J23" s="220"/>
      <c r="K23" s="221" t="e">
        <f t="shared" si="8"/>
        <v>#DIV/0!</v>
      </c>
      <c r="L23" s="221" t="e">
        <f t="shared" ref="L23:L72" si="13">K23+L22</f>
        <v>#DIV/0!</v>
      </c>
      <c r="M23" s="222" t="e">
        <f t="shared" si="12"/>
        <v>#DIV/0!</v>
      </c>
    </row>
    <row r="24" spans="2:16" ht="15" hidden="1" outlineLevel="1" thickBot="1">
      <c r="B24" s="231"/>
      <c r="C24" s="220"/>
      <c r="D24" s="221" t="e">
        <f t="shared" si="9"/>
        <v>#DIV/0!</v>
      </c>
      <c r="E24" s="221" t="e">
        <f t="shared" si="10"/>
        <v>#DIV/0!</v>
      </c>
      <c r="F24" s="222" t="e">
        <f t="shared" si="7"/>
        <v>#DIV/0!</v>
      </c>
      <c r="G24" s="222" t="e">
        <f t="shared" si="11"/>
        <v>#N/A</v>
      </c>
      <c r="I24" s="231"/>
      <c r="J24" s="220"/>
      <c r="K24" s="221" t="e">
        <f t="shared" si="8"/>
        <v>#DIV/0!</v>
      </c>
      <c r="L24" s="221" t="e">
        <f t="shared" si="13"/>
        <v>#DIV/0!</v>
      </c>
      <c r="M24" s="222" t="e">
        <f t="shared" si="12"/>
        <v>#DIV/0!</v>
      </c>
    </row>
    <row r="25" spans="2:16" ht="15" hidden="1" outlineLevel="1" thickBot="1">
      <c r="B25" s="231"/>
      <c r="C25" s="220"/>
      <c r="D25" s="221" t="e">
        <f t="shared" si="9"/>
        <v>#DIV/0!</v>
      </c>
      <c r="E25" s="221" t="e">
        <f t="shared" si="10"/>
        <v>#DIV/0!</v>
      </c>
      <c r="F25" s="222" t="e">
        <f t="shared" si="7"/>
        <v>#DIV/0!</v>
      </c>
      <c r="G25" s="222" t="e">
        <f t="shared" si="11"/>
        <v>#N/A</v>
      </c>
      <c r="I25" s="231"/>
      <c r="J25" s="220"/>
      <c r="K25" s="221" t="e">
        <f t="shared" si="8"/>
        <v>#DIV/0!</v>
      </c>
      <c r="L25" s="221" t="e">
        <f t="shared" si="13"/>
        <v>#DIV/0!</v>
      </c>
      <c r="M25" s="222" t="e">
        <f t="shared" si="12"/>
        <v>#DIV/0!</v>
      </c>
    </row>
    <row r="26" spans="2:16" ht="15" hidden="1" outlineLevel="1" thickBot="1">
      <c r="B26" s="231"/>
      <c r="C26" s="220"/>
      <c r="D26" s="221" t="e">
        <f t="shared" si="9"/>
        <v>#DIV/0!</v>
      </c>
      <c r="E26" s="221" t="e">
        <f t="shared" si="10"/>
        <v>#DIV/0!</v>
      </c>
      <c r="F26" s="222" t="e">
        <f t="shared" si="7"/>
        <v>#DIV/0!</v>
      </c>
      <c r="G26" s="222" t="e">
        <f t="shared" si="11"/>
        <v>#N/A</v>
      </c>
      <c r="I26" s="231"/>
      <c r="J26" s="220"/>
      <c r="K26" s="221" t="e">
        <f t="shared" si="8"/>
        <v>#DIV/0!</v>
      </c>
      <c r="L26" s="221" t="e">
        <f t="shared" si="13"/>
        <v>#DIV/0!</v>
      </c>
      <c r="M26" s="222" t="e">
        <f t="shared" si="12"/>
        <v>#DIV/0!</v>
      </c>
    </row>
    <row r="27" spans="2:16" ht="15" hidden="1" outlineLevel="1" thickBot="1">
      <c r="B27" s="231"/>
      <c r="C27" s="220"/>
      <c r="D27" s="221" t="e">
        <f t="shared" si="9"/>
        <v>#DIV/0!</v>
      </c>
      <c r="E27" s="221" t="e">
        <f t="shared" si="10"/>
        <v>#DIV/0!</v>
      </c>
      <c r="F27" s="222" t="e">
        <f t="shared" si="7"/>
        <v>#DIV/0!</v>
      </c>
      <c r="G27" s="222" t="e">
        <f t="shared" si="11"/>
        <v>#N/A</v>
      </c>
      <c r="I27" s="231"/>
      <c r="J27" s="220"/>
      <c r="K27" s="221" t="e">
        <f t="shared" si="8"/>
        <v>#DIV/0!</v>
      </c>
      <c r="L27" s="221" t="e">
        <f t="shared" si="13"/>
        <v>#DIV/0!</v>
      </c>
      <c r="M27" s="222" t="e">
        <f t="shared" si="12"/>
        <v>#DIV/0!</v>
      </c>
    </row>
    <row r="28" spans="2:16" ht="15" hidden="1" outlineLevel="1" thickBot="1">
      <c r="B28" s="231"/>
      <c r="C28" s="220"/>
      <c r="D28" s="221" t="e">
        <f t="shared" si="9"/>
        <v>#DIV/0!</v>
      </c>
      <c r="E28" s="221" t="e">
        <f t="shared" si="10"/>
        <v>#DIV/0!</v>
      </c>
      <c r="F28" s="222" t="e">
        <f t="shared" si="7"/>
        <v>#DIV/0!</v>
      </c>
      <c r="G28" s="222" t="e">
        <f t="shared" si="11"/>
        <v>#N/A</v>
      </c>
      <c r="I28" s="231"/>
      <c r="J28" s="220"/>
      <c r="K28" s="221" t="e">
        <f t="shared" si="8"/>
        <v>#DIV/0!</v>
      </c>
      <c r="L28" s="221" t="e">
        <f t="shared" si="13"/>
        <v>#DIV/0!</v>
      </c>
      <c r="M28" s="222" t="e">
        <f t="shared" si="12"/>
        <v>#DIV/0!</v>
      </c>
    </row>
    <row r="29" spans="2:16" ht="15" hidden="1" outlineLevel="1" thickBot="1">
      <c r="B29" s="231"/>
      <c r="C29" s="220"/>
      <c r="D29" s="221" t="e">
        <f t="shared" si="9"/>
        <v>#DIV/0!</v>
      </c>
      <c r="E29" s="221" t="e">
        <f t="shared" si="10"/>
        <v>#DIV/0!</v>
      </c>
      <c r="F29" s="222" t="e">
        <f t="shared" si="7"/>
        <v>#DIV/0!</v>
      </c>
      <c r="G29" s="222" t="e">
        <f t="shared" si="11"/>
        <v>#N/A</v>
      </c>
      <c r="I29" s="231"/>
      <c r="J29" s="220"/>
      <c r="K29" s="221" t="e">
        <f t="shared" si="8"/>
        <v>#DIV/0!</v>
      </c>
      <c r="L29" s="221" t="e">
        <f t="shared" si="13"/>
        <v>#DIV/0!</v>
      </c>
      <c r="M29" s="222" t="e">
        <f t="shared" si="12"/>
        <v>#DIV/0!</v>
      </c>
    </row>
    <row r="30" spans="2:16" ht="15" hidden="1" outlineLevel="1" thickBot="1">
      <c r="B30" s="231"/>
      <c r="C30" s="220"/>
      <c r="D30" s="221" t="e">
        <f t="shared" si="9"/>
        <v>#DIV/0!</v>
      </c>
      <c r="E30" s="221" t="e">
        <f t="shared" si="10"/>
        <v>#DIV/0!</v>
      </c>
      <c r="F30" s="222" t="e">
        <f t="shared" si="7"/>
        <v>#DIV/0!</v>
      </c>
      <c r="G30" s="222" t="e">
        <f t="shared" si="11"/>
        <v>#N/A</v>
      </c>
      <c r="I30" s="231"/>
      <c r="J30" s="220"/>
      <c r="K30" s="221" t="e">
        <f t="shared" si="8"/>
        <v>#DIV/0!</v>
      </c>
      <c r="L30" s="221" t="e">
        <f t="shared" si="13"/>
        <v>#DIV/0!</v>
      </c>
      <c r="M30" s="222" t="e">
        <f t="shared" si="12"/>
        <v>#DIV/0!</v>
      </c>
    </row>
    <row r="31" spans="2:16" ht="15" hidden="1" outlineLevel="1" thickBot="1">
      <c r="B31" s="231"/>
      <c r="C31" s="220"/>
      <c r="D31" s="221" t="e">
        <f t="shared" si="9"/>
        <v>#DIV/0!</v>
      </c>
      <c r="E31" s="221" t="e">
        <f t="shared" si="10"/>
        <v>#DIV/0!</v>
      </c>
      <c r="F31" s="222" t="e">
        <f t="shared" si="7"/>
        <v>#DIV/0!</v>
      </c>
      <c r="G31" s="222" t="e">
        <f t="shared" si="11"/>
        <v>#N/A</v>
      </c>
      <c r="I31" s="231"/>
      <c r="J31" s="220"/>
      <c r="K31" s="221" t="e">
        <f t="shared" si="8"/>
        <v>#DIV/0!</v>
      </c>
      <c r="L31" s="221" t="e">
        <f t="shared" si="13"/>
        <v>#DIV/0!</v>
      </c>
      <c r="M31" s="222" t="e">
        <f t="shared" si="12"/>
        <v>#DIV/0!</v>
      </c>
    </row>
    <row r="32" spans="2:16" ht="15" hidden="1" outlineLevel="1" thickBot="1">
      <c r="B32" s="231"/>
      <c r="C32" s="220"/>
      <c r="D32" s="221" t="e">
        <f t="shared" si="9"/>
        <v>#DIV/0!</v>
      </c>
      <c r="E32" s="221" t="e">
        <f t="shared" si="10"/>
        <v>#DIV/0!</v>
      </c>
      <c r="F32" s="222" t="e">
        <f t="shared" si="7"/>
        <v>#DIV/0!</v>
      </c>
      <c r="G32" s="222" t="e">
        <f t="shared" si="11"/>
        <v>#N/A</v>
      </c>
      <c r="I32" s="231"/>
      <c r="J32" s="220"/>
      <c r="K32" s="221" t="e">
        <f t="shared" si="8"/>
        <v>#DIV/0!</v>
      </c>
      <c r="L32" s="221" t="e">
        <f t="shared" si="13"/>
        <v>#DIV/0!</v>
      </c>
      <c r="M32" s="222" t="e">
        <f t="shared" si="12"/>
        <v>#DIV/0!</v>
      </c>
    </row>
    <row r="33" spans="2:13" ht="15" hidden="1" outlineLevel="1" thickBot="1">
      <c r="B33" s="231"/>
      <c r="C33" s="220"/>
      <c r="D33" s="221" t="e">
        <f t="shared" si="9"/>
        <v>#DIV/0!</v>
      </c>
      <c r="E33" s="221" t="e">
        <f t="shared" si="10"/>
        <v>#DIV/0!</v>
      </c>
      <c r="F33" s="222" t="e">
        <f t="shared" si="7"/>
        <v>#DIV/0!</v>
      </c>
      <c r="G33" s="222" t="e">
        <f t="shared" si="11"/>
        <v>#N/A</v>
      </c>
      <c r="I33" s="231"/>
      <c r="J33" s="220"/>
      <c r="K33" s="221" t="e">
        <f t="shared" si="8"/>
        <v>#DIV/0!</v>
      </c>
      <c r="L33" s="221" t="e">
        <f t="shared" si="13"/>
        <v>#DIV/0!</v>
      </c>
      <c r="M33" s="222" t="e">
        <f t="shared" si="12"/>
        <v>#DIV/0!</v>
      </c>
    </row>
    <row r="34" spans="2:13" ht="15" hidden="1" outlineLevel="1" thickBot="1">
      <c r="B34" s="231"/>
      <c r="C34" s="220"/>
      <c r="D34" s="221" t="e">
        <f t="shared" si="9"/>
        <v>#DIV/0!</v>
      </c>
      <c r="E34" s="221" t="e">
        <f t="shared" si="10"/>
        <v>#DIV/0!</v>
      </c>
      <c r="F34" s="222" t="e">
        <f t="shared" si="7"/>
        <v>#DIV/0!</v>
      </c>
      <c r="G34" s="222" t="e">
        <f t="shared" si="11"/>
        <v>#N/A</v>
      </c>
      <c r="I34" s="231"/>
      <c r="J34" s="220"/>
      <c r="K34" s="221" t="e">
        <f t="shared" si="8"/>
        <v>#DIV/0!</v>
      </c>
      <c r="L34" s="221" t="e">
        <f t="shared" si="13"/>
        <v>#DIV/0!</v>
      </c>
      <c r="M34" s="222" t="e">
        <f t="shared" si="12"/>
        <v>#DIV/0!</v>
      </c>
    </row>
    <row r="35" spans="2:13" ht="15" hidden="1" outlineLevel="1" thickBot="1">
      <c r="B35" s="231"/>
      <c r="C35" s="220"/>
      <c r="D35" s="221" t="e">
        <f t="shared" si="9"/>
        <v>#DIV/0!</v>
      </c>
      <c r="E35" s="221" t="e">
        <f t="shared" si="10"/>
        <v>#DIV/0!</v>
      </c>
      <c r="F35" s="222" t="e">
        <f t="shared" si="7"/>
        <v>#DIV/0!</v>
      </c>
      <c r="G35" s="222" t="e">
        <f t="shared" si="11"/>
        <v>#N/A</v>
      </c>
      <c r="I35" s="231"/>
      <c r="J35" s="220"/>
      <c r="K35" s="221" t="e">
        <f t="shared" si="8"/>
        <v>#DIV/0!</v>
      </c>
      <c r="L35" s="221" t="e">
        <f t="shared" si="13"/>
        <v>#DIV/0!</v>
      </c>
      <c r="M35" s="222" t="e">
        <f t="shared" si="12"/>
        <v>#DIV/0!</v>
      </c>
    </row>
    <row r="36" spans="2:13" ht="15" hidden="1" outlineLevel="1" thickBot="1">
      <c r="B36" s="231"/>
      <c r="C36" s="220"/>
      <c r="D36" s="221" t="e">
        <f t="shared" si="9"/>
        <v>#DIV/0!</v>
      </c>
      <c r="E36" s="221" t="e">
        <f t="shared" si="10"/>
        <v>#DIV/0!</v>
      </c>
      <c r="F36" s="222" t="e">
        <f t="shared" si="7"/>
        <v>#DIV/0!</v>
      </c>
      <c r="G36" s="222" t="e">
        <f t="shared" si="11"/>
        <v>#N/A</v>
      </c>
      <c r="I36" s="231"/>
      <c r="J36" s="220"/>
      <c r="K36" s="221" t="e">
        <f t="shared" si="8"/>
        <v>#DIV/0!</v>
      </c>
      <c r="L36" s="221" t="e">
        <f t="shared" si="13"/>
        <v>#DIV/0!</v>
      </c>
      <c r="M36" s="222" t="e">
        <f t="shared" si="12"/>
        <v>#DIV/0!</v>
      </c>
    </row>
    <row r="37" spans="2:13" ht="15" hidden="1" outlineLevel="1" thickBot="1">
      <c r="B37" s="231"/>
      <c r="C37" s="220"/>
      <c r="D37" s="221" t="e">
        <f t="shared" si="9"/>
        <v>#DIV/0!</v>
      </c>
      <c r="E37" s="221" t="e">
        <f t="shared" si="10"/>
        <v>#DIV/0!</v>
      </c>
      <c r="F37" s="222" t="e">
        <f t="shared" si="7"/>
        <v>#DIV/0!</v>
      </c>
      <c r="G37" s="222" t="e">
        <f t="shared" si="11"/>
        <v>#N/A</v>
      </c>
      <c r="I37" s="231"/>
      <c r="J37" s="220"/>
      <c r="K37" s="221" t="e">
        <f t="shared" si="8"/>
        <v>#DIV/0!</v>
      </c>
      <c r="L37" s="221" t="e">
        <f t="shared" si="13"/>
        <v>#DIV/0!</v>
      </c>
      <c r="M37" s="222" t="e">
        <f t="shared" si="12"/>
        <v>#DIV/0!</v>
      </c>
    </row>
    <row r="38" spans="2:13" ht="15" hidden="1" outlineLevel="1" thickBot="1">
      <c r="B38" s="231"/>
      <c r="C38" s="220"/>
      <c r="D38" s="221" t="e">
        <f t="shared" si="9"/>
        <v>#DIV/0!</v>
      </c>
      <c r="E38" s="221" t="e">
        <f t="shared" si="10"/>
        <v>#DIV/0!</v>
      </c>
      <c r="F38" s="222" t="e">
        <f t="shared" si="7"/>
        <v>#DIV/0!</v>
      </c>
      <c r="G38" s="222" t="e">
        <f t="shared" si="11"/>
        <v>#N/A</v>
      </c>
      <c r="I38" s="231"/>
      <c r="J38" s="220"/>
      <c r="K38" s="221" t="e">
        <f t="shared" si="8"/>
        <v>#DIV/0!</v>
      </c>
      <c r="L38" s="221" t="e">
        <f t="shared" si="13"/>
        <v>#DIV/0!</v>
      </c>
      <c r="M38" s="222" t="e">
        <f t="shared" si="12"/>
        <v>#DIV/0!</v>
      </c>
    </row>
    <row r="39" spans="2:13" ht="15" hidden="1" outlineLevel="1" thickBot="1">
      <c r="B39" s="231"/>
      <c r="C39" s="220"/>
      <c r="D39" s="221" t="e">
        <f t="shared" si="9"/>
        <v>#DIV/0!</v>
      </c>
      <c r="E39" s="221" t="e">
        <f t="shared" si="10"/>
        <v>#DIV/0!</v>
      </c>
      <c r="F39" s="222" t="e">
        <f t="shared" si="7"/>
        <v>#DIV/0!</v>
      </c>
      <c r="G39" s="222" t="e">
        <f t="shared" si="11"/>
        <v>#N/A</v>
      </c>
      <c r="I39" s="231"/>
      <c r="J39" s="220"/>
      <c r="K39" s="221" t="e">
        <f t="shared" si="8"/>
        <v>#DIV/0!</v>
      </c>
      <c r="L39" s="221" t="e">
        <f t="shared" si="13"/>
        <v>#DIV/0!</v>
      </c>
      <c r="M39" s="222" t="e">
        <f t="shared" si="12"/>
        <v>#DIV/0!</v>
      </c>
    </row>
    <row r="40" spans="2:13" ht="15" hidden="1" outlineLevel="1" thickBot="1">
      <c r="B40" s="231"/>
      <c r="C40" s="220"/>
      <c r="D40" s="221" t="e">
        <f t="shared" si="9"/>
        <v>#DIV/0!</v>
      </c>
      <c r="E40" s="221" t="e">
        <f t="shared" si="10"/>
        <v>#DIV/0!</v>
      </c>
      <c r="F40" s="222" t="e">
        <f t="shared" si="7"/>
        <v>#DIV/0!</v>
      </c>
      <c r="G40" s="222" t="e">
        <f t="shared" si="11"/>
        <v>#N/A</v>
      </c>
      <c r="I40" s="231"/>
      <c r="J40" s="220"/>
      <c r="K40" s="221" t="e">
        <f t="shared" si="8"/>
        <v>#DIV/0!</v>
      </c>
      <c r="L40" s="221" t="e">
        <f t="shared" si="13"/>
        <v>#DIV/0!</v>
      </c>
      <c r="M40" s="222" t="e">
        <f t="shared" si="12"/>
        <v>#DIV/0!</v>
      </c>
    </row>
    <row r="41" spans="2:13" ht="15" hidden="1" outlineLevel="1" thickBot="1">
      <c r="B41" s="231"/>
      <c r="C41" s="220"/>
      <c r="D41" s="221" t="e">
        <f t="shared" si="9"/>
        <v>#DIV/0!</v>
      </c>
      <c r="E41" s="221" t="e">
        <f t="shared" si="10"/>
        <v>#DIV/0!</v>
      </c>
      <c r="F41" s="222" t="e">
        <f t="shared" si="7"/>
        <v>#DIV/0!</v>
      </c>
      <c r="G41" s="222" t="e">
        <f t="shared" si="11"/>
        <v>#N/A</v>
      </c>
      <c r="I41" s="231"/>
      <c r="J41" s="220"/>
      <c r="K41" s="221" t="e">
        <f t="shared" si="8"/>
        <v>#DIV/0!</v>
      </c>
      <c r="L41" s="221" t="e">
        <f t="shared" si="13"/>
        <v>#DIV/0!</v>
      </c>
      <c r="M41" s="222" t="e">
        <f t="shared" si="12"/>
        <v>#DIV/0!</v>
      </c>
    </row>
    <row r="42" spans="2:13" ht="15" hidden="1" outlineLevel="1" thickBot="1">
      <c r="B42" s="231"/>
      <c r="C42" s="220"/>
      <c r="D42" s="221" t="e">
        <f t="shared" si="9"/>
        <v>#DIV/0!</v>
      </c>
      <c r="E42" s="221" t="e">
        <f t="shared" si="10"/>
        <v>#DIV/0!</v>
      </c>
      <c r="F42" s="222" t="e">
        <f t="shared" si="7"/>
        <v>#DIV/0!</v>
      </c>
      <c r="G42" s="222" t="e">
        <f t="shared" si="11"/>
        <v>#N/A</v>
      </c>
      <c r="I42" s="231"/>
      <c r="J42" s="220"/>
      <c r="K42" s="221" t="e">
        <f t="shared" si="8"/>
        <v>#DIV/0!</v>
      </c>
      <c r="L42" s="221" t="e">
        <f t="shared" si="13"/>
        <v>#DIV/0!</v>
      </c>
      <c r="M42" s="222" t="e">
        <f t="shared" si="12"/>
        <v>#DIV/0!</v>
      </c>
    </row>
    <row r="43" spans="2:13" ht="15" hidden="1" outlineLevel="1" thickBot="1">
      <c r="B43" s="231"/>
      <c r="C43" s="220"/>
      <c r="D43" s="221" t="e">
        <f t="shared" si="9"/>
        <v>#DIV/0!</v>
      </c>
      <c r="E43" s="221" t="e">
        <f t="shared" si="10"/>
        <v>#DIV/0!</v>
      </c>
      <c r="F43" s="222" t="e">
        <f t="shared" si="7"/>
        <v>#DIV/0!</v>
      </c>
      <c r="G43" s="222" t="e">
        <f t="shared" si="11"/>
        <v>#N/A</v>
      </c>
      <c r="I43" s="231"/>
      <c r="J43" s="220"/>
      <c r="K43" s="221" t="e">
        <f t="shared" si="8"/>
        <v>#DIV/0!</v>
      </c>
      <c r="L43" s="221" t="e">
        <f t="shared" si="13"/>
        <v>#DIV/0!</v>
      </c>
      <c r="M43" s="222" t="e">
        <f t="shared" si="12"/>
        <v>#DIV/0!</v>
      </c>
    </row>
    <row r="44" spans="2:13" ht="15" hidden="1" outlineLevel="1" thickBot="1">
      <c r="B44" s="231"/>
      <c r="C44" s="220"/>
      <c r="D44" s="221" t="e">
        <f t="shared" si="9"/>
        <v>#DIV/0!</v>
      </c>
      <c r="E44" s="221" t="e">
        <f t="shared" si="10"/>
        <v>#DIV/0!</v>
      </c>
      <c r="F44" s="222" t="e">
        <f t="shared" si="7"/>
        <v>#DIV/0!</v>
      </c>
      <c r="G44" s="222" t="e">
        <f t="shared" si="11"/>
        <v>#N/A</v>
      </c>
      <c r="I44" s="231"/>
      <c r="J44" s="220"/>
      <c r="K44" s="221" t="e">
        <f t="shared" si="8"/>
        <v>#DIV/0!</v>
      </c>
      <c r="L44" s="221" t="e">
        <f t="shared" si="13"/>
        <v>#DIV/0!</v>
      </c>
      <c r="M44" s="222" t="e">
        <f t="shared" si="12"/>
        <v>#DIV/0!</v>
      </c>
    </row>
    <row r="45" spans="2:13" ht="15" hidden="1" outlineLevel="1" thickBot="1">
      <c r="B45" s="231"/>
      <c r="C45" s="220"/>
      <c r="D45" s="221" t="e">
        <f t="shared" si="9"/>
        <v>#DIV/0!</v>
      </c>
      <c r="E45" s="221" t="e">
        <f t="shared" si="10"/>
        <v>#DIV/0!</v>
      </c>
      <c r="F45" s="222" t="e">
        <f t="shared" si="7"/>
        <v>#DIV/0!</v>
      </c>
      <c r="G45" s="222" t="e">
        <f t="shared" si="11"/>
        <v>#N/A</v>
      </c>
      <c r="I45" s="231"/>
      <c r="J45" s="220"/>
      <c r="K45" s="221" t="e">
        <f t="shared" si="8"/>
        <v>#DIV/0!</v>
      </c>
      <c r="L45" s="221" t="e">
        <f t="shared" si="13"/>
        <v>#DIV/0!</v>
      </c>
      <c r="M45" s="222" t="e">
        <f t="shared" si="12"/>
        <v>#DIV/0!</v>
      </c>
    </row>
    <row r="46" spans="2:13" ht="15" hidden="1" outlineLevel="1" thickBot="1">
      <c r="B46" s="231"/>
      <c r="C46" s="220"/>
      <c r="D46" s="221" t="e">
        <f t="shared" si="9"/>
        <v>#DIV/0!</v>
      </c>
      <c r="E46" s="221" t="e">
        <f t="shared" si="10"/>
        <v>#DIV/0!</v>
      </c>
      <c r="F46" s="222" t="e">
        <f t="shared" si="7"/>
        <v>#DIV/0!</v>
      </c>
      <c r="G46" s="222" t="e">
        <f t="shared" si="11"/>
        <v>#N/A</v>
      </c>
      <c r="I46" s="231"/>
      <c r="J46" s="220"/>
      <c r="K46" s="221" t="e">
        <f t="shared" si="8"/>
        <v>#DIV/0!</v>
      </c>
      <c r="L46" s="221" t="e">
        <f t="shared" si="13"/>
        <v>#DIV/0!</v>
      </c>
      <c r="M46" s="222" t="e">
        <f t="shared" si="12"/>
        <v>#DIV/0!</v>
      </c>
    </row>
    <row r="47" spans="2:13" ht="15" hidden="1" outlineLevel="1" thickBot="1">
      <c r="B47" s="231"/>
      <c r="C47" s="220"/>
      <c r="D47" s="221" t="e">
        <f t="shared" si="9"/>
        <v>#DIV/0!</v>
      </c>
      <c r="E47" s="221" t="e">
        <f t="shared" si="10"/>
        <v>#DIV/0!</v>
      </c>
      <c r="F47" s="222" t="e">
        <f t="shared" si="7"/>
        <v>#DIV/0!</v>
      </c>
      <c r="G47" s="222" t="e">
        <f t="shared" si="11"/>
        <v>#N/A</v>
      </c>
      <c r="I47" s="231"/>
      <c r="J47" s="220"/>
      <c r="K47" s="221" t="e">
        <f t="shared" si="8"/>
        <v>#DIV/0!</v>
      </c>
      <c r="L47" s="221" t="e">
        <f t="shared" si="13"/>
        <v>#DIV/0!</v>
      </c>
      <c r="M47" s="222" t="e">
        <f t="shared" si="12"/>
        <v>#DIV/0!</v>
      </c>
    </row>
    <row r="48" spans="2:13" ht="15" hidden="1" outlineLevel="1" thickBot="1">
      <c r="B48" s="231"/>
      <c r="C48" s="220"/>
      <c r="D48" s="221" t="e">
        <f t="shared" si="9"/>
        <v>#DIV/0!</v>
      </c>
      <c r="E48" s="221" t="e">
        <f t="shared" si="10"/>
        <v>#DIV/0!</v>
      </c>
      <c r="F48" s="222" t="e">
        <f t="shared" si="7"/>
        <v>#DIV/0!</v>
      </c>
      <c r="G48" s="222" t="e">
        <f t="shared" si="11"/>
        <v>#N/A</v>
      </c>
      <c r="I48" s="231"/>
      <c r="J48" s="220"/>
      <c r="K48" s="221" t="e">
        <f t="shared" si="8"/>
        <v>#DIV/0!</v>
      </c>
      <c r="L48" s="221" t="e">
        <f t="shared" si="13"/>
        <v>#DIV/0!</v>
      </c>
      <c r="M48" s="222" t="e">
        <f t="shared" si="12"/>
        <v>#DIV/0!</v>
      </c>
    </row>
    <row r="49" spans="2:13" ht="15" hidden="1" outlineLevel="1" thickBot="1">
      <c r="B49" s="231"/>
      <c r="C49" s="220"/>
      <c r="D49" s="221" t="e">
        <f t="shared" si="9"/>
        <v>#DIV/0!</v>
      </c>
      <c r="E49" s="221" t="e">
        <f t="shared" si="10"/>
        <v>#DIV/0!</v>
      </c>
      <c r="F49" s="222" t="e">
        <f t="shared" si="7"/>
        <v>#DIV/0!</v>
      </c>
      <c r="G49" s="222" t="e">
        <f t="shared" si="11"/>
        <v>#N/A</v>
      </c>
      <c r="I49" s="231"/>
      <c r="J49" s="220"/>
      <c r="K49" s="221" t="e">
        <f t="shared" si="8"/>
        <v>#DIV/0!</v>
      </c>
      <c r="L49" s="221" t="e">
        <f t="shared" si="13"/>
        <v>#DIV/0!</v>
      </c>
      <c r="M49" s="222" t="e">
        <f t="shared" si="12"/>
        <v>#DIV/0!</v>
      </c>
    </row>
    <row r="50" spans="2:13" ht="15" hidden="1" outlineLevel="1" thickBot="1">
      <c r="B50" s="231"/>
      <c r="C50" s="220"/>
      <c r="D50" s="221" t="e">
        <f t="shared" si="9"/>
        <v>#DIV/0!</v>
      </c>
      <c r="E50" s="221" t="e">
        <f t="shared" si="10"/>
        <v>#DIV/0!</v>
      </c>
      <c r="F50" s="222" t="e">
        <f t="shared" si="7"/>
        <v>#DIV/0!</v>
      </c>
      <c r="G50" s="222" t="e">
        <f t="shared" si="11"/>
        <v>#N/A</v>
      </c>
      <c r="I50" s="231"/>
      <c r="J50" s="220"/>
      <c r="K50" s="221" t="e">
        <f t="shared" si="8"/>
        <v>#DIV/0!</v>
      </c>
      <c r="L50" s="221" t="e">
        <f t="shared" si="13"/>
        <v>#DIV/0!</v>
      </c>
      <c r="M50" s="222" t="e">
        <f t="shared" si="12"/>
        <v>#DIV/0!</v>
      </c>
    </row>
    <row r="51" spans="2:13" ht="15" hidden="1" outlineLevel="1" thickBot="1">
      <c r="B51" s="231"/>
      <c r="C51" s="220"/>
      <c r="D51" s="221" t="e">
        <f t="shared" si="9"/>
        <v>#DIV/0!</v>
      </c>
      <c r="E51" s="221" t="e">
        <f t="shared" si="10"/>
        <v>#DIV/0!</v>
      </c>
      <c r="F51" s="222" t="e">
        <f t="shared" si="7"/>
        <v>#DIV/0!</v>
      </c>
      <c r="G51" s="222" t="e">
        <f t="shared" si="11"/>
        <v>#N/A</v>
      </c>
      <c r="I51" s="231"/>
      <c r="J51" s="220"/>
      <c r="K51" s="221" t="e">
        <f t="shared" si="8"/>
        <v>#DIV/0!</v>
      </c>
      <c r="L51" s="221" t="e">
        <f t="shared" si="13"/>
        <v>#DIV/0!</v>
      </c>
      <c r="M51" s="222" t="e">
        <f t="shared" si="12"/>
        <v>#DIV/0!</v>
      </c>
    </row>
    <row r="52" spans="2:13" ht="15" hidden="1" outlineLevel="1" thickBot="1">
      <c r="B52" s="231"/>
      <c r="C52" s="220"/>
      <c r="D52" s="221" t="e">
        <f t="shared" si="9"/>
        <v>#DIV/0!</v>
      </c>
      <c r="E52" s="221" t="e">
        <f t="shared" si="10"/>
        <v>#DIV/0!</v>
      </c>
      <c r="F52" s="222" t="e">
        <f t="shared" si="7"/>
        <v>#DIV/0!</v>
      </c>
      <c r="G52" s="222" t="e">
        <f t="shared" si="11"/>
        <v>#N/A</v>
      </c>
      <c r="I52" s="231"/>
      <c r="J52" s="220"/>
      <c r="K52" s="221" t="e">
        <f t="shared" si="8"/>
        <v>#DIV/0!</v>
      </c>
      <c r="L52" s="221" t="e">
        <f t="shared" si="13"/>
        <v>#DIV/0!</v>
      </c>
      <c r="M52" s="222" t="e">
        <f t="shared" si="12"/>
        <v>#DIV/0!</v>
      </c>
    </row>
    <row r="53" spans="2:13" ht="15" hidden="1" customHeight="1" outlineLevel="1">
      <c r="B53" s="231"/>
      <c r="C53" s="220"/>
      <c r="D53" s="221" t="e">
        <f t="shared" si="9"/>
        <v>#DIV/0!</v>
      </c>
      <c r="E53" s="221" t="e">
        <f t="shared" si="10"/>
        <v>#DIV/0!</v>
      </c>
      <c r="F53" s="222" t="e">
        <f t="shared" si="7"/>
        <v>#DIV/0!</v>
      </c>
      <c r="G53" s="222" t="e">
        <f t="shared" si="11"/>
        <v>#N/A</v>
      </c>
      <c r="I53" s="231"/>
      <c r="J53" s="220"/>
      <c r="K53" s="221" t="e">
        <f t="shared" si="8"/>
        <v>#DIV/0!</v>
      </c>
      <c r="L53" s="221" t="e">
        <f t="shared" si="13"/>
        <v>#DIV/0!</v>
      </c>
      <c r="M53" s="222" t="e">
        <f t="shared" si="12"/>
        <v>#DIV/0!</v>
      </c>
    </row>
    <row r="54" spans="2:13" ht="15" hidden="1" outlineLevel="1" thickBot="1">
      <c r="B54" s="231"/>
      <c r="C54" s="220"/>
      <c r="D54" s="221" t="e">
        <f t="shared" si="9"/>
        <v>#DIV/0!</v>
      </c>
      <c r="E54" s="221" t="e">
        <f t="shared" si="10"/>
        <v>#DIV/0!</v>
      </c>
      <c r="F54" s="222" t="e">
        <f t="shared" si="7"/>
        <v>#DIV/0!</v>
      </c>
      <c r="G54" s="222" t="e">
        <f t="shared" si="11"/>
        <v>#N/A</v>
      </c>
      <c r="I54" s="231"/>
      <c r="J54" s="220"/>
      <c r="K54" s="221" t="e">
        <f t="shared" si="8"/>
        <v>#DIV/0!</v>
      </c>
      <c r="L54" s="221" t="e">
        <f t="shared" si="13"/>
        <v>#DIV/0!</v>
      </c>
      <c r="M54" s="222" t="e">
        <f t="shared" si="12"/>
        <v>#DIV/0!</v>
      </c>
    </row>
    <row r="55" spans="2:13" ht="15" hidden="1" outlineLevel="1" thickBot="1">
      <c r="B55" s="231"/>
      <c r="C55" s="220"/>
      <c r="D55" s="221" t="e">
        <f t="shared" si="9"/>
        <v>#DIV/0!</v>
      </c>
      <c r="E55" s="221" t="e">
        <f t="shared" si="10"/>
        <v>#DIV/0!</v>
      </c>
      <c r="F55" s="222" t="e">
        <f t="shared" si="7"/>
        <v>#DIV/0!</v>
      </c>
      <c r="G55" s="222" t="e">
        <f t="shared" si="11"/>
        <v>#N/A</v>
      </c>
      <c r="I55" s="231"/>
      <c r="J55" s="220"/>
      <c r="K55" s="221" t="e">
        <f t="shared" si="8"/>
        <v>#DIV/0!</v>
      </c>
      <c r="L55" s="221" t="e">
        <f t="shared" si="13"/>
        <v>#DIV/0!</v>
      </c>
      <c r="M55" s="222" t="e">
        <f t="shared" si="12"/>
        <v>#DIV/0!</v>
      </c>
    </row>
    <row r="56" spans="2:13" ht="15" hidden="1" outlineLevel="1" thickBot="1">
      <c r="B56" s="231"/>
      <c r="C56" s="220"/>
      <c r="D56" s="221" t="e">
        <f t="shared" si="9"/>
        <v>#DIV/0!</v>
      </c>
      <c r="E56" s="221" t="e">
        <f t="shared" si="10"/>
        <v>#DIV/0!</v>
      </c>
      <c r="F56" s="222" t="e">
        <f t="shared" si="7"/>
        <v>#DIV/0!</v>
      </c>
      <c r="G56" s="222" t="e">
        <f t="shared" si="11"/>
        <v>#N/A</v>
      </c>
      <c r="I56" s="231"/>
      <c r="J56" s="220"/>
      <c r="K56" s="221" t="e">
        <f t="shared" si="8"/>
        <v>#DIV/0!</v>
      </c>
      <c r="L56" s="221" t="e">
        <f t="shared" si="13"/>
        <v>#DIV/0!</v>
      </c>
      <c r="M56" s="222" t="e">
        <f t="shared" si="12"/>
        <v>#DIV/0!</v>
      </c>
    </row>
    <row r="57" spans="2:13" ht="15" hidden="1" outlineLevel="1" thickBot="1">
      <c r="B57" s="231"/>
      <c r="C57" s="220"/>
      <c r="D57" s="221" t="e">
        <f t="shared" si="9"/>
        <v>#DIV/0!</v>
      </c>
      <c r="E57" s="221" t="e">
        <f t="shared" si="10"/>
        <v>#DIV/0!</v>
      </c>
      <c r="F57" s="222" t="e">
        <f t="shared" si="7"/>
        <v>#DIV/0!</v>
      </c>
      <c r="G57" s="222" t="e">
        <f t="shared" si="11"/>
        <v>#N/A</v>
      </c>
      <c r="I57" s="231"/>
      <c r="J57" s="220"/>
      <c r="K57" s="221" t="e">
        <f t="shared" si="8"/>
        <v>#DIV/0!</v>
      </c>
      <c r="L57" s="221" t="e">
        <f t="shared" si="13"/>
        <v>#DIV/0!</v>
      </c>
      <c r="M57" s="222" t="e">
        <f t="shared" si="12"/>
        <v>#DIV/0!</v>
      </c>
    </row>
    <row r="58" spans="2:13" ht="15" hidden="1" outlineLevel="1" thickBot="1">
      <c r="B58" s="231"/>
      <c r="C58" s="220"/>
      <c r="D58" s="221" t="e">
        <f t="shared" si="9"/>
        <v>#DIV/0!</v>
      </c>
      <c r="E58" s="221" t="e">
        <f t="shared" si="10"/>
        <v>#DIV/0!</v>
      </c>
      <c r="F58" s="222" t="e">
        <f t="shared" si="7"/>
        <v>#DIV/0!</v>
      </c>
      <c r="G58" s="222" t="e">
        <f t="shared" si="11"/>
        <v>#N/A</v>
      </c>
      <c r="I58" s="231"/>
      <c r="J58" s="220"/>
      <c r="K58" s="221" t="e">
        <f t="shared" si="8"/>
        <v>#DIV/0!</v>
      </c>
      <c r="L58" s="221" t="e">
        <f t="shared" si="13"/>
        <v>#DIV/0!</v>
      </c>
      <c r="M58" s="222" t="e">
        <f t="shared" si="12"/>
        <v>#DIV/0!</v>
      </c>
    </row>
    <row r="59" spans="2:13" ht="15" hidden="1" outlineLevel="1" thickBot="1">
      <c r="B59" s="231"/>
      <c r="C59" s="220"/>
      <c r="D59" s="221" t="e">
        <f t="shared" si="9"/>
        <v>#DIV/0!</v>
      </c>
      <c r="E59" s="221" t="e">
        <f t="shared" si="10"/>
        <v>#DIV/0!</v>
      </c>
      <c r="F59" s="222" t="e">
        <f t="shared" si="7"/>
        <v>#DIV/0!</v>
      </c>
      <c r="G59" s="222" t="e">
        <f t="shared" si="11"/>
        <v>#N/A</v>
      </c>
      <c r="I59" s="231"/>
      <c r="J59" s="220"/>
      <c r="K59" s="221" t="e">
        <f t="shared" si="8"/>
        <v>#DIV/0!</v>
      </c>
      <c r="L59" s="221" t="e">
        <f t="shared" si="13"/>
        <v>#DIV/0!</v>
      </c>
      <c r="M59" s="222" t="e">
        <f t="shared" si="12"/>
        <v>#DIV/0!</v>
      </c>
    </row>
    <row r="60" spans="2:13" ht="15" hidden="1" outlineLevel="1" thickBot="1">
      <c r="B60" s="231"/>
      <c r="C60" s="220"/>
      <c r="D60" s="221" t="e">
        <f t="shared" si="9"/>
        <v>#DIV/0!</v>
      </c>
      <c r="E60" s="221" t="e">
        <f t="shared" si="10"/>
        <v>#DIV/0!</v>
      </c>
      <c r="F60" s="222" t="e">
        <f t="shared" si="7"/>
        <v>#DIV/0!</v>
      </c>
      <c r="G60" s="222" t="e">
        <f t="shared" si="11"/>
        <v>#N/A</v>
      </c>
      <c r="I60" s="231"/>
      <c r="J60" s="220"/>
      <c r="K60" s="221" t="e">
        <f t="shared" si="8"/>
        <v>#DIV/0!</v>
      </c>
      <c r="L60" s="221" t="e">
        <f t="shared" si="13"/>
        <v>#DIV/0!</v>
      </c>
      <c r="M60" s="222" t="e">
        <f t="shared" si="12"/>
        <v>#DIV/0!</v>
      </c>
    </row>
    <row r="61" spans="2:13" ht="15" hidden="1" outlineLevel="1" thickBot="1">
      <c r="B61" s="231"/>
      <c r="C61" s="220"/>
      <c r="D61" s="221" t="e">
        <f t="shared" si="9"/>
        <v>#DIV/0!</v>
      </c>
      <c r="E61" s="221" t="e">
        <f t="shared" si="10"/>
        <v>#DIV/0!</v>
      </c>
      <c r="F61" s="222" t="e">
        <f t="shared" si="7"/>
        <v>#DIV/0!</v>
      </c>
      <c r="G61" s="222" t="e">
        <f t="shared" si="11"/>
        <v>#N/A</v>
      </c>
      <c r="I61" s="231"/>
      <c r="J61" s="220"/>
      <c r="K61" s="221" t="e">
        <f t="shared" si="8"/>
        <v>#DIV/0!</v>
      </c>
      <c r="L61" s="221" t="e">
        <f t="shared" si="13"/>
        <v>#DIV/0!</v>
      </c>
      <c r="M61" s="222" t="e">
        <f t="shared" si="12"/>
        <v>#DIV/0!</v>
      </c>
    </row>
    <row r="62" spans="2:13" ht="15" hidden="1" outlineLevel="1" thickBot="1">
      <c r="B62" s="231"/>
      <c r="C62" s="220"/>
      <c r="D62" s="221" t="e">
        <f t="shared" si="9"/>
        <v>#DIV/0!</v>
      </c>
      <c r="E62" s="221" t="e">
        <f t="shared" si="10"/>
        <v>#DIV/0!</v>
      </c>
      <c r="F62" s="222" t="e">
        <f t="shared" si="7"/>
        <v>#DIV/0!</v>
      </c>
      <c r="G62" s="222" t="e">
        <f t="shared" si="11"/>
        <v>#N/A</v>
      </c>
      <c r="I62" s="231"/>
      <c r="J62" s="220"/>
      <c r="K62" s="221" t="e">
        <f t="shared" si="8"/>
        <v>#DIV/0!</v>
      </c>
      <c r="L62" s="221" t="e">
        <f t="shared" si="13"/>
        <v>#DIV/0!</v>
      </c>
      <c r="M62" s="222" t="e">
        <f t="shared" si="12"/>
        <v>#DIV/0!</v>
      </c>
    </row>
    <row r="63" spans="2:13" ht="15" hidden="1" outlineLevel="1" thickBot="1">
      <c r="B63" s="231"/>
      <c r="C63" s="220"/>
      <c r="D63" s="221" t="e">
        <f t="shared" si="9"/>
        <v>#DIV/0!</v>
      </c>
      <c r="E63" s="221" t="e">
        <f t="shared" si="10"/>
        <v>#DIV/0!</v>
      </c>
      <c r="F63" s="222" t="e">
        <f t="shared" si="7"/>
        <v>#DIV/0!</v>
      </c>
      <c r="G63" s="222" t="e">
        <f t="shared" si="11"/>
        <v>#N/A</v>
      </c>
      <c r="I63" s="231"/>
      <c r="J63" s="220"/>
      <c r="K63" s="221" t="e">
        <f t="shared" si="8"/>
        <v>#DIV/0!</v>
      </c>
      <c r="L63" s="221" t="e">
        <f t="shared" si="13"/>
        <v>#DIV/0!</v>
      </c>
      <c r="M63" s="222" t="e">
        <f t="shared" si="12"/>
        <v>#DIV/0!</v>
      </c>
    </row>
    <row r="64" spans="2:13" ht="15" hidden="1" outlineLevel="1" thickBot="1">
      <c r="B64" s="231"/>
      <c r="C64" s="220"/>
      <c r="D64" s="221" t="e">
        <f t="shared" si="9"/>
        <v>#DIV/0!</v>
      </c>
      <c r="E64" s="221" t="e">
        <f t="shared" si="10"/>
        <v>#DIV/0!</v>
      </c>
      <c r="F64" s="222" t="e">
        <f t="shared" si="7"/>
        <v>#DIV/0!</v>
      </c>
      <c r="G64" s="222" t="e">
        <f t="shared" si="11"/>
        <v>#N/A</v>
      </c>
      <c r="I64" s="231"/>
      <c r="J64" s="220"/>
      <c r="K64" s="221" t="e">
        <f t="shared" si="8"/>
        <v>#DIV/0!</v>
      </c>
      <c r="L64" s="221" t="e">
        <f t="shared" si="13"/>
        <v>#DIV/0!</v>
      </c>
      <c r="M64" s="222" t="e">
        <f t="shared" si="12"/>
        <v>#DIV/0!</v>
      </c>
    </row>
    <row r="65" spans="2:13" ht="15" hidden="1" outlineLevel="1" thickBot="1">
      <c r="B65" s="231"/>
      <c r="C65" s="220"/>
      <c r="D65" s="221" t="e">
        <f t="shared" si="9"/>
        <v>#DIV/0!</v>
      </c>
      <c r="E65" s="221" t="e">
        <f>D65+E64</f>
        <v>#DIV/0!</v>
      </c>
      <c r="F65" s="222" t="e">
        <f t="shared" si="7"/>
        <v>#DIV/0!</v>
      </c>
      <c r="G65" s="222" t="e">
        <f t="shared" si="11"/>
        <v>#N/A</v>
      </c>
      <c r="I65" s="231"/>
      <c r="J65" s="220"/>
      <c r="K65" s="221" t="e">
        <f t="shared" si="8"/>
        <v>#DIV/0!</v>
      </c>
      <c r="L65" s="221" t="e">
        <f t="shared" si="13"/>
        <v>#DIV/0!</v>
      </c>
      <c r="M65" s="222" t="e">
        <f t="shared" si="12"/>
        <v>#DIV/0!</v>
      </c>
    </row>
    <row r="66" spans="2:13" ht="15" hidden="1" outlineLevel="1" thickBot="1">
      <c r="B66" s="231"/>
      <c r="C66" s="220"/>
      <c r="D66" s="221" t="e">
        <f t="shared" si="9"/>
        <v>#DIV/0!</v>
      </c>
      <c r="E66" s="221" t="e">
        <f t="shared" si="10"/>
        <v>#DIV/0!</v>
      </c>
      <c r="F66" s="222" t="e">
        <f t="shared" si="7"/>
        <v>#DIV/0!</v>
      </c>
      <c r="G66" s="222" t="e">
        <f t="shared" si="11"/>
        <v>#N/A</v>
      </c>
      <c r="I66" s="231"/>
      <c r="J66" s="220"/>
      <c r="K66" s="221" t="e">
        <f t="shared" si="8"/>
        <v>#DIV/0!</v>
      </c>
      <c r="L66" s="221" t="e">
        <f t="shared" si="13"/>
        <v>#DIV/0!</v>
      </c>
      <c r="M66" s="222" t="e">
        <f t="shared" si="12"/>
        <v>#DIV/0!</v>
      </c>
    </row>
    <row r="67" spans="2:13" ht="15" hidden="1" outlineLevel="1" thickBot="1">
      <c r="B67" s="231"/>
      <c r="C67" s="220"/>
      <c r="D67" s="221" t="e">
        <f t="shared" si="9"/>
        <v>#DIV/0!</v>
      </c>
      <c r="E67" s="221" t="e">
        <f t="shared" si="10"/>
        <v>#DIV/0!</v>
      </c>
      <c r="F67" s="222" t="e">
        <f t="shared" si="7"/>
        <v>#DIV/0!</v>
      </c>
      <c r="G67" s="222" t="e">
        <f t="shared" si="11"/>
        <v>#N/A</v>
      </c>
      <c r="I67" s="231"/>
      <c r="J67" s="220"/>
      <c r="K67" s="221" t="e">
        <f t="shared" si="8"/>
        <v>#DIV/0!</v>
      </c>
      <c r="L67" s="221" t="e">
        <f t="shared" si="13"/>
        <v>#DIV/0!</v>
      </c>
      <c r="M67" s="222" t="e">
        <f t="shared" si="12"/>
        <v>#DIV/0!</v>
      </c>
    </row>
    <row r="68" spans="2:13" ht="15" hidden="1" outlineLevel="1" thickBot="1">
      <c r="B68" s="231"/>
      <c r="C68" s="220"/>
      <c r="D68" s="221" t="e">
        <f t="shared" si="9"/>
        <v>#DIV/0!</v>
      </c>
      <c r="E68" s="221" t="e">
        <f t="shared" si="10"/>
        <v>#DIV/0!</v>
      </c>
      <c r="F68" s="222" t="e">
        <f t="shared" si="7"/>
        <v>#DIV/0!</v>
      </c>
      <c r="G68" s="222" t="e">
        <f t="shared" si="11"/>
        <v>#N/A</v>
      </c>
      <c r="I68" s="231"/>
      <c r="J68" s="220"/>
      <c r="K68" s="221" t="e">
        <f t="shared" si="8"/>
        <v>#DIV/0!</v>
      </c>
      <c r="L68" s="221" t="e">
        <f t="shared" si="13"/>
        <v>#DIV/0!</v>
      </c>
      <c r="M68" s="222" t="e">
        <f t="shared" si="12"/>
        <v>#DIV/0!</v>
      </c>
    </row>
    <row r="69" spans="2:13" ht="16" hidden="1" customHeight="1" outlineLevel="1">
      <c r="B69" s="231"/>
      <c r="C69" s="220"/>
      <c r="D69" s="221" t="e">
        <f t="shared" si="9"/>
        <v>#DIV/0!</v>
      </c>
      <c r="E69" s="221" t="e">
        <f t="shared" si="10"/>
        <v>#DIV/0!</v>
      </c>
      <c r="F69" s="222" t="e">
        <f t="shared" si="7"/>
        <v>#DIV/0!</v>
      </c>
      <c r="G69" s="222" t="e">
        <f t="shared" si="11"/>
        <v>#N/A</v>
      </c>
      <c r="I69" s="231"/>
      <c r="J69" s="220"/>
      <c r="K69" s="221" t="e">
        <f t="shared" si="8"/>
        <v>#DIV/0!</v>
      </c>
      <c r="L69" s="221" t="e">
        <f t="shared" si="13"/>
        <v>#DIV/0!</v>
      </c>
      <c r="M69" s="222" t="e">
        <f t="shared" si="12"/>
        <v>#DIV/0!</v>
      </c>
    </row>
    <row r="70" spans="2:13" ht="15" hidden="1" outlineLevel="1" thickBot="1">
      <c r="B70" s="231"/>
      <c r="C70" s="220"/>
      <c r="D70" s="221" t="e">
        <f t="shared" si="9"/>
        <v>#DIV/0!</v>
      </c>
      <c r="E70" s="221" t="e">
        <f t="shared" si="10"/>
        <v>#DIV/0!</v>
      </c>
      <c r="F70" s="222" t="e">
        <f t="shared" si="7"/>
        <v>#DIV/0!</v>
      </c>
      <c r="G70" s="222" t="e">
        <f t="shared" si="11"/>
        <v>#N/A</v>
      </c>
      <c r="I70" s="231"/>
      <c r="J70" s="220"/>
      <c r="K70" s="221" t="e">
        <f t="shared" si="8"/>
        <v>#DIV/0!</v>
      </c>
      <c r="L70" s="221" t="e">
        <f t="shared" si="13"/>
        <v>#DIV/0!</v>
      </c>
      <c r="M70" s="222" t="e">
        <f t="shared" si="12"/>
        <v>#DIV/0!</v>
      </c>
    </row>
    <row r="71" spans="2:13" ht="15" hidden="1" outlineLevel="1" thickBot="1">
      <c r="B71" s="231"/>
      <c r="C71" s="220"/>
      <c r="D71" s="221" t="e">
        <f t="shared" si="9"/>
        <v>#DIV/0!</v>
      </c>
      <c r="E71" s="221" t="e">
        <f t="shared" si="10"/>
        <v>#DIV/0!</v>
      </c>
      <c r="F71" s="222" t="e">
        <f t="shared" si="7"/>
        <v>#DIV/0!</v>
      </c>
      <c r="G71" s="222" t="e">
        <f t="shared" si="11"/>
        <v>#N/A</v>
      </c>
      <c r="I71" s="231"/>
      <c r="J71" s="220"/>
      <c r="K71" s="221" t="e">
        <f t="shared" si="8"/>
        <v>#DIV/0!</v>
      </c>
      <c r="L71" s="221" t="e">
        <f t="shared" si="13"/>
        <v>#DIV/0!</v>
      </c>
      <c r="M71" s="222" t="e">
        <f t="shared" si="12"/>
        <v>#DIV/0!</v>
      </c>
    </row>
    <row r="72" spans="2:13" ht="15" hidden="1" outlineLevel="1" thickBot="1">
      <c r="B72" s="231"/>
      <c r="C72" s="220"/>
      <c r="D72" s="221" t="e">
        <f t="shared" si="9"/>
        <v>#DIV/0!</v>
      </c>
      <c r="E72" s="221" t="e">
        <f t="shared" si="10"/>
        <v>#DIV/0!</v>
      </c>
      <c r="F72" s="222" t="e">
        <f t="shared" si="7"/>
        <v>#DIV/0!</v>
      </c>
      <c r="G72" s="222" t="e">
        <f t="shared" si="11"/>
        <v>#N/A</v>
      </c>
      <c r="I72" s="231"/>
      <c r="J72" s="220"/>
      <c r="K72" s="221" t="e">
        <f t="shared" si="8"/>
        <v>#DIV/0!</v>
      </c>
      <c r="L72" s="221" t="e">
        <f t="shared" si="13"/>
        <v>#DIV/0!</v>
      </c>
      <c r="M72" s="222" t="e">
        <f t="shared" si="12"/>
        <v>#DIV/0!</v>
      </c>
    </row>
    <row r="73" spans="2:13" hidden="1" outlineLevel="1">
      <c r="C73" s="227">
        <f>SUM(C21:C72)</f>
        <v>0</v>
      </c>
      <c r="D73" s="232" t="e">
        <f>SUM(D21:D72)</f>
        <v>#DIV/0!</v>
      </c>
      <c r="J73" s="227">
        <f>SUM(J21:J72)</f>
        <v>0</v>
      </c>
      <c r="K73" s="232" t="e">
        <f>SUM(K21:K72)</f>
        <v>#DIV/0!</v>
      </c>
      <c r="L73" s="232"/>
    </row>
    <row r="74" spans="2:13" collapsed="1"/>
  </sheetData>
  <sortState xmlns:xlrd2="http://schemas.microsoft.com/office/spreadsheetml/2017/richdata2" ref="B4:C16">
    <sortCondition descending="1" ref="C4:C16"/>
  </sortState>
  <mergeCells count="2">
    <mergeCell ref="B2:M2"/>
    <mergeCell ref="B19:M19"/>
  </mergeCells>
  <conditionalFormatting sqref="M21:M72 K21:K72 D21:D72 G4:G16 D4:D16 K4:K16 M4:M16">
    <cfRule type="cellIs" dxfId="90" priority="10" operator="equal">
      <formula>"C"</formula>
    </cfRule>
    <cfRule type="cellIs" dxfId="89" priority="11" operator="equal">
      <formula>"B"</formula>
    </cfRule>
    <cfRule type="cellIs" dxfId="88" priority="12" operator="equal">
      <formula>"A"</formula>
    </cfRule>
  </conditionalFormatting>
  <conditionalFormatting sqref="G21:G72">
    <cfRule type="cellIs" dxfId="87" priority="7" operator="equal">
      <formula>"C"</formula>
    </cfRule>
    <cfRule type="cellIs" dxfId="86" priority="8" operator="equal">
      <formula>"B"</formula>
    </cfRule>
    <cfRule type="cellIs" dxfId="85" priority="9" operator="equal">
      <formula>"A"</formula>
    </cfRule>
  </conditionalFormatting>
  <conditionalFormatting sqref="F4:F16">
    <cfRule type="cellIs" dxfId="84" priority="4" operator="equal">
      <formula>"C"</formula>
    </cfRule>
    <cfRule type="cellIs" dxfId="83" priority="5" operator="equal">
      <formula>"B"</formula>
    </cfRule>
    <cfRule type="cellIs" dxfId="82" priority="6" operator="equal">
      <formula>"A"</formula>
    </cfRule>
  </conditionalFormatting>
  <conditionalFormatting sqref="F21:F72">
    <cfRule type="cellIs" dxfId="81" priority="1" operator="equal">
      <formula>"C"</formula>
    </cfRule>
    <cfRule type="cellIs" dxfId="80" priority="2" operator="equal">
      <formula>"B"</formula>
    </cfRule>
    <cfRule type="cellIs" dxfId="79" priority="3" operator="equal">
      <formula>"A"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B3256-25B9-48E8-A41F-2629B6D9EA19}">
  <dimension ref="B1:Q74"/>
  <sheetViews>
    <sheetView zoomScale="80" zoomScaleNormal="80" workbookViewId="0">
      <selection activeCell="C4" sqref="C4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337" t="s">
        <v>112</v>
      </c>
      <c r="C2" s="338"/>
      <c r="D2" s="338"/>
      <c r="E2" s="338"/>
      <c r="F2" s="338"/>
      <c r="G2" s="338"/>
      <c r="H2" s="338"/>
      <c r="I2" s="338"/>
      <c r="J2" s="338"/>
      <c r="K2" s="338"/>
      <c r="L2" s="338"/>
      <c r="M2" s="339"/>
    </row>
    <row r="3" spans="2:17" ht="28.5" customHeight="1" outlineLevel="1" thickBot="1">
      <c r="C3" s="216" t="s">
        <v>11</v>
      </c>
      <c r="D3" s="217" t="s">
        <v>113</v>
      </c>
      <c r="E3" s="218" t="s">
        <v>114</v>
      </c>
      <c r="F3" s="217" t="s">
        <v>115</v>
      </c>
      <c r="G3" s="217" t="s">
        <v>116</v>
      </c>
      <c r="J3" s="216" t="s">
        <v>117</v>
      </c>
      <c r="K3" s="217" t="s">
        <v>118</v>
      </c>
      <c r="L3" s="218" t="s">
        <v>114</v>
      </c>
      <c r="M3" s="219" t="s">
        <v>116</v>
      </c>
    </row>
    <row r="4" spans="2:17" ht="15" outlineLevel="1" thickBot="1">
      <c r="B4" s="115" t="s">
        <v>98</v>
      </c>
      <c r="C4" s="220">
        <f>'Юнит 3'!AL8</f>
        <v>9416.7452245858749</v>
      </c>
      <c r="D4" s="221">
        <f t="shared" ref="D4:D16" si="0">C4/C$17</f>
        <v>0.60135716417512464</v>
      </c>
      <c r="E4" s="221">
        <f>D4</f>
        <v>0.60135716417512464</v>
      </c>
      <c r="F4" s="222" t="str">
        <f>IF(AND(E4&lt;=0),"C",IF(E4&lt;=0.8,"A",IF(E4&lt;=0.95,"B","C")))</f>
        <v>A</v>
      </c>
      <c r="G4" s="222" t="str">
        <f>VLOOKUP(B$4:B$16,I$4:M$16,5,0)</f>
        <v>A</v>
      </c>
      <c r="I4" s="115" t="s">
        <v>98</v>
      </c>
      <c r="J4" s="220">
        <f>'Юнит 3'!S8</f>
        <v>22</v>
      </c>
      <c r="K4" s="221">
        <f t="shared" ref="K4:K16" si="1">J4/J$17</f>
        <v>0.45833333333333331</v>
      </c>
      <c r="L4" s="221">
        <f>K4</f>
        <v>0.45833333333333331</v>
      </c>
      <c r="M4" s="222" t="str">
        <f>_xlfn.IFS(L4&lt;80%,"A",L4&lt;=95%,"B",L4&gt;95%,"C")</f>
        <v>A</v>
      </c>
      <c r="P4" s="223" t="s">
        <v>119</v>
      </c>
      <c r="Q4" s="224">
        <v>0.8</v>
      </c>
    </row>
    <row r="5" spans="2:17" ht="15" outlineLevel="1" thickBot="1">
      <c r="B5" s="115" t="s">
        <v>92</v>
      </c>
      <c r="C5" s="220">
        <f>'Юнит 3'!AL3</f>
        <v>2756.9039463818658</v>
      </c>
      <c r="D5" s="221">
        <f t="shared" si="0"/>
        <v>0.17605700266487972</v>
      </c>
      <c r="E5" s="221">
        <f>E4+D5</f>
        <v>0.77741416684000431</v>
      </c>
      <c r="F5" s="222" t="str">
        <f t="shared" ref="F5:F16" si="2">IF(AND(E5&lt;=0),"C",IF(E5&lt;=0.8,"A",IF(E5&lt;=0.95,"B","C")))</f>
        <v>A</v>
      </c>
      <c r="G5" s="222" t="str">
        <f t="shared" ref="G5:G16" si="3">VLOOKUP(B$4:B$16,I$4:M$16,5,0)</f>
        <v>A</v>
      </c>
      <c r="I5" s="115" t="s">
        <v>92</v>
      </c>
      <c r="J5" s="220">
        <f>'Юнит 3'!S3</f>
        <v>10</v>
      </c>
      <c r="K5" s="221">
        <f t="shared" si="1"/>
        <v>0.20833333333333334</v>
      </c>
      <c r="L5" s="221">
        <f>L4+K5</f>
        <v>0.66666666666666663</v>
      </c>
      <c r="M5" s="222" t="str">
        <f t="shared" ref="M5:M16" si="4">_xlfn.IFS(L5&lt;80%,"A",L5&lt;=95%,"B",L5&gt;95%,"C")</f>
        <v>A</v>
      </c>
      <c r="P5" s="225" t="s">
        <v>120</v>
      </c>
      <c r="Q5" s="224">
        <v>0.15</v>
      </c>
    </row>
    <row r="6" spans="2:17" ht="15" outlineLevel="1" thickBot="1">
      <c r="B6" s="115" t="s">
        <v>96</v>
      </c>
      <c r="C6" s="220">
        <f>'Юнит 3'!AL6</f>
        <v>1819.1694420226681</v>
      </c>
      <c r="D6" s="221">
        <f t="shared" si="0"/>
        <v>0.11617289739904858</v>
      </c>
      <c r="E6" s="221">
        <f t="shared" ref="E6:E16" si="5">E5+D6</f>
        <v>0.89358706423905288</v>
      </c>
      <c r="F6" s="222" t="str">
        <f t="shared" si="2"/>
        <v>B</v>
      </c>
      <c r="G6" s="222" t="str">
        <f t="shared" si="3"/>
        <v>A</v>
      </c>
      <c r="I6" s="115" t="s">
        <v>96</v>
      </c>
      <c r="J6" s="220">
        <f>'Юнит 3'!S6</f>
        <v>6</v>
      </c>
      <c r="K6" s="221">
        <f t="shared" si="1"/>
        <v>0.125</v>
      </c>
      <c r="L6" s="221">
        <f t="shared" ref="L6:L16" si="6">L5+K6</f>
        <v>0.79166666666666663</v>
      </c>
      <c r="M6" s="222" t="str">
        <f t="shared" si="4"/>
        <v>A</v>
      </c>
      <c r="P6" s="226" t="s">
        <v>121</v>
      </c>
      <c r="Q6" s="224">
        <v>0.05</v>
      </c>
    </row>
    <row r="7" spans="2:17" outlineLevel="1">
      <c r="B7" s="115" t="s">
        <v>104</v>
      </c>
      <c r="C7" s="220">
        <f>'Юнит 3'!AL14</f>
        <v>1226.3921708805576</v>
      </c>
      <c r="D7" s="221">
        <f t="shared" si="0"/>
        <v>7.831790076700737E-2</v>
      </c>
      <c r="E7" s="221">
        <f t="shared" si="5"/>
        <v>0.97190496500606027</v>
      </c>
      <c r="F7" s="222" t="str">
        <f t="shared" si="2"/>
        <v>C</v>
      </c>
      <c r="G7" s="222" t="str">
        <f t="shared" si="3"/>
        <v>B</v>
      </c>
      <c r="I7" s="115" t="s">
        <v>99</v>
      </c>
      <c r="J7" s="220">
        <f>'Юнит 3'!S9</f>
        <v>3</v>
      </c>
      <c r="K7" s="221">
        <f t="shared" si="1"/>
        <v>6.25E-2</v>
      </c>
      <c r="L7" s="221">
        <f t="shared" si="6"/>
        <v>0.85416666666666663</v>
      </c>
      <c r="M7" s="222" t="str">
        <f t="shared" si="4"/>
        <v>B</v>
      </c>
    </row>
    <row r="8" spans="2:17" outlineLevel="1">
      <c r="B8" s="115" t="s">
        <v>105</v>
      </c>
      <c r="C8" s="220">
        <f>'Юнит 3'!AL15</f>
        <v>494.45816913687889</v>
      </c>
      <c r="D8" s="221">
        <f t="shared" si="0"/>
        <v>3.1576298955083411E-2</v>
      </c>
      <c r="E8" s="221">
        <f t="shared" si="5"/>
        <v>1.0034812639611437</v>
      </c>
      <c r="F8" s="222" t="str">
        <f t="shared" si="2"/>
        <v>C</v>
      </c>
      <c r="G8" s="222" t="str">
        <f t="shared" si="3"/>
        <v>C</v>
      </c>
      <c r="I8" s="115" t="s">
        <v>104</v>
      </c>
      <c r="J8" s="220">
        <f>'Юнит 3'!S14</f>
        <v>3</v>
      </c>
      <c r="K8" s="221">
        <f t="shared" si="1"/>
        <v>6.25E-2</v>
      </c>
      <c r="L8" s="221">
        <f t="shared" si="6"/>
        <v>0.91666666666666663</v>
      </c>
      <c r="M8" s="222" t="str">
        <f t="shared" si="4"/>
        <v>B</v>
      </c>
    </row>
    <row r="9" spans="2:17" outlineLevel="1">
      <c r="B9" s="115" t="s">
        <v>103</v>
      </c>
      <c r="C9" s="220">
        <f>'Юнит 3'!AL13</f>
        <v>500.15133391455981</v>
      </c>
      <c r="D9" s="221">
        <f t="shared" si="0"/>
        <v>3.1939866763730208E-2</v>
      </c>
      <c r="E9" s="221">
        <f t="shared" si="5"/>
        <v>1.035421130724874</v>
      </c>
      <c r="F9" s="222" t="str">
        <f t="shared" si="2"/>
        <v>C</v>
      </c>
      <c r="G9" s="222" t="str">
        <f t="shared" si="3"/>
        <v>C</v>
      </c>
      <c r="I9" s="115" t="s">
        <v>95</v>
      </c>
      <c r="J9" s="220">
        <f>'Юнит 3'!S5</f>
        <v>1</v>
      </c>
      <c r="K9" s="221">
        <f t="shared" si="1"/>
        <v>2.0833333333333332E-2</v>
      </c>
      <c r="L9" s="221">
        <f t="shared" si="6"/>
        <v>0.9375</v>
      </c>
      <c r="M9" s="222" t="str">
        <f t="shared" si="4"/>
        <v>B</v>
      </c>
    </row>
    <row r="10" spans="2:17" outlineLevel="1">
      <c r="B10" s="115" t="s">
        <v>95</v>
      </c>
      <c r="C10" s="220">
        <f>'Юнит 3'!AL5</f>
        <v>470.44552746294676</v>
      </c>
      <c r="D10" s="221">
        <f t="shared" si="0"/>
        <v>3.0042841931770526E-2</v>
      </c>
      <c r="E10" s="221">
        <f t="shared" si="5"/>
        <v>1.0654639726566444</v>
      </c>
      <c r="F10" s="222" t="str">
        <f t="shared" si="2"/>
        <v>C</v>
      </c>
      <c r="G10" s="222" t="str">
        <f t="shared" si="3"/>
        <v>B</v>
      </c>
      <c r="I10" s="115" t="s">
        <v>100</v>
      </c>
      <c r="J10" s="220">
        <f>'Юнит 3'!S10</f>
        <v>1</v>
      </c>
      <c r="K10" s="221">
        <f t="shared" si="1"/>
        <v>2.0833333333333332E-2</v>
      </c>
      <c r="L10" s="221">
        <f t="shared" si="6"/>
        <v>0.95833333333333337</v>
      </c>
      <c r="M10" s="222" t="str">
        <f t="shared" si="4"/>
        <v>C</v>
      </c>
    </row>
    <row r="11" spans="2:17" outlineLevel="1">
      <c r="B11" s="115" t="s">
        <v>100</v>
      </c>
      <c r="C11" s="220">
        <f>'Юнит 3'!AL10</f>
        <v>371.88741935483876</v>
      </c>
      <c r="D11" s="221">
        <f t="shared" si="0"/>
        <v>2.3748881228276644E-2</v>
      </c>
      <c r="E11" s="221">
        <f t="shared" si="5"/>
        <v>1.0892128538849211</v>
      </c>
      <c r="F11" s="222" t="str">
        <f t="shared" si="2"/>
        <v>C</v>
      </c>
      <c r="G11" s="222" t="str">
        <f t="shared" si="3"/>
        <v>C</v>
      </c>
      <c r="I11" s="115" t="s">
        <v>103</v>
      </c>
      <c r="J11" s="220">
        <f>'Юнит 3'!S13</f>
        <v>1</v>
      </c>
      <c r="K11" s="221">
        <f t="shared" si="1"/>
        <v>2.0833333333333332E-2</v>
      </c>
      <c r="L11" s="221">
        <f t="shared" si="6"/>
        <v>0.97916666666666674</v>
      </c>
      <c r="M11" s="222" t="str">
        <f t="shared" si="4"/>
        <v>C</v>
      </c>
    </row>
    <row r="12" spans="2:17" outlineLevel="1">
      <c r="B12" s="115" t="s">
        <v>101</v>
      </c>
      <c r="C12" s="220">
        <f>'Юнит 3'!AL11</f>
        <v>-130.2933304272014</v>
      </c>
      <c r="D12" s="221">
        <f t="shared" si="0"/>
        <v>-8.320584854739986E-3</v>
      </c>
      <c r="E12" s="221">
        <f t="shared" si="5"/>
        <v>1.080892269030181</v>
      </c>
      <c r="F12" s="222" t="str">
        <f t="shared" si="2"/>
        <v>C</v>
      </c>
      <c r="G12" s="222" t="str">
        <f t="shared" si="3"/>
        <v>C</v>
      </c>
      <c r="I12" s="115" t="s">
        <v>94</v>
      </c>
      <c r="J12" s="220">
        <f>'Юнит 3'!S4</f>
        <v>0</v>
      </c>
      <c r="K12" s="221">
        <f t="shared" si="1"/>
        <v>0</v>
      </c>
      <c r="L12" s="221">
        <f t="shared" si="6"/>
        <v>0.97916666666666674</v>
      </c>
      <c r="M12" s="222" t="str">
        <f t="shared" si="4"/>
        <v>C</v>
      </c>
    </row>
    <row r="13" spans="2:17" outlineLevel="1">
      <c r="B13" s="115" t="s">
        <v>94</v>
      </c>
      <c r="C13" s="220">
        <f>'Юнит 3'!AL4</f>
        <v>-170.35839581517001</v>
      </c>
      <c r="D13" s="221">
        <f t="shared" si="0"/>
        <v>-1.0879156158261613E-2</v>
      </c>
      <c r="E13" s="221">
        <f t="shared" si="5"/>
        <v>1.0700131128719195</v>
      </c>
      <c r="F13" s="222" t="str">
        <f t="shared" si="2"/>
        <v>C</v>
      </c>
      <c r="G13" s="222" t="str">
        <f t="shared" si="3"/>
        <v>C</v>
      </c>
      <c r="I13" s="115" t="s">
        <v>97</v>
      </c>
      <c r="J13" s="220">
        <f>'Юнит 3'!S7</f>
        <v>0</v>
      </c>
      <c r="K13" s="221">
        <f t="shared" si="1"/>
        <v>0</v>
      </c>
      <c r="L13" s="221">
        <f t="shared" si="6"/>
        <v>0.97916666666666674</v>
      </c>
      <c r="M13" s="222" t="str">
        <f t="shared" si="4"/>
        <v>C</v>
      </c>
    </row>
    <row r="14" spans="2:17" outlineLevel="1">
      <c r="B14" s="115" t="s">
        <v>102</v>
      </c>
      <c r="C14" s="220">
        <f>'Юнит 3'!AL12</f>
        <v>-236.58049694856146</v>
      </c>
      <c r="D14" s="221">
        <f t="shared" si="0"/>
        <v>-1.5108126359061107E-2</v>
      </c>
      <c r="E14" s="221">
        <f t="shared" si="5"/>
        <v>1.0549049865128584</v>
      </c>
      <c r="F14" s="222" t="str">
        <f t="shared" si="2"/>
        <v>C</v>
      </c>
      <c r="G14" s="222" t="str">
        <f t="shared" si="3"/>
        <v>C</v>
      </c>
      <c r="I14" s="115" t="s">
        <v>101</v>
      </c>
      <c r="J14" s="220">
        <f>'Юнит 3'!S11</f>
        <v>0</v>
      </c>
      <c r="K14" s="221">
        <f t="shared" si="1"/>
        <v>0</v>
      </c>
      <c r="L14" s="221">
        <f t="shared" si="6"/>
        <v>0.97916666666666674</v>
      </c>
      <c r="M14" s="222" t="str">
        <f t="shared" si="4"/>
        <v>C</v>
      </c>
    </row>
    <row r="15" spans="2:17" outlineLevel="1">
      <c r="B15" s="115" t="s">
        <v>97</v>
      </c>
      <c r="C15" s="220">
        <f>'Юнит 3'!AL7</f>
        <v>-293.38406277244985</v>
      </c>
      <c r="D15" s="221">
        <f t="shared" si="0"/>
        <v>-1.8735625080137611E-2</v>
      </c>
      <c r="E15" s="221">
        <f t="shared" si="5"/>
        <v>1.0361693614327208</v>
      </c>
      <c r="F15" s="222" t="str">
        <f t="shared" si="2"/>
        <v>C</v>
      </c>
      <c r="G15" s="222" t="str">
        <f t="shared" si="3"/>
        <v>C</v>
      </c>
      <c r="I15" s="115" t="s">
        <v>102</v>
      </c>
      <c r="J15" s="220">
        <f>'Юнит 3'!S12</f>
        <v>0</v>
      </c>
      <c r="K15" s="221">
        <f t="shared" si="1"/>
        <v>0</v>
      </c>
      <c r="L15" s="221">
        <f t="shared" si="6"/>
        <v>0.97916666666666674</v>
      </c>
      <c r="M15" s="222" t="str">
        <f t="shared" si="4"/>
        <v>C</v>
      </c>
    </row>
    <row r="16" spans="2:17" outlineLevel="1">
      <c r="B16" s="115" t="s">
        <v>99</v>
      </c>
      <c r="C16" s="220">
        <f>'Юнит 3'!AL9</f>
        <v>-566.38164777680902</v>
      </c>
      <c r="D16" s="221">
        <f t="shared" si="0"/>
        <v>-3.6169361432721016E-2</v>
      </c>
      <c r="E16" s="221">
        <f t="shared" si="5"/>
        <v>0.99999999999999978</v>
      </c>
      <c r="F16" s="222" t="str">
        <f t="shared" si="2"/>
        <v>C</v>
      </c>
      <c r="G16" s="222" t="str">
        <f t="shared" si="3"/>
        <v>B</v>
      </c>
      <c r="I16" s="115" t="s">
        <v>105</v>
      </c>
      <c r="J16" s="220">
        <f>'Юнит 3'!S15</f>
        <v>1</v>
      </c>
      <c r="K16" s="221">
        <f t="shared" si="1"/>
        <v>2.0833333333333332E-2</v>
      </c>
      <c r="L16" s="221">
        <f t="shared" si="6"/>
        <v>1</v>
      </c>
      <c r="M16" s="222" t="str">
        <f t="shared" si="4"/>
        <v>C</v>
      </c>
    </row>
    <row r="17" spans="2:16" outlineLevel="1">
      <c r="C17" s="227">
        <f>SUM(C4:C16)</f>
        <v>15659.155300000002</v>
      </c>
      <c r="D17" s="228">
        <f>SUM(D4:D16)</f>
        <v>0.99999999999999978</v>
      </c>
      <c r="J17" s="227">
        <f>SUM(J4:J16)</f>
        <v>48</v>
      </c>
      <c r="K17" s="228">
        <f>SUM(K4:K16)</f>
        <v>1</v>
      </c>
    </row>
    <row r="19" spans="2:16" ht="16" hidden="1" outlineLevel="1" thickBot="1">
      <c r="B19" s="340"/>
      <c r="C19" s="341"/>
      <c r="D19" s="341"/>
      <c r="E19" s="341"/>
      <c r="F19" s="341"/>
      <c r="G19" s="341"/>
      <c r="H19" s="341"/>
      <c r="I19" s="341"/>
      <c r="J19" s="341"/>
      <c r="K19" s="341"/>
      <c r="L19" s="341"/>
      <c r="M19" s="342"/>
      <c r="O19" s="229"/>
      <c r="P19" s="229"/>
    </row>
    <row r="20" spans="2:16" ht="23.5" hidden="1" outlineLevel="1" thickBot="1">
      <c r="C20" s="216" t="s">
        <v>11</v>
      </c>
      <c r="D20" s="217" t="s">
        <v>113</v>
      </c>
      <c r="E20" s="218" t="s">
        <v>114</v>
      </c>
      <c r="F20" s="230" t="s">
        <v>115</v>
      </c>
      <c r="G20" s="217" t="s">
        <v>116</v>
      </c>
      <c r="J20" s="216" t="s">
        <v>117</v>
      </c>
      <c r="K20" s="217" t="s">
        <v>118</v>
      </c>
      <c r="L20" s="218" t="s">
        <v>114</v>
      </c>
      <c r="M20" s="219" t="s">
        <v>116</v>
      </c>
    </row>
    <row r="21" spans="2:16" ht="15" hidden="1" outlineLevel="1" thickBot="1">
      <c r="B21" s="231"/>
      <c r="C21" s="220"/>
      <c r="D21" s="221" t="e">
        <f>C21/C$73</f>
        <v>#DIV/0!</v>
      </c>
      <c r="E21" s="221" t="e">
        <f>D21</f>
        <v>#DIV/0!</v>
      </c>
      <c r="F21" s="222" t="e">
        <f t="shared" ref="F21:F72" si="7">IF(AND(E21&lt;=0),"C",IF(E21&lt;=0.8,"A",IF(E21&lt;=0.95,"B","C")))</f>
        <v>#DIV/0!</v>
      </c>
      <c r="G21" s="222" t="e">
        <f>VLOOKUP(B21:B72,I$21:M$72,5,0)</f>
        <v>#N/A</v>
      </c>
      <c r="I21" s="231"/>
      <c r="J21" s="220"/>
      <c r="K21" s="221" t="e">
        <f t="shared" ref="K21:K72" si="8">J21/J$73</f>
        <v>#DIV/0!</v>
      </c>
      <c r="L21" s="221" t="e">
        <f>K21</f>
        <v>#DIV/0!</v>
      </c>
      <c r="M21" s="222" t="e">
        <f>_xlfn.IFS(L21&lt;80%,"A",L21&lt;=95%,"B",L21&gt;95%,"C")</f>
        <v>#DIV/0!</v>
      </c>
    </row>
    <row r="22" spans="2:16" ht="15" hidden="1" outlineLevel="1" thickBot="1">
      <c r="B22" s="231"/>
      <c r="C22" s="220"/>
      <c r="D22" s="221" t="e">
        <f t="shared" ref="D22:D72" si="9">C22/C$73</f>
        <v>#DIV/0!</v>
      </c>
      <c r="E22" s="221" t="e">
        <f t="shared" ref="E22:E72" si="10">D22+E21</f>
        <v>#DIV/0!</v>
      </c>
      <c r="F22" s="222" t="e">
        <f t="shared" si="7"/>
        <v>#DIV/0!</v>
      </c>
      <c r="G22" s="222" t="e">
        <f t="shared" ref="G22:G72" si="11">VLOOKUP(B22:B73,I$21:M$72,5,0)</f>
        <v>#N/A</v>
      </c>
      <c r="I22" s="231"/>
      <c r="J22" s="220"/>
      <c r="K22" s="221" t="e">
        <f t="shared" si="8"/>
        <v>#DIV/0!</v>
      </c>
      <c r="L22" s="221" t="e">
        <f>K22+L21</f>
        <v>#DIV/0!</v>
      </c>
      <c r="M22" s="222" t="e">
        <f t="shared" ref="M22:M72" si="12">_xlfn.IFS(L22&lt;80%,"A",L22&lt;=95%,"B",L22&gt;95%,"C")</f>
        <v>#DIV/0!</v>
      </c>
    </row>
    <row r="23" spans="2:16" ht="15" hidden="1" outlineLevel="1" thickBot="1">
      <c r="B23" s="231"/>
      <c r="C23" s="220"/>
      <c r="D23" s="221" t="e">
        <f t="shared" si="9"/>
        <v>#DIV/0!</v>
      </c>
      <c r="E23" s="221" t="e">
        <f t="shared" si="10"/>
        <v>#DIV/0!</v>
      </c>
      <c r="F23" s="222" t="e">
        <f t="shared" si="7"/>
        <v>#DIV/0!</v>
      </c>
      <c r="G23" s="222" t="e">
        <f t="shared" si="11"/>
        <v>#N/A</v>
      </c>
      <c r="I23" s="231"/>
      <c r="J23" s="220"/>
      <c r="K23" s="221" t="e">
        <f t="shared" si="8"/>
        <v>#DIV/0!</v>
      </c>
      <c r="L23" s="221" t="e">
        <f t="shared" ref="L23:L72" si="13">K23+L22</f>
        <v>#DIV/0!</v>
      </c>
      <c r="M23" s="222" t="e">
        <f t="shared" si="12"/>
        <v>#DIV/0!</v>
      </c>
    </row>
    <row r="24" spans="2:16" ht="15" hidden="1" outlineLevel="1" thickBot="1">
      <c r="B24" s="231"/>
      <c r="C24" s="220"/>
      <c r="D24" s="221" t="e">
        <f t="shared" si="9"/>
        <v>#DIV/0!</v>
      </c>
      <c r="E24" s="221" t="e">
        <f t="shared" si="10"/>
        <v>#DIV/0!</v>
      </c>
      <c r="F24" s="222" t="e">
        <f t="shared" si="7"/>
        <v>#DIV/0!</v>
      </c>
      <c r="G24" s="222" t="e">
        <f t="shared" si="11"/>
        <v>#N/A</v>
      </c>
      <c r="I24" s="231"/>
      <c r="J24" s="220"/>
      <c r="K24" s="221" t="e">
        <f t="shared" si="8"/>
        <v>#DIV/0!</v>
      </c>
      <c r="L24" s="221" t="e">
        <f t="shared" si="13"/>
        <v>#DIV/0!</v>
      </c>
      <c r="M24" s="222" t="e">
        <f t="shared" si="12"/>
        <v>#DIV/0!</v>
      </c>
    </row>
    <row r="25" spans="2:16" ht="15" hidden="1" outlineLevel="1" thickBot="1">
      <c r="B25" s="231"/>
      <c r="C25" s="220"/>
      <c r="D25" s="221" t="e">
        <f t="shared" si="9"/>
        <v>#DIV/0!</v>
      </c>
      <c r="E25" s="221" t="e">
        <f t="shared" si="10"/>
        <v>#DIV/0!</v>
      </c>
      <c r="F25" s="222" t="e">
        <f t="shared" si="7"/>
        <v>#DIV/0!</v>
      </c>
      <c r="G25" s="222" t="e">
        <f t="shared" si="11"/>
        <v>#N/A</v>
      </c>
      <c r="I25" s="231"/>
      <c r="J25" s="220"/>
      <c r="K25" s="221" t="e">
        <f t="shared" si="8"/>
        <v>#DIV/0!</v>
      </c>
      <c r="L25" s="221" t="e">
        <f t="shared" si="13"/>
        <v>#DIV/0!</v>
      </c>
      <c r="M25" s="222" t="e">
        <f t="shared" si="12"/>
        <v>#DIV/0!</v>
      </c>
    </row>
    <row r="26" spans="2:16" ht="15" hidden="1" outlineLevel="1" thickBot="1">
      <c r="B26" s="231"/>
      <c r="C26" s="220"/>
      <c r="D26" s="221" t="e">
        <f t="shared" si="9"/>
        <v>#DIV/0!</v>
      </c>
      <c r="E26" s="221" t="e">
        <f t="shared" si="10"/>
        <v>#DIV/0!</v>
      </c>
      <c r="F26" s="222" t="e">
        <f t="shared" si="7"/>
        <v>#DIV/0!</v>
      </c>
      <c r="G26" s="222" t="e">
        <f t="shared" si="11"/>
        <v>#N/A</v>
      </c>
      <c r="I26" s="231"/>
      <c r="J26" s="220"/>
      <c r="K26" s="221" t="e">
        <f t="shared" si="8"/>
        <v>#DIV/0!</v>
      </c>
      <c r="L26" s="221" t="e">
        <f t="shared" si="13"/>
        <v>#DIV/0!</v>
      </c>
      <c r="M26" s="222" t="e">
        <f t="shared" si="12"/>
        <v>#DIV/0!</v>
      </c>
    </row>
    <row r="27" spans="2:16" ht="15" hidden="1" outlineLevel="1" thickBot="1">
      <c r="B27" s="231"/>
      <c r="C27" s="220"/>
      <c r="D27" s="221" t="e">
        <f t="shared" si="9"/>
        <v>#DIV/0!</v>
      </c>
      <c r="E27" s="221" t="e">
        <f t="shared" si="10"/>
        <v>#DIV/0!</v>
      </c>
      <c r="F27" s="222" t="e">
        <f t="shared" si="7"/>
        <v>#DIV/0!</v>
      </c>
      <c r="G27" s="222" t="e">
        <f t="shared" si="11"/>
        <v>#N/A</v>
      </c>
      <c r="I27" s="231"/>
      <c r="J27" s="220"/>
      <c r="K27" s="221" t="e">
        <f t="shared" si="8"/>
        <v>#DIV/0!</v>
      </c>
      <c r="L27" s="221" t="e">
        <f t="shared" si="13"/>
        <v>#DIV/0!</v>
      </c>
      <c r="M27" s="222" t="e">
        <f t="shared" si="12"/>
        <v>#DIV/0!</v>
      </c>
    </row>
    <row r="28" spans="2:16" ht="15" hidden="1" outlineLevel="1" thickBot="1">
      <c r="B28" s="231"/>
      <c r="C28" s="220"/>
      <c r="D28" s="221" t="e">
        <f t="shared" si="9"/>
        <v>#DIV/0!</v>
      </c>
      <c r="E28" s="221" t="e">
        <f t="shared" si="10"/>
        <v>#DIV/0!</v>
      </c>
      <c r="F28" s="222" t="e">
        <f t="shared" si="7"/>
        <v>#DIV/0!</v>
      </c>
      <c r="G28" s="222" t="e">
        <f t="shared" si="11"/>
        <v>#N/A</v>
      </c>
      <c r="I28" s="231"/>
      <c r="J28" s="220"/>
      <c r="K28" s="221" t="e">
        <f t="shared" si="8"/>
        <v>#DIV/0!</v>
      </c>
      <c r="L28" s="221" t="e">
        <f t="shared" si="13"/>
        <v>#DIV/0!</v>
      </c>
      <c r="M28" s="222" t="e">
        <f t="shared" si="12"/>
        <v>#DIV/0!</v>
      </c>
    </row>
    <row r="29" spans="2:16" ht="15" hidden="1" outlineLevel="1" thickBot="1">
      <c r="B29" s="231"/>
      <c r="C29" s="220"/>
      <c r="D29" s="221" t="e">
        <f t="shared" si="9"/>
        <v>#DIV/0!</v>
      </c>
      <c r="E29" s="221" t="e">
        <f t="shared" si="10"/>
        <v>#DIV/0!</v>
      </c>
      <c r="F29" s="222" t="e">
        <f t="shared" si="7"/>
        <v>#DIV/0!</v>
      </c>
      <c r="G29" s="222" t="e">
        <f t="shared" si="11"/>
        <v>#N/A</v>
      </c>
      <c r="I29" s="231"/>
      <c r="J29" s="220"/>
      <c r="K29" s="221" t="e">
        <f t="shared" si="8"/>
        <v>#DIV/0!</v>
      </c>
      <c r="L29" s="221" t="e">
        <f t="shared" si="13"/>
        <v>#DIV/0!</v>
      </c>
      <c r="M29" s="222" t="e">
        <f t="shared" si="12"/>
        <v>#DIV/0!</v>
      </c>
    </row>
    <row r="30" spans="2:16" ht="15" hidden="1" outlineLevel="1" thickBot="1">
      <c r="B30" s="231"/>
      <c r="C30" s="220"/>
      <c r="D30" s="221" t="e">
        <f t="shared" si="9"/>
        <v>#DIV/0!</v>
      </c>
      <c r="E30" s="221" t="e">
        <f t="shared" si="10"/>
        <v>#DIV/0!</v>
      </c>
      <c r="F30" s="222" t="e">
        <f t="shared" si="7"/>
        <v>#DIV/0!</v>
      </c>
      <c r="G30" s="222" t="e">
        <f t="shared" si="11"/>
        <v>#N/A</v>
      </c>
      <c r="I30" s="231"/>
      <c r="J30" s="220"/>
      <c r="K30" s="221" t="e">
        <f t="shared" si="8"/>
        <v>#DIV/0!</v>
      </c>
      <c r="L30" s="221" t="e">
        <f t="shared" si="13"/>
        <v>#DIV/0!</v>
      </c>
      <c r="M30" s="222" t="e">
        <f t="shared" si="12"/>
        <v>#DIV/0!</v>
      </c>
    </row>
    <row r="31" spans="2:16" ht="15" hidden="1" outlineLevel="1" thickBot="1">
      <c r="B31" s="231"/>
      <c r="C31" s="220"/>
      <c r="D31" s="221" t="e">
        <f t="shared" si="9"/>
        <v>#DIV/0!</v>
      </c>
      <c r="E31" s="221" t="e">
        <f t="shared" si="10"/>
        <v>#DIV/0!</v>
      </c>
      <c r="F31" s="222" t="e">
        <f t="shared" si="7"/>
        <v>#DIV/0!</v>
      </c>
      <c r="G31" s="222" t="e">
        <f t="shared" si="11"/>
        <v>#N/A</v>
      </c>
      <c r="I31" s="231"/>
      <c r="J31" s="220"/>
      <c r="K31" s="221" t="e">
        <f t="shared" si="8"/>
        <v>#DIV/0!</v>
      </c>
      <c r="L31" s="221" t="e">
        <f t="shared" si="13"/>
        <v>#DIV/0!</v>
      </c>
      <c r="M31" s="222" t="e">
        <f t="shared" si="12"/>
        <v>#DIV/0!</v>
      </c>
    </row>
    <row r="32" spans="2:16" ht="15" hidden="1" outlineLevel="1" thickBot="1">
      <c r="B32" s="231"/>
      <c r="C32" s="220"/>
      <c r="D32" s="221" t="e">
        <f t="shared" si="9"/>
        <v>#DIV/0!</v>
      </c>
      <c r="E32" s="221" t="e">
        <f t="shared" si="10"/>
        <v>#DIV/0!</v>
      </c>
      <c r="F32" s="222" t="e">
        <f t="shared" si="7"/>
        <v>#DIV/0!</v>
      </c>
      <c r="G32" s="222" t="e">
        <f t="shared" si="11"/>
        <v>#N/A</v>
      </c>
      <c r="I32" s="231"/>
      <c r="J32" s="220"/>
      <c r="K32" s="221" t="e">
        <f t="shared" si="8"/>
        <v>#DIV/0!</v>
      </c>
      <c r="L32" s="221" t="e">
        <f t="shared" si="13"/>
        <v>#DIV/0!</v>
      </c>
      <c r="M32" s="222" t="e">
        <f t="shared" si="12"/>
        <v>#DIV/0!</v>
      </c>
    </row>
    <row r="33" spans="2:13" ht="15" hidden="1" outlineLevel="1" thickBot="1">
      <c r="B33" s="231"/>
      <c r="C33" s="220"/>
      <c r="D33" s="221" t="e">
        <f t="shared" si="9"/>
        <v>#DIV/0!</v>
      </c>
      <c r="E33" s="221" t="e">
        <f t="shared" si="10"/>
        <v>#DIV/0!</v>
      </c>
      <c r="F33" s="222" t="e">
        <f t="shared" si="7"/>
        <v>#DIV/0!</v>
      </c>
      <c r="G33" s="222" t="e">
        <f t="shared" si="11"/>
        <v>#N/A</v>
      </c>
      <c r="I33" s="231"/>
      <c r="J33" s="220"/>
      <c r="K33" s="221" t="e">
        <f t="shared" si="8"/>
        <v>#DIV/0!</v>
      </c>
      <c r="L33" s="221" t="e">
        <f t="shared" si="13"/>
        <v>#DIV/0!</v>
      </c>
      <c r="M33" s="222" t="e">
        <f t="shared" si="12"/>
        <v>#DIV/0!</v>
      </c>
    </row>
    <row r="34" spans="2:13" ht="15" hidden="1" outlineLevel="1" thickBot="1">
      <c r="B34" s="231"/>
      <c r="C34" s="220"/>
      <c r="D34" s="221" t="e">
        <f t="shared" si="9"/>
        <v>#DIV/0!</v>
      </c>
      <c r="E34" s="221" t="e">
        <f t="shared" si="10"/>
        <v>#DIV/0!</v>
      </c>
      <c r="F34" s="222" t="e">
        <f t="shared" si="7"/>
        <v>#DIV/0!</v>
      </c>
      <c r="G34" s="222" t="e">
        <f t="shared" si="11"/>
        <v>#N/A</v>
      </c>
      <c r="I34" s="231"/>
      <c r="J34" s="220"/>
      <c r="K34" s="221" t="e">
        <f t="shared" si="8"/>
        <v>#DIV/0!</v>
      </c>
      <c r="L34" s="221" t="e">
        <f t="shared" si="13"/>
        <v>#DIV/0!</v>
      </c>
      <c r="M34" s="222" t="e">
        <f t="shared" si="12"/>
        <v>#DIV/0!</v>
      </c>
    </row>
    <row r="35" spans="2:13" ht="15" hidden="1" outlineLevel="1" thickBot="1">
      <c r="B35" s="231"/>
      <c r="C35" s="220"/>
      <c r="D35" s="221" t="e">
        <f t="shared" si="9"/>
        <v>#DIV/0!</v>
      </c>
      <c r="E35" s="221" t="e">
        <f t="shared" si="10"/>
        <v>#DIV/0!</v>
      </c>
      <c r="F35" s="222" t="e">
        <f t="shared" si="7"/>
        <v>#DIV/0!</v>
      </c>
      <c r="G35" s="222" t="e">
        <f t="shared" si="11"/>
        <v>#N/A</v>
      </c>
      <c r="I35" s="231"/>
      <c r="J35" s="220"/>
      <c r="K35" s="221" t="e">
        <f t="shared" si="8"/>
        <v>#DIV/0!</v>
      </c>
      <c r="L35" s="221" t="e">
        <f t="shared" si="13"/>
        <v>#DIV/0!</v>
      </c>
      <c r="M35" s="222" t="e">
        <f t="shared" si="12"/>
        <v>#DIV/0!</v>
      </c>
    </row>
    <row r="36" spans="2:13" ht="15" hidden="1" outlineLevel="1" thickBot="1">
      <c r="B36" s="231"/>
      <c r="C36" s="220"/>
      <c r="D36" s="221" t="e">
        <f t="shared" si="9"/>
        <v>#DIV/0!</v>
      </c>
      <c r="E36" s="221" t="e">
        <f t="shared" si="10"/>
        <v>#DIV/0!</v>
      </c>
      <c r="F36" s="222" t="e">
        <f t="shared" si="7"/>
        <v>#DIV/0!</v>
      </c>
      <c r="G36" s="222" t="e">
        <f t="shared" si="11"/>
        <v>#N/A</v>
      </c>
      <c r="I36" s="231"/>
      <c r="J36" s="220"/>
      <c r="K36" s="221" t="e">
        <f t="shared" si="8"/>
        <v>#DIV/0!</v>
      </c>
      <c r="L36" s="221" t="e">
        <f t="shared" si="13"/>
        <v>#DIV/0!</v>
      </c>
      <c r="M36" s="222" t="e">
        <f t="shared" si="12"/>
        <v>#DIV/0!</v>
      </c>
    </row>
    <row r="37" spans="2:13" ht="15" hidden="1" outlineLevel="1" thickBot="1">
      <c r="B37" s="231"/>
      <c r="C37" s="220"/>
      <c r="D37" s="221" t="e">
        <f t="shared" si="9"/>
        <v>#DIV/0!</v>
      </c>
      <c r="E37" s="221" t="e">
        <f t="shared" si="10"/>
        <v>#DIV/0!</v>
      </c>
      <c r="F37" s="222" t="e">
        <f t="shared" si="7"/>
        <v>#DIV/0!</v>
      </c>
      <c r="G37" s="222" t="e">
        <f t="shared" si="11"/>
        <v>#N/A</v>
      </c>
      <c r="I37" s="231"/>
      <c r="J37" s="220"/>
      <c r="K37" s="221" t="e">
        <f t="shared" si="8"/>
        <v>#DIV/0!</v>
      </c>
      <c r="L37" s="221" t="e">
        <f t="shared" si="13"/>
        <v>#DIV/0!</v>
      </c>
      <c r="M37" s="222" t="e">
        <f t="shared" si="12"/>
        <v>#DIV/0!</v>
      </c>
    </row>
    <row r="38" spans="2:13" ht="15" hidden="1" outlineLevel="1" thickBot="1">
      <c r="B38" s="231"/>
      <c r="C38" s="220"/>
      <c r="D38" s="221" t="e">
        <f t="shared" si="9"/>
        <v>#DIV/0!</v>
      </c>
      <c r="E38" s="221" t="e">
        <f t="shared" si="10"/>
        <v>#DIV/0!</v>
      </c>
      <c r="F38" s="222" t="e">
        <f t="shared" si="7"/>
        <v>#DIV/0!</v>
      </c>
      <c r="G38" s="222" t="e">
        <f t="shared" si="11"/>
        <v>#N/A</v>
      </c>
      <c r="I38" s="231"/>
      <c r="J38" s="220"/>
      <c r="K38" s="221" t="e">
        <f t="shared" si="8"/>
        <v>#DIV/0!</v>
      </c>
      <c r="L38" s="221" t="e">
        <f t="shared" si="13"/>
        <v>#DIV/0!</v>
      </c>
      <c r="M38" s="222" t="e">
        <f t="shared" si="12"/>
        <v>#DIV/0!</v>
      </c>
    </row>
    <row r="39" spans="2:13" ht="15" hidden="1" outlineLevel="1" thickBot="1">
      <c r="B39" s="231"/>
      <c r="C39" s="220"/>
      <c r="D39" s="221" t="e">
        <f t="shared" si="9"/>
        <v>#DIV/0!</v>
      </c>
      <c r="E39" s="221" t="e">
        <f t="shared" si="10"/>
        <v>#DIV/0!</v>
      </c>
      <c r="F39" s="222" t="e">
        <f t="shared" si="7"/>
        <v>#DIV/0!</v>
      </c>
      <c r="G39" s="222" t="e">
        <f t="shared" si="11"/>
        <v>#N/A</v>
      </c>
      <c r="I39" s="231"/>
      <c r="J39" s="220"/>
      <c r="K39" s="221" t="e">
        <f t="shared" si="8"/>
        <v>#DIV/0!</v>
      </c>
      <c r="L39" s="221" t="e">
        <f t="shared" si="13"/>
        <v>#DIV/0!</v>
      </c>
      <c r="M39" s="222" t="e">
        <f t="shared" si="12"/>
        <v>#DIV/0!</v>
      </c>
    </row>
    <row r="40" spans="2:13" ht="15" hidden="1" outlineLevel="1" thickBot="1">
      <c r="B40" s="231"/>
      <c r="C40" s="220"/>
      <c r="D40" s="221" t="e">
        <f t="shared" si="9"/>
        <v>#DIV/0!</v>
      </c>
      <c r="E40" s="221" t="e">
        <f t="shared" si="10"/>
        <v>#DIV/0!</v>
      </c>
      <c r="F40" s="222" t="e">
        <f t="shared" si="7"/>
        <v>#DIV/0!</v>
      </c>
      <c r="G40" s="222" t="e">
        <f t="shared" si="11"/>
        <v>#N/A</v>
      </c>
      <c r="I40" s="231"/>
      <c r="J40" s="220"/>
      <c r="K40" s="221" t="e">
        <f t="shared" si="8"/>
        <v>#DIV/0!</v>
      </c>
      <c r="L40" s="221" t="e">
        <f t="shared" si="13"/>
        <v>#DIV/0!</v>
      </c>
      <c r="M40" s="222" t="e">
        <f t="shared" si="12"/>
        <v>#DIV/0!</v>
      </c>
    </row>
    <row r="41" spans="2:13" ht="15" hidden="1" outlineLevel="1" thickBot="1">
      <c r="B41" s="231"/>
      <c r="C41" s="220"/>
      <c r="D41" s="221" t="e">
        <f t="shared" si="9"/>
        <v>#DIV/0!</v>
      </c>
      <c r="E41" s="221" t="e">
        <f t="shared" si="10"/>
        <v>#DIV/0!</v>
      </c>
      <c r="F41" s="222" t="e">
        <f t="shared" si="7"/>
        <v>#DIV/0!</v>
      </c>
      <c r="G41" s="222" t="e">
        <f t="shared" si="11"/>
        <v>#N/A</v>
      </c>
      <c r="I41" s="231"/>
      <c r="J41" s="220"/>
      <c r="K41" s="221" t="e">
        <f t="shared" si="8"/>
        <v>#DIV/0!</v>
      </c>
      <c r="L41" s="221" t="e">
        <f t="shared" si="13"/>
        <v>#DIV/0!</v>
      </c>
      <c r="M41" s="222" t="e">
        <f t="shared" si="12"/>
        <v>#DIV/0!</v>
      </c>
    </row>
    <row r="42" spans="2:13" ht="15" hidden="1" outlineLevel="1" thickBot="1">
      <c r="B42" s="231"/>
      <c r="C42" s="220"/>
      <c r="D42" s="221" t="e">
        <f t="shared" si="9"/>
        <v>#DIV/0!</v>
      </c>
      <c r="E42" s="221" t="e">
        <f t="shared" si="10"/>
        <v>#DIV/0!</v>
      </c>
      <c r="F42" s="222" t="e">
        <f t="shared" si="7"/>
        <v>#DIV/0!</v>
      </c>
      <c r="G42" s="222" t="e">
        <f t="shared" si="11"/>
        <v>#N/A</v>
      </c>
      <c r="I42" s="231"/>
      <c r="J42" s="220"/>
      <c r="K42" s="221" t="e">
        <f t="shared" si="8"/>
        <v>#DIV/0!</v>
      </c>
      <c r="L42" s="221" t="e">
        <f t="shared" si="13"/>
        <v>#DIV/0!</v>
      </c>
      <c r="M42" s="222" t="e">
        <f t="shared" si="12"/>
        <v>#DIV/0!</v>
      </c>
    </row>
    <row r="43" spans="2:13" ht="15" hidden="1" outlineLevel="1" thickBot="1">
      <c r="B43" s="231"/>
      <c r="C43" s="220"/>
      <c r="D43" s="221" t="e">
        <f t="shared" si="9"/>
        <v>#DIV/0!</v>
      </c>
      <c r="E43" s="221" t="e">
        <f t="shared" si="10"/>
        <v>#DIV/0!</v>
      </c>
      <c r="F43" s="222" t="e">
        <f t="shared" si="7"/>
        <v>#DIV/0!</v>
      </c>
      <c r="G43" s="222" t="e">
        <f t="shared" si="11"/>
        <v>#N/A</v>
      </c>
      <c r="I43" s="231"/>
      <c r="J43" s="220"/>
      <c r="K43" s="221" t="e">
        <f t="shared" si="8"/>
        <v>#DIV/0!</v>
      </c>
      <c r="L43" s="221" t="e">
        <f t="shared" si="13"/>
        <v>#DIV/0!</v>
      </c>
      <c r="M43" s="222" t="e">
        <f t="shared" si="12"/>
        <v>#DIV/0!</v>
      </c>
    </row>
    <row r="44" spans="2:13" ht="15" hidden="1" outlineLevel="1" thickBot="1">
      <c r="B44" s="231"/>
      <c r="C44" s="220"/>
      <c r="D44" s="221" t="e">
        <f t="shared" si="9"/>
        <v>#DIV/0!</v>
      </c>
      <c r="E44" s="221" t="e">
        <f t="shared" si="10"/>
        <v>#DIV/0!</v>
      </c>
      <c r="F44" s="222" t="e">
        <f t="shared" si="7"/>
        <v>#DIV/0!</v>
      </c>
      <c r="G44" s="222" t="e">
        <f t="shared" si="11"/>
        <v>#N/A</v>
      </c>
      <c r="I44" s="231"/>
      <c r="J44" s="220"/>
      <c r="K44" s="221" t="e">
        <f t="shared" si="8"/>
        <v>#DIV/0!</v>
      </c>
      <c r="L44" s="221" t="e">
        <f t="shared" si="13"/>
        <v>#DIV/0!</v>
      </c>
      <c r="M44" s="222" t="e">
        <f t="shared" si="12"/>
        <v>#DIV/0!</v>
      </c>
    </row>
    <row r="45" spans="2:13" ht="15" hidden="1" outlineLevel="1" thickBot="1">
      <c r="B45" s="231"/>
      <c r="C45" s="220"/>
      <c r="D45" s="221" t="e">
        <f t="shared" si="9"/>
        <v>#DIV/0!</v>
      </c>
      <c r="E45" s="221" t="e">
        <f t="shared" si="10"/>
        <v>#DIV/0!</v>
      </c>
      <c r="F45" s="222" t="e">
        <f t="shared" si="7"/>
        <v>#DIV/0!</v>
      </c>
      <c r="G45" s="222" t="e">
        <f t="shared" si="11"/>
        <v>#N/A</v>
      </c>
      <c r="I45" s="231"/>
      <c r="J45" s="220"/>
      <c r="K45" s="221" t="e">
        <f t="shared" si="8"/>
        <v>#DIV/0!</v>
      </c>
      <c r="L45" s="221" t="e">
        <f t="shared" si="13"/>
        <v>#DIV/0!</v>
      </c>
      <c r="M45" s="222" t="e">
        <f t="shared" si="12"/>
        <v>#DIV/0!</v>
      </c>
    </row>
    <row r="46" spans="2:13" ht="15" hidden="1" outlineLevel="1" thickBot="1">
      <c r="B46" s="231"/>
      <c r="C46" s="220"/>
      <c r="D46" s="221" t="e">
        <f t="shared" si="9"/>
        <v>#DIV/0!</v>
      </c>
      <c r="E46" s="221" t="e">
        <f t="shared" si="10"/>
        <v>#DIV/0!</v>
      </c>
      <c r="F46" s="222" t="e">
        <f t="shared" si="7"/>
        <v>#DIV/0!</v>
      </c>
      <c r="G46" s="222" t="e">
        <f t="shared" si="11"/>
        <v>#N/A</v>
      </c>
      <c r="I46" s="231"/>
      <c r="J46" s="220"/>
      <c r="K46" s="221" t="e">
        <f t="shared" si="8"/>
        <v>#DIV/0!</v>
      </c>
      <c r="L46" s="221" t="e">
        <f t="shared" si="13"/>
        <v>#DIV/0!</v>
      </c>
      <c r="M46" s="222" t="e">
        <f t="shared" si="12"/>
        <v>#DIV/0!</v>
      </c>
    </row>
    <row r="47" spans="2:13" ht="15" hidden="1" outlineLevel="1" thickBot="1">
      <c r="B47" s="231"/>
      <c r="C47" s="220"/>
      <c r="D47" s="221" t="e">
        <f t="shared" si="9"/>
        <v>#DIV/0!</v>
      </c>
      <c r="E47" s="221" t="e">
        <f t="shared" si="10"/>
        <v>#DIV/0!</v>
      </c>
      <c r="F47" s="222" t="e">
        <f t="shared" si="7"/>
        <v>#DIV/0!</v>
      </c>
      <c r="G47" s="222" t="e">
        <f t="shared" si="11"/>
        <v>#N/A</v>
      </c>
      <c r="I47" s="231"/>
      <c r="J47" s="220"/>
      <c r="K47" s="221" t="e">
        <f t="shared" si="8"/>
        <v>#DIV/0!</v>
      </c>
      <c r="L47" s="221" t="e">
        <f t="shared" si="13"/>
        <v>#DIV/0!</v>
      </c>
      <c r="M47" s="222" t="e">
        <f t="shared" si="12"/>
        <v>#DIV/0!</v>
      </c>
    </row>
    <row r="48" spans="2:13" ht="15" hidden="1" outlineLevel="1" thickBot="1">
      <c r="B48" s="231"/>
      <c r="C48" s="220"/>
      <c r="D48" s="221" t="e">
        <f t="shared" si="9"/>
        <v>#DIV/0!</v>
      </c>
      <c r="E48" s="221" t="e">
        <f t="shared" si="10"/>
        <v>#DIV/0!</v>
      </c>
      <c r="F48" s="222" t="e">
        <f t="shared" si="7"/>
        <v>#DIV/0!</v>
      </c>
      <c r="G48" s="222" t="e">
        <f t="shared" si="11"/>
        <v>#N/A</v>
      </c>
      <c r="I48" s="231"/>
      <c r="J48" s="220"/>
      <c r="K48" s="221" t="e">
        <f t="shared" si="8"/>
        <v>#DIV/0!</v>
      </c>
      <c r="L48" s="221" t="e">
        <f t="shared" si="13"/>
        <v>#DIV/0!</v>
      </c>
      <c r="M48" s="222" t="e">
        <f t="shared" si="12"/>
        <v>#DIV/0!</v>
      </c>
    </row>
    <row r="49" spans="2:13" ht="15" hidden="1" outlineLevel="1" thickBot="1">
      <c r="B49" s="231"/>
      <c r="C49" s="220"/>
      <c r="D49" s="221" t="e">
        <f t="shared" si="9"/>
        <v>#DIV/0!</v>
      </c>
      <c r="E49" s="221" t="e">
        <f t="shared" si="10"/>
        <v>#DIV/0!</v>
      </c>
      <c r="F49" s="222" t="e">
        <f t="shared" si="7"/>
        <v>#DIV/0!</v>
      </c>
      <c r="G49" s="222" t="e">
        <f t="shared" si="11"/>
        <v>#N/A</v>
      </c>
      <c r="I49" s="231"/>
      <c r="J49" s="220"/>
      <c r="K49" s="221" t="e">
        <f t="shared" si="8"/>
        <v>#DIV/0!</v>
      </c>
      <c r="L49" s="221" t="e">
        <f t="shared" si="13"/>
        <v>#DIV/0!</v>
      </c>
      <c r="M49" s="222" t="e">
        <f t="shared" si="12"/>
        <v>#DIV/0!</v>
      </c>
    </row>
    <row r="50" spans="2:13" ht="15" hidden="1" outlineLevel="1" thickBot="1">
      <c r="B50" s="231"/>
      <c r="C50" s="220"/>
      <c r="D50" s="221" t="e">
        <f t="shared" si="9"/>
        <v>#DIV/0!</v>
      </c>
      <c r="E50" s="221" t="e">
        <f t="shared" si="10"/>
        <v>#DIV/0!</v>
      </c>
      <c r="F50" s="222" t="e">
        <f t="shared" si="7"/>
        <v>#DIV/0!</v>
      </c>
      <c r="G50" s="222" t="e">
        <f t="shared" si="11"/>
        <v>#N/A</v>
      </c>
      <c r="I50" s="231"/>
      <c r="J50" s="220"/>
      <c r="K50" s="221" t="e">
        <f t="shared" si="8"/>
        <v>#DIV/0!</v>
      </c>
      <c r="L50" s="221" t="e">
        <f t="shared" si="13"/>
        <v>#DIV/0!</v>
      </c>
      <c r="M50" s="222" t="e">
        <f t="shared" si="12"/>
        <v>#DIV/0!</v>
      </c>
    </row>
    <row r="51" spans="2:13" ht="15" hidden="1" outlineLevel="1" thickBot="1">
      <c r="B51" s="231"/>
      <c r="C51" s="220"/>
      <c r="D51" s="221" t="e">
        <f t="shared" si="9"/>
        <v>#DIV/0!</v>
      </c>
      <c r="E51" s="221" t="e">
        <f t="shared" si="10"/>
        <v>#DIV/0!</v>
      </c>
      <c r="F51" s="222" t="e">
        <f t="shared" si="7"/>
        <v>#DIV/0!</v>
      </c>
      <c r="G51" s="222" t="e">
        <f t="shared" si="11"/>
        <v>#N/A</v>
      </c>
      <c r="I51" s="231"/>
      <c r="J51" s="220"/>
      <c r="K51" s="221" t="e">
        <f t="shared" si="8"/>
        <v>#DIV/0!</v>
      </c>
      <c r="L51" s="221" t="e">
        <f t="shared" si="13"/>
        <v>#DIV/0!</v>
      </c>
      <c r="M51" s="222" t="e">
        <f t="shared" si="12"/>
        <v>#DIV/0!</v>
      </c>
    </row>
    <row r="52" spans="2:13" ht="15" hidden="1" outlineLevel="1" thickBot="1">
      <c r="B52" s="231"/>
      <c r="C52" s="220"/>
      <c r="D52" s="221" t="e">
        <f t="shared" si="9"/>
        <v>#DIV/0!</v>
      </c>
      <c r="E52" s="221" t="e">
        <f t="shared" si="10"/>
        <v>#DIV/0!</v>
      </c>
      <c r="F52" s="222" t="e">
        <f t="shared" si="7"/>
        <v>#DIV/0!</v>
      </c>
      <c r="G52" s="222" t="e">
        <f t="shared" si="11"/>
        <v>#N/A</v>
      </c>
      <c r="I52" s="231"/>
      <c r="J52" s="220"/>
      <c r="K52" s="221" t="e">
        <f t="shared" si="8"/>
        <v>#DIV/0!</v>
      </c>
      <c r="L52" s="221" t="e">
        <f t="shared" si="13"/>
        <v>#DIV/0!</v>
      </c>
      <c r="M52" s="222" t="e">
        <f t="shared" si="12"/>
        <v>#DIV/0!</v>
      </c>
    </row>
    <row r="53" spans="2:13" ht="15" hidden="1" customHeight="1" outlineLevel="1">
      <c r="B53" s="231"/>
      <c r="C53" s="220"/>
      <c r="D53" s="221" t="e">
        <f t="shared" si="9"/>
        <v>#DIV/0!</v>
      </c>
      <c r="E53" s="221" t="e">
        <f t="shared" si="10"/>
        <v>#DIV/0!</v>
      </c>
      <c r="F53" s="222" t="e">
        <f t="shared" si="7"/>
        <v>#DIV/0!</v>
      </c>
      <c r="G53" s="222" t="e">
        <f t="shared" si="11"/>
        <v>#N/A</v>
      </c>
      <c r="I53" s="231"/>
      <c r="J53" s="220"/>
      <c r="K53" s="221" t="e">
        <f t="shared" si="8"/>
        <v>#DIV/0!</v>
      </c>
      <c r="L53" s="221" t="e">
        <f t="shared" si="13"/>
        <v>#DIV/0!</v>
      </c>
      <c r="M53" s="222" t="e">
        <f t="shared" si="12"/>
        <v>#DIV/0!</v>
      </c>
    </row>
    <row r="54" spans="2:13" ht="15" hidden="1" outlineLevel="1" thickBot="1">
      <c r="B54" s="231"/>
      <c r="C54" s="220"/>
      <c r="D54" s="221" t="e">
        <f t="shared" si="9"/>
        <v>#DIV/0!</v>
      </c>
      <c r="E54" s="221" t="e">
        <f t="shared" si="10"/>
        <v>#DIV/0!</v>
      </c>
      <c r="F54" s="222" t="e">
        <f t="shared" si="7"/>
        <v>#DIV/0!</v>
      </c>
      <c r="G54" s="222" t="e">
        <f t="shared" si="11"/>
        <v>#N/A</v>
      </c>
      <c r="I54" s="231"/>
      <c r="J54" s="220"/>
      <c r="K54" s="221" t="e">
        <f t="shared" si="8"/>
        <v>#DIV/0!</v>
      </c>
      <c r="L54" s="221" t="e">
        <f t="shared" si="13"/>
        <v>#DIV/0!</v>
      </c>
      <c r="M54" s="222" t="e">
        <f t="shared" si="12"/>
        <v>#DIV/0!</v>
      </c>
    </row>
    <row r="55" spans="2:13" ht="15" hidden="1" outlineLevel="1" thickBot="1">
      <c r="B55" s="231"/>
      <c r="C55" s="220"/>
      <c r="D55" s="221" t="e">
        <f t="shared" si="9"/>
        <v>#DIV/0!</v>
      </c>
      <c r="E55" s="221" t="e">
        <f t="shared" si="10"/>
        <v>#DIV/0!</v>
      </c>
      <c r="F55" s="222" t="e">
        <f t="shared" si="7"/>
        <v>#DIV/0!</v>
      </c>
      <c r="G55" s="222" t="e">
        <f t="shared" si="11"/>
        <v>#N/A</v>
      </c>
      <c r="I55" s="231"/>
      <c r="J55" s="220"/>
      <c r="K55" s="221" t="e">
        <f t="shared" si="8"/>
        <v>#DIV/0!</v>
      </c>
      <c r="L55" s="221" t="e">
        <f t="shared" si="13"/>
        <v>#DIV/0!</v>
      </c>
      <c r="M55" s="222" t="e">
        <f t="shared" si="12"/>
        <v>#DIV/0!</v>
      </c>
    </row>
    <row r="56" spans="2:13" ht="15" hidden="1" outlineLevel="1" thickBot="1">
      <c r="B56" s="231"/>
      <c r="C56" s="220"/>
      <c r="D56" s="221" t="e">
        <f t="shared" si="9"/>
        <v>#DIV/0!</v>
      </c>
      <c r="E56" s="221" t="e">
        <f t="shared" si="10"/>
        <v>#DIV/0!</v>
      </c>
      <c r="F56" s="222" t="e">
        <f t="shared" si="7"/>
        <v>#DIV/0!</v>
      </c>
      <c r="G56" s="222" t="e">
        <f t="shared" si="11"/>
        <v>#N/A</v>
      </c>
      <c r="I56" s="231"/>
      <c r="J56" s="220"/>
      <c r="K56" s="221" t="e">
        <f t="shared" si="8"/>
        <v>#DIV/0!</v>
      </c>
      <c r="L56" s="221" t="e">
        <f t="shared" si="13"/>
        <v>#DIV/0!</v>
      </c>
      <c r="M56" s="222" t="e">
        <f t="shared" si="12"/>
        <v>#DIV/0!</v>
      </c>
    </row>
    <row r="57" spans="2:13" ht="15" hidden="1" outlineLevel="1" thickBot="1">
      <c r="B57" s="231"/>
      <c r="C57" s="220"/>
      <c r="D57" s="221" t="e">
        <f t="shared" si="9"/>
        <v>#DIV/0!</v>
      </c>
      <c r="E57" s="221" t="e">
        <f t="shared" si="10"/>
        <v>#DIV/0!</v>
      </c>
      <c r="F57" s="222" t="e">
        <f t="shared" si="7"/>
        <v>#DIV/0!</v>
      </c>
      <c r="G57" s="222" t="e">
        <f t="shared" si="11"/>
        <v>#N/A</v>
      </c>
      <c r="I57" s="231"/>
      <c r="J57" s="220"/>
      <c r="K57" s="221" t="e">
        <f t="shared" si="8"/>
        <v>#DIV/0!</v>
      </c>
      <c r="L57" s="221" t="e">
        <f t="shared" si="13"/>
        <v>#DIV/0!</v>
      </c>
      <c r="M57" s="222" t="e">
        <f t="shared" si="12"/>
        <v>#DIV/0!</v>
      </c>
    </row>
    <row r="58" spans="2:13" ht="15" hidden="1" outlineLevel="1" thickBot="1">
      <c r="B58" s="231"/>
      <c r="C58" s="220"/>
      <c r="D58" s="221" t="e">
        <f t="shared" si="9"/>
        <v>#DIV/0!</v>
      </c>
      <c r="E58" s="221" t="e">
        <f t="shared" si="10"/>
        <v>#DIV/0!</v>
      </c>
      <c r="F58" s="222" t="e">
        <f t="shared" si="7"/>
        <v>#DIV/0!</v>
      </c>
      <c r="G58" s="222" t="e">
        <f t="shared" si="11"/>
        <v>#N/A</v>
      </c>
      <c r="I58" s="231"/>
      <c r="J58" s="220"/>
      <c r="K58" s="221" t="e">
        <f t="shared" si="8"/>
        <v>#DIV/0!</v>
      </c>
      <c r="L58" s="221" t="e">
        <f t="shared" si="13"/>
        <v>#DIV/0!</v>
      </c>
      <c r="M58" s="222" t="e">
        <f t="shared" si="12"/>
        <v>#DIV/0!</v>
      </c>
    </row>
    <row r="59" spans="2:13" ht="15" hidden="1" outlineLevel="1" thickBot="1">
      <c r="B59" s="231"/>
      <c r="C59" s="220"/>
      <c r="D59" s="221" t="e">
        <f t="shared" si="9"/>
        <v>#DIV/0!</v>
      </c>
      <c r="E59" s="221" t="e">
        <f t="shared" si="10"/>
        <v>#DIV/0!</v>
      </c>
      <c r="F59" s="222" t="e">
        <f t="shared" si="7"/>
        <v>#DIV/0!</v>
      </c>
      <c r="G59" s="222" t="e">
        <f t="shared" si="11"/>
        <v>#N/A</v>
      </c>
      <c r="I59" s="231"/>
      <c r="J59" s="220"/>
      <c r="K59" s="221" t="e">
        <f t="shared" si="8"/>
        <v>#DIV/0!</v>
      </c>
      <c r="L59" s="221" t="e">
        <f t="shared" si="13"/>
        <v>#DIV/0!</v>
      </c>
      <c r="M59" s="222" t="e">
        <f t="shared" si="12"/>
        <v>#DIV/0!</v>
      </c>
    </row>
    <row r="60" spans="2:13" ht="15" hidden="1" outlineLevel="1" thickBot="1">
      <c r="B60" s="231"/>
      <c r="C60" s="220"/>
      <c r="D60" s="221" t="e">
        <f t="shared" si="9"/>
        <v>#DIV/0!</v>
      </c>
      <c r="E60" s="221" t="e">
        <f t="shared" si="10"/>
        <v>#DIV/0!</v>
      </c>
      <c r="F60" s="222" t="e">
        <f t="shared" si="7"/>
        <v>#DIV/0!</v>
      </c>
      <c r="G60" s="222" t="e">
        <f t="shared" si="11"/>
        <v>#N/A</v>
      </c>
      <c r="I60" s="231"/>
      <c r="J60" s="220"/>
      <c r="K60" s="221" t="e">
        <f t="shared" si="8"/>
        <v>#DIV/0!</v>
      </c>
      <c r="L60" s="221" t="e">
        <f t="shared" si="13"/>
        <v>#DIV/0!</v>
      </c>
      <c r="M60" s="222" t="e">
        <f t="shared" si="12"/>
        <v>#DIV/0!</v>
      </c>
    </row>
    <row r="61" spans="2:13" ht="15" hidden="1" outlineLevel="1" thickBot="1">
      <c r="B61" s="231"/>
      <c r="C61" s="220"/>
      <c r="D61" s="221" t="e">
        <f t="shared" si="9"/>
        <v>#DIV/0!</v>
      </c>
      <c r="E61" s="221" t="e">
        <f t="shared" si="10"/>
        <v>#DIV/0!</v>
      </c>
      <c r="F61" s="222" t="e">
        <f t="shared" si="7"/>
        <v>#DIV/0!</v>
      </c>
      <c r="G61" s="222" t="e">
        <f t="shared" si="11"/>
        <v>#N/A</v>
      </c>
      <c r="I61" s="231"/>
      <c r="J61" s="220"/>
      <c r="K61" s="221" t="e">
        <f t="shared" si="8"/>
        <v>#DIV/0!</v>
      </c>
      <c r="L61" s="221" t="e">
        <f t="shared" si="13"/>
        <v>#DIV/0!</v>
      </c>
      <c r="M61" s="222" t="e">
        <f t="shared" si="12"/>
        <v>#DIV/0!</v>
      </c>
    </row>
    <row r="62" spans="2:13" ht="15" hidden="1" outlineLevel="1" thickBot="1">
      <c r="B62" s="231"/>
      <c r="C62" s="220"/>
      <c r="D62" s="221" t="e">
        <f t="shared" si="9"/>
        <v>#DIV/0!</v>
      </c>
      <c r="E62" s="221" t="e">
        <f t="shared" si="10"/>
        <v>#DIV/0!</v>
      </c>
      <c r="F62" s="222" t="e">
        <f t="shared" si="7"/>
        <v>#DIV/0!</v>
      </c>
      <c r="G62" s="222" t="e">
        <f t="shared" si="11"/>
        <v>#N/A</v>
      </c>
      <c r="I62" s="231"/>
      <c r="J62" s="220"/>
      <c r="K62" s="221" t="e">
        <f t="shared" si="8"/>
        <v>#DIV/0!</v>
      </c>
      <c r="L62" s="221" t="e">
        <f t="shared" si="13"/>
        <v>#DIV/0!</v>
      </c>
      <c r="M62" s="222" t="e">
        <f t="shared" si="12"/>
        <v>#DIV/0!</v>
      </c>
    </row>
    <row r="63" spans="2:13" ht="15" hidden="1" outlineLevel="1" thickBot="1">
      <c r="B63" s="231"/>
      <c r="C63" s="220"/>
      <c r="D63" s="221" t="e">
        <f t="shared" si="9"/>
        <v>#DIV/0!</v>
      </c>
      <c r="E63" s="221" t="e">
        <f t="shared" si="10"/>
        <v>#DIV/0!</v>
      </c>
      <c r="F63" s="222" t="e">
        <f t="shared" si="7"/>
        <v>#DIV/0!</v>
      </c>
      <c r="G63" s="222" t="e">
        <f t="shared" si="11"/>
        <v>#N/A</v>
      </c>
      <c r="I63" s="231"/>
      <c r="J63" s="220"/>
      <c r="K63" s="221" t="e">
        <f t="shared" si="8"/>
        <v>#DIV/0!</v>
      </c>
      <c r="L63" s="221" t="e">
        <f t="shared" si="13"/>
        <v>#DIV/0!</v>
      </c>
      <c r="M63" s="222" t="e">
        <f t="shared" si="12"/>
        <v>#DIV/0!</v>
      </c>
    </row>
    <row r="64" spans="2:13" ht="15" hidden="1" outlineLevel="1" thickBot="1">
      <c r="B64" s="231"/>
      <c r="C64" s="220"/>
      <c r="D64" s="221" t="e">
        <f t="shared" si="9"/>
        <v>#DIV/0!</v>
      </c>
      <c r="E64" s="221" t="e">
        <f t="shared" si="10"/>
        <v>#DIV/0!</v>
      </c>
      <c r="F64" s="222" t="e">
        <f t="shared" si="7"/>
        <v>#DIV/0!</v>
      </c>
      <c r="G64" s="222" t="e">
        <f t="shared" si="11"/>
        <v>#N/A</v>
      </c>
      <c r="I64" s="231"/>
      <c r="J64" s="220"/>
      <c r="K64" s="221" t="e">
        <f t="shared" si="8"/>
        <v>#DIV/0!</v>
      </c>
      <c r="L64" s="221" t="e">
        <f t="shared" si="13"/>
        <v>#DIV/0!</v>
      </c>
      <c r="M64" s="222" t="e">
        <f t="shared" si="12"/>
        <v>#DIV/0!</v>
      </c>
    </row>
    <row r="65" spans="2:13" ht="15" hidden="1" outlineLevel="1" thickBot="1">
      <c r="B65" s="231"/>
      <c r="C65" s="220"/>
      <c r="D65" s="221" t="e">
        <f t="shared" si="9"/>
        <v>#DIV/0!</v>
      </c>
      <c r="E65" s="221" t="e">
        <f>D65+E64</f>
        <v>#DIV/0!</v>
      </c>
      <c r="F65" s="222" t="e">
        <f t="shared" si="7"/>
        <v>#DIV/0!</v>
      </c>
      <c r="G65" s="222" t="e">
        <f t="shared" si="11"/>
        <v>#N/A</v>
      </c>
      <c r="I65" s="231"/>
      <c r="J65" s="220"/>
      <c r="K65" s="221" t="e">
        <f t="shared" si="8"/>
        <v>#DIV/0!</v>
      </c>
      <c r="L65" s="221" t="e">
        <f t="shared" si="13"/>
        <v>#DIV/0!</v>
      </c>
      <c r="M65" s="222" t="e">
        <f t="shared" si="12"/>
        <v>#DIV/0!</v>
      </c>
    </row>
    <row r="66" spans="2:13" ht="15" hidden="1" outlineLevel="1" thickBot="1">
      <c r="B66" s="231"/>
      <c r="C66" s="220"/>
      <c r="D66" s="221" t="e">
        <f t="shared" si="9"/>
        <v>#DIV/0!</v>
      </c>
      <c r="E66" s="221" t="e">
        <f t="shared" si="10"/>
        <v>#DIV/0!</v>
      </c>
      <c r="F66" s="222" t="e">
        <f t="shared" si="7"/>
        <v>#DIV/0!</v>
      </c>
      <c r="G66" s="222" t="e">
        <f t="shared" si="11"/>
        <v>#N/A</v>
      </c>
      <c r="I66" s="231"/>
      <c r="J66" s="220"/>
      <c r="K66" s="221" t="e">
        <f t="shared" si="8"/>
        <v>#DIV/0!</v>
      </c>
      <c r="L66" s="221" t="e">
        <f t="shared" si="13"/>
        <v>#DIV/0!</v>
      </c>
      <c r="M66" s="222" t="e">
        <f t="shared" si="12"/>
        <v>#DIV/0!</v>
      </c>
    </row>
    <row r="67" spans="2:13" ht="15" hidden="1" outlineLevel="1" thickBot="1">
      <c r="B67" s="231"/>
      <c r="C67" s="220"/>
      <c r="D67" s="221" t="e">
        <f t="shared" si="9"/>
        <v>#DIV/0!</v>
      </c>
      <c r="E67" s="221" t="e">
        <f t="shared" si="10"/>
        <v>#DIV/0!</v>
      </c>
      <c r="F67" s="222" t="e">
        <f t="shared" si="7"/>
        <v>#DIV/0!</v>
      </c>
      <c r="G67" s="222" t="e">
        <f t="shared" si="11"/>
        <v>#N/A</v>
      </c>
      <c r="I67" s="231"/>
      <c r="J67" s="220"/>
      <c r="K67" s="221" t="e">
        <f t="shared" si="8"/>
        <v>#DIV/0!</v>
      </c>
      <c r="L67" s="221" t="e">
        <f t="shared" si="13"/>
        <v>#DIV/0!</v>
      </c>
      <c r="M67" s="222" t="e">
        <f t="shared" si="12"/>
        <v>#DIV/0!</v>
      </c>
    </row>
    <row r="68" spans="2:13" ht="15" hidden="1" outlineLevel="1" thickBot="1">
      <c r="B68" s="231"/>
      <c r="C68" s="220"/>
      <c r="D68" s="221" t="e">
        <f t="shared" si="9"/>
        <v>#DIV/0!</v>
      </c>
      <c r="E68" s="221" t="e">
        <f t="shared" si="10"/>
        <v>#DIV/0!</v>
      </c>
      <c r="F68" s="222" t="e">
        <f t="shared" si="7"/>
        <v>#DIV/0!</v>
      </c>
      <c r="G68" s="222" t="e">
        <f t="shared" si="11"/>
        <v>#N/A</v>
      </c>
      <c r="I68" s="231"/>
      <c r="J68" s="220"/>
      <c r="K68" s="221" t="e">
        <f t="shared" si="8"/>
        <v>#DIV/0!</v>
      </c>
      <c r="L68" s="221" t="e">
        <f t="shared" si="13"/>
        <v>#DIV/0!</v>
      </c>
      <c r="M68" s="222" t="e">
        <f t="shared" si="12"/>
        <v>#DIV/0!</v>
      </c>
    </row>
    <row r="69" spans="2:13" ht="16" hidden="1" customHeight="1" outlineLevel="1">
      <c r="B69" s="231"/>
      <c r="C69" s="220"/>
      <c r="D69" s="221" t="e">
        <f t="shared" si="9"/>
        <v>#DIV/0!</v>
      </c>
      <c r="E69" s="221" t="e">
        <f t="shared" si="10"/>
        <v>#DIV/0!</v>
      </c>
      <c r="F69" s="222" t="e">
        <f t="shared" si="7"/>
        <v>#DIV/0!</v>
      </c>
      <c r="G69" s="222" t="e">
        <f t="shared" si="11"/>
        <v>#N/A</v>
      </c>
      <c r="I69" s="231"/>
      <c r="J69" s="220"/>
      <c r="K69" s="221" t="e">
        <f t="shared" si="8"/>
        <v>#DIV/0!</v>
      </c>
      <c r="L69" s="221" t="e">
        <f t="shared" si="13"/>
        <v>#DIV/0!</v>
      </c>
      <c r="M69" s="222" t="e">
        <f t="shared" si="12"/>
        <v>#DIV/0!</v>
      </c>
    </row>
    <row r="70" spans="2:13" ht="15" hidden="1" outlineLevel="1" thickBot="1">
      <c r="B70" s="231"/>
      <c r="C70" s="220"/>
      <c r="D70" s="221" t="e">
        <f t="shared" si="9"/>
        <v>#DIV/0!</v>
      </c>
      <c r="E70" s="221" t="e">
        <f t="shared" si="10"/>
        <v>#DIV/0!</v>
      </c>
      <c r="F70" s="222" t="e">
        <f t="shared" si="7"/>
        <v>#DIV/0!</v>
      </c>
      <c r="G70" s="222" t="e">
        <f t="shared" si="11"/>
        <v>#N/A</v>
      </c>
      <c r="I70" s="231"/>
      <c r="J70" s="220"/>
      <c r="K70" s="221" t="e">
        <f t="shared" si="8"/>
        <v>#DIV/0!</v>
      </c>
      <c r="L70" s="221" t="e">
        <f t="shared" si="13"/>
        <v>#DIV/0!</v>
      </c>
      <c r="M70" s="222" t="e">
        <f t="shared" si="12"/>
        <v>#DIV/0!</v>
      </c>
    </row>
    <row r="71" spans="2:13" ht="15" hidden="1" outlineLevel="1" thickBot="1">
      <c r="B71" s="231"/>
      <c r="C71" s="220"/>
      <c r="D71" s="221" t="e">
        <f t="shared" si="9"/>
        <v>#DIV/0!</v>
      </c>
      <c r="E71" s="221" t="e">
        <f t="shared" si="10"/>
        <v>#DIV/0!</v>
      </c>
      <c r="F71" s="222" t="e">
        <f t="shared" si="7"/>
        <v>#DIV/0!</v>
      </c>
      <c r="G71" s="222" t="e">
        <f t="shared" si="11"/>
        <v>#N/A</v>
      </c>
      <c r="I71" s="231"/>
      <c r="J71" s="220"/>
      <c r="K71" s="221" t="e">
        <f t="shared" si="8"/>
        <v>#DIV/0!</v>
      </c>
      <c r="L71" s="221" t="e">
        <f t="shared" si="13"/>
        <v>#DIV/0!</v>
      </c>
      <c r="M71" s="222" t="e">
        <f t="shared" si="12"/>
        <v>#DIV/0!</v>
      </c>
    </row>
    <row r="72" spans="2:13" ht="15" hidden="1" outlineLevel="1" thickBot="1">
      <c r="B72" s="231"/>
      <c r="C72" s="220"/>
      <c r="D72" s="221" t="e">
        <f t="shared" si="9"/>
        <v>#DIV/0!</v>
      </c>
      <c r="E72" s="221" t="e">
        <f t="shared" si="10"/>
        <v>#DIV/0!</v>
      </c>
      <c r="F72" s="222" t="e">
        <f t="shared" si="7"/>
        <v>#DIV/0!</v>
      </c>
      <c r="G72" s="222" t="e">
        <f t="shared" si="11"/>
        <v>#N/A</v>
      </c>
      <c r="I72" s="231"/>
      <c r="J72" s="220"/>
      <c r="K72" s="221" t="e">
        <f t="shared" si="8"/>
        <v>#DIV/0!</v>
      </c>
      <c r="L72" s="221" t="e">
        <f t="shared" si="13"/>
        <v>#DIV/0!</v>
      </c>
      <c r="M72" s="222" t="e">
        <f t="shared" si="12"/>
        <v>#DIV/0!</v>
      </c>
    </row>
    <row r="73" spans="2:13" hidden="1" outlineLevel="1">
      <c r="C73" s="227">
        <f>SUM(C21:C72)</f>
        <v>0</v>
      </c>
      <c r="D73" s="232" t="e">
        <f>SUM(D21:D72)</f>
        <v>#DIV/0!</v>
      </c>
      <c r="J73" s="227">
        <f>SUM(J21:J72)</f>
        <v>0</v>
      </c>
      <c r="K73" s="232" t="e">
        <f>SUM(K21:K72)</f>
        <v>#DIV/0!</v>
      </c>
      <c r="L73" s="232"/>
    </row>
    <row r="74" spans="2:13" collapsed="1"/>
  </sheetData>
  <sortState xmlns:xlrd2="http://schemas.microsoft.com/office/spreadsheetml/2017/richdata2" ref="I4:J16">
    <sortCondition descending="1" ref="J4:J16"/>
  </sortState>
  <mergeCells count="2">
    <mergeCell ref="B2:M2"/>
    <mergeCell ref="B19:M19"/>
  </mergeCells>
  <conditionalFormatting sqref="M21:M72 K21:K72 D21:D72 G4:G16 D4:D16 K4:K16 M4:M16">
    <cfRule type="cellIs" dxfId="78" priority="10" operator="equal">
      <formula>"C"</formula>
    </cfRule>
    <cfRule type="cellIs" dxfId="77" priority="11" operator="equal">
      <formula>"B"</formula>
    </cfRule>
    <cfRule type="cellIs" dxfId="76" priority="12" operator="equal">
      <formula>"A"</formula>
    </cfRule>
  </conditionalFormatting>
  <conditionalFormatting sqref="G21:G72">
    <cfRule type="cellIs" dxfId="75" priority="7" operator="equal">
      <formula>"C"</formula>
    </cfRule>
    <cfRule type="cellIs" dxfId="74" priority="8" operator="equal">
      <formula>"B"</formula>
    </cfRule>
    <cfRule type="cellIs" dxfId="73" priority="9" operator="equal">
      <formula>"A"</formula>
    </cfRule>
  </conditionalFormatting>
  <conditionalFormatting sqref="F4:F16">
    <cfRule type="cellIs" dxfId="72" priority="4" operator="equal">
      <formula>"C"</formula>
    </cfRule>
    <cfRule type="cellIs" dxfId="71" priority="5" operator="equal">
      <formula>"B"</formula>
    </cfRule>
    <cfRule type="cellIs" dxfId="70" priority="6" operator="equal">
      <formula>"A"</formula>
    </cfRule>
  </conditionalFormatting>
  <conditionalFormatting sqref="F21:F72">
    <cfRule type="cellIs" dxfId="69" priority="1" operator="equal">
      <formula>"C"</formula>
    </cfRule>
    <cfRule type="cellIs" dxfId="68" priority="2" operator="equal">
      <formula>"B"</formula>
    </cfRule>
    <cfRule type="cellIs" dxfId="67" priority="3" operator="equal">
      <formula>"A"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2A2BA-D280-4C2E-B34F-BD42DDE0E315}">
  <dimension ref="B1:Q74"/>
  <sheetViews>
    <sheetView zoomScale="80" zoomScaleNormal="80" workbookViewId="0">
      <selection activeCell="O12" sqref="O12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337" t="s">
        <v>112</v>
      </c>
      <c r="C2" s="338"/>
      <c r="D2" s="338"/>
      <c r="E2" s="338"/>
      <c r="F2" s="338"/>
      <c r="G2" s="338"/>
      <c r="H2" s="338"/>
      <c r="I2" s="338"/>
      <c r="J2" s="338"/>
      <c r="K2" s="338"/>
      <c r="L2" s="338"/>
      <c r="M2" s="339"/>
    </row>
    <row r="3" spans="2:17" ht="28.5" customHeight="1" outlineLevel="1" thickBot="1">
      <c r="C3" s="216" t="s">
        <v>11</v>
      </c>
      <c r="D3" s="217" t="s">
        <v>113</v>
      </c>
      <c r="E3" s="218" t="s">
        <v>114</v>
      </c>
      <c r="F3" s="217" t="s">
        <v>115</v>
      </c>
      <c r="G3" s="217" t="s">
        <v>116</v>
      </c>
      <c r="J3" s="216" t="s">
        <v>117</v>
      </c>
      <c r="K3" s="217" t="s">
        <v>118</v>
      </c>
      <c r="L3" s="218" t="s">
        <v>114</v>
      </c>
      <c r="M3" s="219" t="s">
        <v>116</v>
      </c>
    </row>
    <row r="4" spans="2:17" ht="15" outlineLevel="1" thickBot="1">
      <c r="B4" s="115" t="s">
        <v>98</v>
      </c>
      <c r="C4" s="220">
        <f>'Юнит 2'!AL8</f>
        <v>10465.830411999998</v>
      </c>
      <c r="D4" s="221">
        <f t="shared" ref="D4:D16" si="0">C4/C$17</f>
        <v>0.79413735420711584</v>
      </c>
      <c r="E4" s="221">
        <f>D4</f>
        <v>0.79413735420711584</v>
      </c>
      <c r="F4" s="222" t="str">
        <f>IF(AND(E4&lt;=0),"C",IF(E4&lt;=0.8,"A",IF(E4&lt;=0.95,"B","C")))</f>
        <v>A</v>
      </c>
      <c r="G4" s="222" t="str">
        <f>VLOOKUP(B$4:B$16,I$4:M$16,5,0)</f>
        <v>A</v>
      </c>
      <c r="I4" s="115" t="s">
        <v>98</v>
      </c>
      <c r="J4" s="220">
        <f>'Юнит 2'!S8</f>
        <v>26</v>
      </c>
      <c r="K4" s="221">
        <f t="shared" ref="K4:K16" si="1">J4/J$17</f>
        <v>0.61904761904761907</v>
      </c>
      <c r="L4" s="221">
        <f>K4</f>
        <v>0.61904761904761907</v>
      </c>
      <c r="M4" s="222" t="str">
        <f>_xlfn.IFS(L4&lt;80%,"A",L4&lt;=95%,"B",L4&gt;95%,"C")</f>
        <v>A</v>
      </c>
      <c r="P4" s="223" t="s">
        <v>119</v>
      </c>
      <c r="Q4" s="224">
        <v>0.8</v>
      </c>
    </row>
    <row r="5" spans="2:17" ht="15" outlineLevel="1" thickBot="1">
      <c r="B5" s="115" t="s">
        <v>92</v>
      </c>
      <c r="C5" s="220">
        <f>'Юнит 2'!AL3</f>
        <v>2587.3534440000012</v>
      </c>
      <c r="D5" s="221">
        <f t="shared" si="0"/>
        <v>0.19632594237920378</v>
      </c>
      <c r="E5" s="221">
        <f>E4+D5</f>
        <v>0.9904632965863196</v>
      </c>
      <c r="F5" s="222" t="str">
        <f t="shared" ref="F5:F16" si="2">IF(AND(E5&lt;=0),"C",IF(E5&lt;=0.8,"A",IF(E5&lt;=0.95,"B","C")))</f>
        <v>C</v>
      </c>
      <c r="G5" s="222" t="str">
        <f t="shared" ref="G5:G16" si="3">VLOOKUP(B$4:B$16,I$4:M$16,5,0)</f>
        <v>B</v>
      </c>
      <c r="I5" s="115" t="s">
        <v>92</v>
      </c>
      <c r="J5" s="220">
        <f>'Юнит 2'!S3</f>
        <v>8</v>
      </c>
      <c r="K5" s="221">
        <f t="shared" si="1"/>
        <v>0.19047619047619047</v>
      </c>
      <c r="L5" s="221">
        <f>L4+K5</f>
        <v>0.80952380952380953</v>
      </c>
      <c r="M5" s="222" t="str">
        <f t="shared" ref="M5:M16" si="4">_xlfn.IFS(L5&lt;80%,"A",L5&lt;=95%,"B",L5&gt;95%,"C")</f>
        <v>B</v>
      </c>
      <c r="P5" s="225" t="s">
        <v>120</v>
      </c>
      <c r="Q5" s="224">
        <v>0.15</v>
      </c>
    </row>
    <row r="6" spans="2:17" ht="15" outlineLevel="1" thickBot="1">
      <c r="B6" s="115" t="s">
        <v>105</v>
      </c>
      <c r="C6" s="220">
        <f>'Юнит 2'!AL15</f>
        <v>522.9699720000001</v>
      </c>
      <c r="D6" s="221">
        <f t="shared" si="0"/>
        <v>3.9682468905444905E-2</v>
      </c>
      <c r="E6" s="221">
        <f t="shared" ref="E6:E16" si="5">E5+D6</f>
        <v>1.0301457654917645</v>
      </c>
      <c r="F6" s="222" t="str">
        <f t="shared" si="2"/>
        <v>C</v>
      </c>
      <c r="G6" s="222" t="str">
        <f t="shared" si="3"/>
        <v>C</v>
      </c>
      <c r="I6" s="115" t="s">
        <v>96</v>
      </c>
      <c r="J6" s="220">
        <f>'Юнит 2'!S6</f>
        <v>3</v>
      </c>
      <c r="K6" s="221">
        <f t="shared" si="1"/>
        <v>7.1428571428571425E-2</v>
      </c>
      <c r="L6" s="221">
        <f t="shared" ref="L6:L16" si="6">L5+K6</f>
        <v>0.88095238095238093</v>
      </c>
      <c r="M6" s="222" t="str">
        <f t="shared" si="4"/>
        <v>B</v>
      </c>
      <c r="P6" s="226" t="s">
        <v>121</v>
      </c>
      <c r="Q6" s="224">
        <v>0.05</v>
      </c>
    </row>
    <row r="7" spans="2:17" outlineLevel="1">
      <c r="B7" s="115" t="s">
        <v>103</v>
      </c>
      <c r="C7" s="220">
        <f>'Юнит 2'!AL13</f>
        <v>499.52107200000006</v>
      </c>
      <c r="D7" s="221">
        <f t="shared" si="0"/>
        <v>3.7903188459268752E-2</v>
      </c>
      <c r="E7" s="221">
        <f t="shared" si="5"/>
        <v>1.0680489539510332</v>
      </c>
      <c r="F7" s="222" t="str">
        <f t="shared" si="2"/>
        <v>C</v>
      </c>
      <c r="G7" s="222" t="str">
        <f t="shared" si="3"/>
        <v>C</v>
      </c>
      <c r="I7" s="115" t="s">
        <v>99</v>
      </c>
      <c r="J7" s="220">
        <f>'Юнит 2'!S9</f>
        <v>2</v>
      </c>
      <c r="K7" s="221">
        <f t="shared" si="1"/>
        <v>4.7619047619047616E-2</v>
      </c>
      <c r="L7" s="221">
        <f t="shared" si="6"/>
        <v>0.9285714285714286</v>
      </c>
      <c r="M7" s="222" t="str">
        <f t="shared" si="4"/>
        <v>B</v>
      </c>
    </row>
    <row r="8" spans="2:17" outlineLevel="1">
      <c r="B8" s="115" t="s">
        <v>104</v>
      </c>
      <c r="C8" s="220">
        <f>'Юнит 2'!AL14</f>
        <v>480.04913999999997</v>
      </c>
      <c r="D8" s="221">
        <f t="shared" si="0"/>
        <v>3.6425676599144322E-2</v>
      </c>
      <c r="E8" s="221">
        <f t="shared" si="5"/>
        <v>1.1044746305501776</v>
      </c>
      <c r="F8" s="222" t="str">
        <f t="shared" si="2"/>
        <v>C</v>
      </c>
      <c r="G8" s="222" t="str">
        <f t="shared" si="3"/>
        <v>C</v>
      </c>
      <c r="I8" s="115" t="s">
        <v>103</v>
      </c>
      <c r="J8" s="220">
        <f>'Юнит 2'!S13</f>
        <v>1</v>
      </c>
      <c r="K8" s="221">
        <f t="shared" si="1"/>
        <v>2.3809523809523808E-2</v>
      </c>
      <c r="L8" s="221">
        <f t="shared" si="6"/>
        <v>0.95238095238095244</v>
      </c>
      <c r="M8" s="222" t="str">
        <f t="shared" si="4"/>
        <v>C</v>
      </c>
    </row>
    <row r="9" spans="2:17" outlineLevel="1">
      <c r="B9" s="115" t="s">
        <v>96</v>
      </c>
      <c r="C9" s="220">
        <f>'Юнит 2'!AL6</f>
        <v>251.54918399999985</v>
      </c>
      <c r="D9" s="221">
        <f t="shared" si="0"/>
        <v>1.9087315155199829E-2</v>
      </c>
      <c r="E9" s="221">
        <f t="shared" si="5"/>
        <v>1.1235619457053774</v>
      </c>
      <c r="F9" s="222" t="str">
        <f t="shared" si="2"/>
        <v>C</v>
      </c>
      <c r="G9" s="222" t="str">
        <f t="shared" si="3"/>
        <v>B</v>
      </c>
      <c r="I9" s="115" t="s">
        <v>104</v>
      </c>
      <c r="J9" s="220">
        <f>'Юнит 2'!S14</f>
        <v>1</v>
      </c>
      <c r="K9" s="221">
        <f t="shared" si="1"/>
        <v>2.3809523809523808E-2</v>
      </c>
      <c r="L9" s="221">
        <f t="shared" si="6"/>
        <v>0.97619047619047628</v>
      </c>
      <c r="M9" s="222" t="str">
        <f t="shared" si="4"/>
        <v>C</v>
      </c>
    </row>
    <row r="10" spans="2:17" outlineLevel="1">
      <c r="B10" s="115" t="s">
        <v>101</v>
      </c>
      <c r="C10" s="220">
        <f>'Юнит 2'!AL11</f>
        <v>-17.763003999999999</v>
      </c>
      <c r="D10" s="221">
        <f t="shared" si="0"/>
        <v>-1.3478400130730512E-3</v>
      </c>
      <c r="E10" s="221">
        <f t="shared" si="5"/>
        <v>1.1222141056923043</v>
      </c>
      <c r="F10" s="222" t="str">
        <f t="shared" si="2"/>
        <v>C</v>
      </c>
      <c r="G10" s="222" t="str">
        <f t="shared" si="3"/>
        <v>C</v>
      </c>
      <c r="I10" s="115" t="s">
        <v>105</v>
      </c>
      <c r="J10" s="220">
        <f>'Юнит 2'!S15</f>
        <v>1</v>
      </c>
      <c r="K10" s="221">
        <f t="shared" si="1"/>
        <v>2.3809523809523808E-2</v>
      </c>
      <c r="L10" s="221">
        <f t="shared" si="6"/>
        <v>1</v>
      </c>
      <c r="M10" s="222" t="str">
        <f t="shared" si="4"/>
        <v>C</v>
      </c>
    </row>
    <row r="11" spans="2:17" outlineLevel="1">
      <c r="B11" s="115" t="s">
        <v>100</v>
      </c>
      <c r="C11" s="220">
        <f>'Юнит 2'!AL10</f>
        <v>-114.596248</v>
      </c>
      <c r="D11" s="221">
        <f t="shared" si="0"/>
        <v>-8.6954553634307936E-3</v>
      </c>
      <c r="E11" s="221">
        <f t="shared" si="5"/>
        <v>1.1135186503288734</v>
      </c>
      <c r="F11" s="222" t="str">
        <f t="shared" si="2"/>
        <v>C</v>
      </c>
      <c r="G11" s="222" t="str">
        <f t="shared" si="3"/>
        <v>C</v>
      </c>
      <c r="I11" s="115" t="s">
        <v>94</v>
      </c>
      <c r="J11" s="220">
        <f>'Юнит 2'!S4</f>
        <v>0</v>
      </c>
      <c r="K11" s="221">
        <f t="shared" si="1"/>
        <v>0</v>
      </c>
      <c r="L11" s="221">
        <f t="shared" si="6"/>
        <v>1</v>
      </c>
      <c r="M11" s="222" t="str">
        <f t="shared" si="4"/>
        <v>C</v>
      </c>
    </row>
    <row r="12" spans="2:17" outlineLevel="1">
      <c r="B12" s="115" t="s">
        <v>102</v>
      </c>
      <c r="C12" s="220">
        <f>'Юнит 2'!AL12</f>
        <v>-126.47922399999999</v>
      </c>
      <c r="D12" s="221">
        <f t="shared" si="0"/>
        <v>-9.5971243900879258E-3</v>
      </c>
      <c r="E12" s="221">
        <f t="shared" si="5"/>
        <v>1.1039215259387856</v>
      </c>
      <c r="F12" s="222" t="str">
        <f t="shared" si="2"/>
        <v>C</v>
      </c>
      <c r="G12" s="222" t="str">
        <f t="shared" si="3"/>
        <v>C</v>
      </c>
      <c r="I12" s="115" t="s">
        <v>95</v>
      </c>
      <c r="J12" s="220">
        <f>'Юнит 2'!S5</f>
        <v>0</v>
      </c>
      <c r="K12" s="221">
        <f t="shared" si="1"/>
        <v>0</v>
      </c>
      <c r="L12" s="221">
        <f t="shared" si="6"/>
        <v>1</v>
      </c>
      <c r="M12" s="222" t="str">
        <f t="shared" si="4"/>
        <v>C</v>
      </c>
    </row>
    <row r="13" spans="2:17" outlineLevel="1">
      <c r="B13" s="115" t="s">
        <v>95</v>
      </c>
      <c r="C13" s="220">
        <f>'Юнит 2'!AL5</f>
        <v>-164.19947599999998</v>
      </c>
      <c r="D13" s="221">
        <f t="shared" si="0"/>
        <v>-1.2459301584260644E-2</v>
      </c>
      <c r="E13" s="221">
        <f t="shared" si="5"/>
        <v>1.0914622243545249</v>
      </c>
      <c r="F13" s="222" t="str">
        <f t="shared" si="2"/>
        <v>C</v>
      </c>
      <c r="G13" s="222" t="str">
        <f t="shared" si="3"/>
        <v>C</v>
      </c>
      <c r="I13" s="115" t="s">
        <v>97</v>
      </c>
      <c r="J13" s="220">
        <f>'Юнит 2'!S7</f>
        <v>0</v>
      </c>
      <c r="K13" s="221">
        <f t="shared" si="1"/>
        <v>0</v>
      </c>
      <c r="L13" s="221">
        <f t="shared" si="6"/>
        <v>1</v>
      </c>
      <c r="M13" s="222" t="str">
        <f t="shared" si="4"/>
        <v>C</v>
      </c>
    </row>
    <row r="14" spans="2:17" outlineLevel="1">
      <c r="B14" s="115" t="s">
        <v>97</v>
      </c>
      <c r="C14" s="220">
        <f>'Юнит 2'!AL7</f>
        <v>-229.591296</v>
      </c>
      <c r="D14" s="221">
        <f t="shared" si="0"/>
        <v>-1.7421171295243686E-2</v>
      </c>
      <c r="E14" s="221">
        <f t="shared" si="5"/>
        <v>1.0740410530592812</v>
      </c>
      <c r="F14" s="222" t="str">
        <f t="shared" si="2"/>
        <v>C</v>
      </c>
      <c r="G14" s="222" t="str">
        <f t="shared" si="3"/>
        <v>C</v>
      </c>
      <c r="I14" s="115" t="s">
        <v>100</v>
      </c>
      <c r="J14" s="220">
        <f>'Юнит 2'!S10</f>
        <v>0</v>
      </c>
      <c r="K14" s="221">
        <f t="shared" si="1"/>
        <v>0</v>
      </c>
      <c r="L14" s="221">
        <f t="shared" si="6"/>
        <v>1</v>
      </c>
      <c r="M14" s="222" t="str">
        <f t="shared" si="4"/>
        <v>C</v>
      </c>
    </row>
    <row r="15" spans="2:17" outlineLevel="1">
      <c r="B15" s="115" t="s">
        <v>94</v>
      </c>
      <c r="C15" s="220">
        <f>'Юнит 2'!AL4</f>
        <v>-238.29129599999999</v>
      </c>
      <c r="D15" s="221">
        <f t="shared" si="0"/>
        <v>-1.8081319100971566E-2</v>
      </c>
      <c r="E15" s="221">
        <f t="shared" si="5"/>
        <v>1.0559597339583096</v>
      </c>
      <c r="F15" s="222" t="str">
        <f t="shared" si="2"/>
        <v>C</v>
      </c>
      <c r="G15" s="222" t="str">
        <f t="shared" si="3"/>
        <v>C</v>
      </c>
      <c r="I15" s="115" t="s">
        <v>101</v>
      </c>
      <c r="J15" s="220">
        <f>'Юнит 2'!S11</f>
        <v>0</v>
      </c>
      <c r="K15" s="221">
        <f t="shared" si="1"/>
        <v>0</v>
      </c>
      <c r="L15" s="221">
        <f t="shared" si="6"/>
        <v>1</v>
      </c>
      <c r="M15" s="222" t="str">
        <f t="shared" si="4"/>
        <v>C</v>
      </c>
    </row>
    <row r="16" spans="2:17" outlineLevel="1">
      <c r="B16" s="115" t="s">
        <v>99</v>
      </c>
      <c r="C16" s="220">
        <f>'Юнит 2'!AL9</f>
        <v>-737.48587999999984</v>
      </c>
      <c r="D16" s="221">
        <f t="shared" si="0"/>
        <v>-5.5959733958309672E-2</v>
      </c>
      <c r="E16" s="221">
        <f t="shared" si="5"/>
        <v>0.99999999999999989</v>
      </c>
      <c r="F16" s="222" t="str">
        <f t="shared" si="2"/>
        <v>C</v>
      </c>
      <c r="G16" s="222" t="str">
        <f t="shared" si="3"/>
        <v>B</v>
      </c>
      <c r="I16" s="115" t="s">
        <v>102</v>
      </c>
      <c r="J16" s="220">
        <f>'Юнит 2'!S12</f>
        <v>0</v>
      </c>
      <c r="K16" s="221">
        <f t="shared" si="1"/>
        <v>0</v>
      </c>
      <c r="L16" s="221">
        <f t="shared" si="6"/>
        <v>1</v>
      </c>
      <c r="M16" s="222" t="str">
        <f t="shared" si="4"/>
        <v>C</v>
      </c>
    </row>
    <row r="17" spans="2:16" outlineLevel="1">
      <c r="C17" s="227">
        <f>SUM(C4:C16)</f>
        <v>13178.866799999998</v>
      </c>
      <c r="D17" s="228">
        <f>SUM(D4:D16)</f>
        <v>0.99999999999999989</v>
      </c>
      <c r="J17" s="227">
        <f>SUM(J4:J16)</f>
        <v>42</v>
      </c>
      <c r="K17" s="228">
        <f>SUM(K4:K16)</f>
        <v>1</v>
      </c>
    </row>
    <row r="19" spans="2:16" ht="16" hidden="1" outlineLevel="1" thickBot="1">
      <c r="B19" s="340"/>
      <c r="C19" s="341"/>
      <c r="D19" s="341"/>
      <c r="E19" s="341"/>
      <c r="F19" s="341"/>
      <c r="G19" s="341"/>
      <c r="H19" s="341"/>
      <c r="I19" s="341"/>
      <c r="J19" s="341"/>
      <c r="K19" s="341"/>
      <c r="L19" s="341"/>
      <c r="M19" s="342"/>
      <c r="O19" s="229"/>
      <c r="P19" s="229"/>
    </row>
    <row r="20" spans="2:16" ht="23.5" hidden="1" outlineLevel="1" thickBot="1">
      <c r="C20" s="216" t="s">
        <v>11</v>
      </c>
      <c r="D20" s="217" t="s">
        <v>113</v>
      </c>
      <c r="E20" s="218" t="s">
        <v>114</v>
      </c>
      <c r="F20" s="230" t="s">
        <v>115</v>
      </c>
      <c r="G20" s="217" t="s">
        <v>116</v>
      </c>
      <c r="J20" s="216" t="s">
        <v>117</v>
      </c>
      <c r="K20" s="217" t="s">
        <v>118</v>
      </c>
      <c r="L20" s="218" t="s">
        <v>114</v>
      </c>
      <c r="M20" s="219" t="s">
        <v>116</v>
      </c>
    </row>
    <row r="21" spans="2:16" ht="15" hidden="1" outlineLevel="1" thickBot="1">
      <c r="B21" s="231"/>
      <c r="C21" s="220"/>
      <c r="D21" s="221" t="e">
        <f>C21/C$73</f>
        <v>#DIV/0!</v>
      </c>
      <c r="E21" s="221" t="e">
        <f>D21</f>
        <v>#DIV/0!</v>
      </c>
      <c r="F21" s="222" t="e">
        <f t="shared" ref="F21:F72" si="7">IF(AND(E21&lt;=0),"C",IF(E21&lt;=0.8,"A",IF(E21&lt;=0.95,"B","C")))</f>
        <v>#DIV/0!</v>
      </c>
      <c r="G21" s="222" t="e">
        <f>VLOOKUP(B21:B72,I$21:M$72,5,0)</f>
        <v>#N/A</v>
      </c>
      <c r="I21" s="231"/>
      <c r="J21" s="220"/>
      <c r="K21" s="221" t="e">
        <f t="shared" ref="K21:K72" si="8">J21/J$73</f>
        <v>#DIV/0!</v>
      </c>
      <c r="L21" s="221" t="e">
        <f>K21</f>
        <v>#DIV/0!</v>
      </c>
      <c r="M21" s="222" t="e">
        <f>_xlfn.IFS(L21&lt;80%,"A",L21&lt;=95%,"B",L21&gt;95%,"C")</f>
        <v>#DIV/0!</v>
      </c>
    </row>
    <row r="22" spans="2:16" ht="15" hidden="1" outlineLevel="1" thickBot="1">
      <c r="B22" s="231"/>
      <c r="C22" s="220"/>
      <c r="D22" s="221" t="e">
        <f t="shared" ref="D22:D72" si="9">C22/C$73</f>
        <v>#DIV/0!</v>
      </c>
      <c r="E22" s="221" t="e">
        <f t="shared" ref="E22:E72" si="10">D22+E21</f>
        <v>#DIV/0!</v>
      </c>
      <c r="F22" s="222" t="e">
        <f t="shared" si="7"/>
        <v>#DIV/0!</v>
      </c>
      <c r="G22" s="222" t="e">
        <f t="shared" ref="G22:G72" si="11">VLOOKUP(B22:B73,I$21:M$72,5,0)</f>
        <v>#N/A</v>
      </c>
      <c r="I22" s="231"/>
      <c r="J22" s="220"/>
      <c r="K22" s="221" t="e">
        <f t="shared" si="8"/>
        <v>#DIV/0!</v>
      </c>
      <c r="L22" s="221" t="e">
        <f>K22+L21</f>
        <v>#DIV/0!</v>
      </c>
      <c r="M22" s="222" t="e">
        <f t="shared" ref="M22:M72" si="12">_xlfn.IFS(L22&lt;80%,"A",L22&lt;=95%,"B",L22&gt;95%,"C")</f>
        <v>#DIV/0!</v>
      </c>
    </row>
    <row r="23" spans="2:16" ht="15" hidden="1" outlineLevel="1" thickBot="1">
      <c r="B23" s="231"/>
      <c r="C23" s="220"/>
      <c r="D23" s="221" t="e">
        <f t="shared" si="9"/>
        <v>#DIV/0!</v>
      </c>
      <c r="E23" s="221" t="e">
        <f t="shared" si="10"/>
        <v>#DIV/0!</v>
      </c>
      <c r="F23" s="222" t="e">
        <f t="shared" si="7"/>
        <v>#DIV/0!</v>
      </c>
      <c r="G23" s="222" t="e">
        <f t="shared" si="11"/>
        <v>#N/A</v>
      </c>
      <c r="I23" s="231"/>
      <c r="J23" s="220"/>
      <c r="K23" s="221" t="e">
        <f t="shared" si="8"/>
        <v>#DIV/0!</v>
      </c>
      <c r="L23" s="221" t="e">
        <f t="shared" ref="L23:L72" si="13">K23+L22</f>
        <v>#DIV/0!</v>
      </c>
      <c r="M23" s="222" t="e">
        <f t="shared" si="12"/>
        <v>#DIV/0!</v>
      </c>
    </row>
    <row r="24" spans="2:16" ht="15" hidden="1" outlineLevel="1" thickBot="1">
      <c r="B24" s="231"/>
      <c r="C24" s="220"/>
      <c r="D24" s="221" t="e">
        <f t="shared" si="9"/>
        <v>#DIV/0!</v>
      </c>
      <c r="E24" s="221" t="e">
        <f t="shared" si="10"/>
        <v>#DIV/0!</v>
      </c>
      <c r="F24" s="222" t="e">
        <f t="shared" si="7"/>
        <v>#DIV/0!</v>
      </c>
      <c r="G24" s="222" t="e">
        <f t="shared" si="11"/>
        <v>#N/A</v>
      </c>
      <c r="I24" s="231"/>
      <c r="J24" s="220"/>
      <c r="K24" s="221" t="e">
        <f t="shared" si="8"/>
        <v>#DIV/0!</v>
      </c>
      <c r="L24" s="221" t="e">
        <f t="shared" si="13"/>
        <v>#DIV/0!</v>
      </c>
      <c r="M24" s="222" t="e">
        <f t="shared" si="12"/>
        <v>#DIV/0!</v>
      </c>
    </row>
    <row r="25" spans="2:16" ht="15" hidden="1" outlineLevel="1" thickBot="1">
      <c r="B25" s="231"/>
      <c r="C25" s="220"/>
      <c r="D25" s="221" t="e">
        <f t="shared" si="9"/>
        <v>#DIV/0!</v>
      </c>
      <c r="E25" s="221" t="e">
        <f t="shared" si="10"/>
        <v>#DIV/0!</v>
      </c>
      <c r="F25" s="222" t="e">
        <f t="shared" si="7"/>
        <v>#DIV/0!</v>
      </c>
      <c r="G25" s="222" t="e">
        <f t="shared" si="11"/>
        <v>#N/A</v>
      </c>
      <c r="I25" s="231"/>
      <c r="J25" s="220"/>
      <c r="K25" s="221" t="e">
        <f t="shared" si="8"/>
        <v>#DIV/0!</v>
      </c>
      <c r="L25" s="221" t="e">
        <f t="shared" si="13"/>
        <v>#DIV/0!</v>
      </c>
      <c r="M25" s="222" t="e">
        <f t="shared" si="12"/>
        <v>#DIV/0!</v>
      </c>
    </row>
    <row r="26" spans="2:16" ht="15" hidden="1" outlineLevel="1" thickBot="1">
      <c r="B26" s="231"/>
      <c r="C26" s="220"/>
      <c r="D26" s="221" t="e">
        <f t="shared" si="9"/>
        <v>#DIV/0!</v>
      </c>
      <c r="E26" s="221" t="e">
        <f t="shared" si="10"/>
        <v>#DIV/0!</v>
      </c>
      <c r="F26" s="222" t="e">
        <f t="shared" si="7"/>
        <v>#DIV/0!</v>
      </c>
      <c r="G26" s="222" t="e">
        <f t="shared" si="11"/>
        <v>#N/A</v>
      </c>
      <c r="I26" s="231"/>
      <c r="J26" s="220"/>
      <c r="K26" s="221" t="e">
        <f t="shared" si="8"/>
        <v>#DIV/0!</v>
      </c>
      <c r="L26" s="221" t="e">
        <f t="shared" si="13"/>
        <v>#DIV/0!</v>
      </c>
      <c r="M26" s="222" t="e">
        <f t="shared" si="12"/>
        <v>#DIV/0!</v>
      </c>
    </row>
    <row r="27" spans="2:16" ht="15" hidden="1" outlineLevel="1" thickBot="1">
      <c r="B27" s="231"/>
      <c r="C27" s="220"/>
      <c r="D27" s="221" t="e">
        <f t="shared" si="9"/>
        <v>#DIV/0!</v>
      </c>
      <c r="E27" s="221" t="e">
        <f t="shared" si="10"/>
        <v>#DIV/0!</v>
      </c>
      <c r="F27" s="222" t="e">
        <f t="shared" si="7"/>
        <v>#DIV/0!</v>
      </c>
      <c r="G27" s="222" t="e">
        <f t="shared" si="11"/>
        <v>#N/A</v>
      </c>
      <c r="I27" s="231"/>
      <c r="J27" s="220"/>
      <c r="K27" s="221" t="e">
        <f t="shared" si="8"/>
        <v>#DIV/0!</v>
      </c>
      <c r="L27" s="221" t="e">
        <f t="shared" si="13"/>
        <v>#DIV/0!</v>
      </c>
      <c r="M27" s="222" t="e">
        <f t="shared" si="12"/>
        <v>#DIV/0!</v>
      </c>
    </row>
    <row r="28" spans="2:16" ht="15" hidden="1" outlineLevel="1" thickBot="1">
      <c r="B28" s="231"/>
      <c r="C28" s="220"/>
      <c r="D28" s="221" t="e">
        <f t="shared" si="9"/>
        <v>#DIV/0!</v>
      </c>
      <c r="E28" s="221" t="e">
        <f t="shared" si="10"/>
        <v>#DIV/0!</v>
      </c>
      <c r="F28" s="222" t="e">
        <f t="shared" si="7"/>
        <v>#DIV/0!</v>
      </c>
      <c r="G28" s="222" t="e">
        <f t="shared" si="11"/>
        <v>#N/A</v>
      </c>
      <c r="I28" s="231"/>
      <c r="J28" s="220"/>
      <c r="K28" s="221" t="e">
        <f t="shared" si="8"/>
        <v>#DIV/0!</v>
      </c>
      <c r="L28" s="221" t="e">
        <f t="shared" si="13"/>
        <v>#DIV/0!</v>
      </c>
      <c r="M28" s="222" t="e">
        <f t="shared" si="12"/>
        <v>#DIV/0!</v>
      </c>
    </row>
    <row r="29" spans="2:16" ht="15" hidden="1" outlineLevel="1" thickBot="1">
      <c r="B29" s="231"/>
      <c r="C29" s="220"/>
      <c r="D29" s="221" t="e">
        <f t="shared" si="9"/>
        <v>#DIV/0!</v>
      </c>
      <c r="E29" s="221" t="e">
        <f t="shared" si="10"/>
        <v>#DIV/0!</v>
      </c>
      <c r="F29" s="222" t="e">
        <f t="shared" si="7"/>
        <v>#DIV/0!</v>
      </c>
      <c r="G29" s="222" t="e">
        <f t="shared" si="11"/>
        <v>#N/A</v>
      </c>
      <c r="I29" s="231"/>
      <c r="J29" s="220"/>
      <c r="K29" s="221" t="e">
        <f t="shared" si="8"/>
        <v>#DIV/0!</v>
      </c>
      <c r="L29" s="221" t="e">
        <f t="shared" si="13"/>
        <v>#DIV/0!</v>
      </c>
      <c r="M29" s="222" t="e">
        <f t="shared" si="12"/>
        <v>#DIV/0!</v>
      </c>
    </row>
    <row r="30" spans="2:16" ht="15" hidden="1" outlineLevel="1" thickBot="1">
      <c r="B30" s="231"/>
      <c r="C30" s="220"/>
      <c r="D30" s="221" t="e">
        <f t="shared" si="9"/>
        <v>#DIV/0!</v>
      </c>
      <c r="E30" s="221" t="e">
        <f t="shared" si="10"/>
        <v>#DIV/0!</v>
      </c>
      <c r="F30" s="222" t="e">
        <f t="shared" si="7"/>
        <v>#DIV/0!</v>
      </c>
      <c r="G30" s="222" t="e">
        <f t="shared" si="11"/>
        <v>#N/A</v>
      </c>
      <c r="I30" s="231"/>
      <c r="J30" s="220"/>
      <c r="K30" s="221" t="e">
        <f t="shared" si="8"/>
        <v>#DIV/0!</v>
      </c>
      <c r="L30" s="221" t="e">
        <f t="shared" si="13"/>
        <v>#DIV/0!</v>
      </c>
      <c r="M30" s="222" t="e">
        <f t="shared" si="12"/>
        <v>#DIV/0!</v>
      </c>
    </row>
    <row r="31" spans="2:16" ht="15" hidden="1" outlineLevel="1" thickBot="1">
      <c r="B31" s="231"/>
      <c r="C31" s="220"/>
      <c r="D31" s="221" t="e">
        <f t="shared" si="9"/>
        <v>#DIV/0!</v>
      </c>
      <c r="E31" s="221" t="e">
        <f t="shared" si="10"/>
        <v>#DIV/0!</v>
      </c>
      <c r="F31" s="222" t="e">
        <f t="shared" si="7"/>
        <v>#DIV/0!</v>
      </c>
      <c r="G31" s="222" t="e">
        <f t="shared" si="11"/>
        <v>#N/A</v>
      </c>
      <c r="I31" s="231"/>
      <c r="J31" s="220"/>
      <c r="K31" s="221" t="e">
        <f t="shared" si="8"/>
        <v>#DIV/0!</v>
      </c>
      <c r="L31" s="221" t="e">
        <f t="shared" si="13"/>
        <v>#DIV/0!</v>
      </c>
      <c r="M31" s="222" t="e">
        <f t="shared" si="12"/>
        <v>#DIV/0!</v>
      </c>
    </row>
    <row r="32" spans="2:16" ht="15" hidden="1" outlineLevel="1" thickBot="1">
      <c r="B32" s="231"/>
      <c r="C32" s="220"/>
      <c r="D32" s="221" t="e">
        <f t="shared" si="9"/>
        <v>#DIV/0!</v>
      </c>
      <c r="E32" s="221" t="e">
        <f t="shared" si="10"/>
        <v>#DIV/0!</v>
      </c>
      <c r="F32" s="222" t="e">
        <f t="shared" si="7"/>
        <v>#DIV/0!</v>
      </c>
      <c r="G32" s="222" t="e">
        <f t="shared" si="11"/>
        <v>#N/A</v>
      </c>
      <c r="I32" s="231"/>
      <c r="J32" s="220"/>
      <c r="K32" s="221" t="e">
        <f t="shared" si="8"/>
        <v>#DIV/0!</v>
      </c>
      <c r="L32" s="221" t="e">
        <f t="shared" si="13"/>
        <v>#DIV/0!</v>
      </c>
      <c r="M32" s="222" t="e">
        <f t="shared" si="12"/>
        <v>#DIV/0!</v>
      </c>
    </row>
    <row r="33" spans="2:13" ht="15" hidden="1" outlineLevel="1" thickBot="1">
      <c r="B33" s="231"/>
      <c r="C33" s="220"/>
      <c r="D33" s="221" t="e">
        <f t="shared" si="9"/>
        <v>#DIV/0!</v>
      </c>
      <c r="E33" s="221" t="e">
        <f t="shared" si="10"/>
        <v>#DIV/0!</v>
      </c>
      <c r="F33" s="222" t="e">
        <f t="shared" si="7"/>
        <v>#DIV/0!</v>
      </c>
      <c r="G33" s="222" t="e">
        <f t="shared" si="11"/>
        <v>#N/A</v>
      </c>
      <c r="I33" s="231"/>
      <c r="J33" s="220"/>
      <c r="K33" s="221" t="e">
        <f t="shared" si="8"/>
        <v>#DIV/0!</v>
      </c>
      <c r="L33" s="221" t="e">
        <f t="shared" si="13"/>
        <v>#DIV/0!</v>
      </c>
      <c r="M33" s="222" t="e">
        <f t="shared" si="12"/>
        <v>#DIV/0!</v>
      </c>
    </row>
    <row r="34" spans="2:13" ht="15" hidden="1" outlineLevel="1" thickBot="1">
      <c r="B34" s="231"/>
      <c r="C34" s="220"/>
      <c r="D34" s="221" t="e">
        <f t="shared" si="9"/>
        <v>#DIV/0!</v>
      </c>
      <c r="E34" s="221" t="e">
        <f t="shared" si="10"/>
        <v>#DIV/0!</v>
      </c>
      <c r="F34" s="222" t="e">
        <f t="shared" si="7"/>
        <v>#DIV/0!</v>
      </c>
      <c r="G34" s="222" t="e">
        <f t="shared" si="11"/>
        <v>#N/A</v>
      </c>
      <c r="I34" s="231"/>
      <c r="J34" s="220"/>
      <c r="K34" s="221" t="e">
        <f t="shared" si="8"/>
        <v>#DIV/0!</v>
      </c>
      <c r="L34" s="221" t="e">
        <f t="shared" si="13"/>
        <v>#DIV/0!</v>
      </c>
      <c r="M34" s="222" t="e">
        <f t="shared" si="12"/>
        <v>#DIV/0!</v>
      </c>
    </row>
    <row r="35" spans="2:13" ht="15" hidden="1" outlineLevel="1" thickBot="1">
      <c r="B35" s="231"/>
      <c r="C35" s="220"/>
      <c r="D35" s="221" t="e">
        <f t="shared" si="9"/>
        <v>#DIV/0!</v>
      </c>
      <c r="E35" s="221" t="e">
        <f t="shared" si="10"/>
        <v>#DIV/0!</v>
      </c>
      <c r="F35" s="222" t="e">
        <f t="shared" si="7"/>
        <v>#DIV/0!</v>
      </c>
      <c r="G35" s="222" t="e">
        <f t="shared" si="11"/>
        <v>#N/A</v>
      </c>
      <c r="I35" s="231"/>
      <c r="J35" s="220"/>
      <c r="K35" s="221" t="e">
        <f t="shared" si="8"/>
        <v>#DIV/0!</v>
      </c>
      <c r="L35" s="221" t="e">
        <f t="shared" si="13"/>
        <v>#DIV/0!</v>
      </c>
      <c r="M35" s="222" t="e">
        <f t="shared" si="12"/>
        <v>#DIV/0!</v>
      </c>
    </row>
    <row r="36" spans="2:13" ht="15" hidden="1" outlineLevel="1" thickBot="1">
      <c r="B36" s="231"/>
      <c r="C36" s="220"/>
      <c r="D36" s="221" t="e">
        <f t="shared" si="9"/>
        <v>#DIV/0!</v>
      </c>
      <c r="E36" s="221" t="e">
        <f t="shared" si="10"/>
        <v>#DIV/0!</v>
      </c>
      <c r="F36" s="222" t="e">
        <f t="shared" si="7"/>
        <v>#DIV/0!</v>
      </c>
      <c r="G36" s="222" t="e">
        <f t="shared" si="11"/>
        <v>#N/A</v>
      </c>
      <c r="I36" s="231"/>
      <c r="J36" s="220"/>
      <c r="K36" s="221" t="e">
        <f t="shared" si="8"/>
        <v>#DIV/0!</v>
      </c>
      <c r="L36" s="221" t="e">
        <f t="shared" si="13"/>
        <v>#DIV/0!</v>
      </c>
      <c r="M36" s="222" t="e">
        <f t="shared" si="12"/>
        <v>#DIV/0!</v>
      </c>
    </row>
    <row r="37" spans="2:13" ht="15" hidden="1" outlineLevel="1" thickBot="1">
      <c r="B37" s="231"/>
      <c r="C37" s="220"/>
      <c r="D37" s="221" t="e">
        <f t="shared" si="9"/>
        <v>#DIV/0!</v>
      </c>
      <c r="E37" s="221" t="e">
        <f t="shared" si="10"/>
        <v>#DIV/0!</v>
      </c>
      <c r="F37" s="222" t="e">
        <f t="shared" si="7"/>
        <v>#DIV/0!</v>
      </c>
      <c r="G37" s="222" t="e">
        <f t="shared" si="11"/>
        <v>#N/A</v>
      </c>
      <c r="I37" s="231"/>
      <c r="J37" s="220"/>
      <c r="K37" s="221" t="e">
        <f t="shared" si="8"/>
        <v>#DIV/0!</v>
      </c>
      <c r="L37" s="221" t="e">
        <f t="shared" si="13"/>
        <v>#DIV/0!</v>
      </c>
      <c r="M37" s="222" t="e">
        <f t="shared" si="12"/>
        <v>#DIV/0!</v>
      </c>
    </row>
    <row r="38" spans="2:13" ht="15" hidden="1" outlineLevel="1" thickBot="1">
      <c r="B38" s="231"/>
      <c r="C38" s="220"/>
      <c r="D38" s="221" t="e">
        <f t="shared" si="9"/>
        <v>#DIV/0!</v>
      </c>
      <c r="E38" s="221" t="e">
        <f t="shared" si="10"/>
        <v>#DIV/0!</v>
      </c>
      <c r="F38" s="222" t="e">
        <f t="shared" si="7"/>
        <v>#DIV/0!</v>
      </c>
      <c r="G38" s="222" t="e">
        <f t="shared" si="11"/>
        <v>#N/A</v>
      </c>
      <c r="I38" s="231"/>
      <c r="J38" s="220"/>
      <c r="K38" s="221" t="e">
        <f t="shared" si="8"/>
        <v>#DIV/0!</v>
      </c>
      <c r="L38" s="221" t="e">
        <f t="shared" si="13"/>
        <v>#DIV/0!</v>
      </c>
      <c r="M38" s="222" t="e">
        <f t="shared" si="12"/>
        <v>#DIV/0!</v>
      </c>
    </row>
    <row r="39" spans="2:13" ht="15" hidden="1" outlineLevel="1" thickBot="1">
      <c r="B39" s="231"/>
      <c r="C39" s="220"/>
      <c r="D39" s="221" t="e">
        <f t="shared" si="9"/>
        <v>#DIV/0!</v>
      </c>
      <c r="E39" s="221" t="e">
        <f t="shared" si="10"/>
        <v>#DIV/0!</v>
      </c>
      <c r="F39" s="222" t="e">
        <f t="shared" si="7"/>
        <v>#DIV/0!</v>
      </c>
      <c r="G39" s="222" t="e">
        <f t="shared" si="11"/>
        <v>#N/A</v>
      </c>
      <c r="I39" s="231"/>
      <c r="J39" s="220"/>
      <c r="K39" s="221" t="e">
        <f t="shared" si="8"/>
        <v>#DIV/0!</v>
      </c>
      <c r="L39" s="221" t="e">
        <f t="shared" si="13"/>
        <v>#DIV/0!</v>
      </c>
      <c r="M39" s="222" t="e">
        <f t="shared" si="12"/>
        <v>#DIV/0!</v>
      </c>
    </row>
    <row r="40" spans="2:13" ht="15" hidden="1" outlineLevel="1" thickBot="1">
      <c r="B40" s="231"/>
      <c r="C40" s="220"/>
      <c r="D40" s="221" t="e">
        <f t="shared" si="9"/>
        <v>#DIV/0!</v>
      </c>
      <c r="E40" s="221" t="e">
        <f t="shared" si="10"/>
        <v>#DIV/0!</v>
      </c>
      <c r="F40" s="222" t="e">
        <f t="shared" si="7"/>
        <v>#DIV/0!</v>
      </c>
      <c r="G40" s="222" t="e">
        <f t="shared" si="11"/>
        <v>#N/A</v>
      </c>
      <c r="I40" s="231"/>
      <c r="J40" s="220"/>
      <c r="K40" s="221" t="e">
        <f t="shared" si="8"/>
        <v>#DIV/0!</v>
      </c>
      <c r="L40" s="221" t="e">
        <f t="shared" si="13"/>
        <v>#DIV/0!</v>
      </c>
      <c r="M40" s="222" t="e">
        <f t="shared" si="12"/>
        <v>#DIV/0!</v>
      </c>
    </row>
    <row r="41" spans="2:13" ht="15" hidden="1" outlineLevel="1" thickBot="1">
      <c r="B41" s="231"/>
      <c r="C41" s="220"/>
      <c r="D41" s="221" t="e">
        <f t="shared" si="9"/>
        <v>#DIV/0!</v>
      </c>
      <c r="E41" s="221" t="e">
        <f t="shared" si="10"/>
        <v>#DIV/0!</v>
      </c>
      <c r="F41" s="222" t="e">
        <f t="shared" si="7"/>
        <v>#DIV/0!</v>
      </c>
      <c r="G41" s="222" t="e">
        <f t="shared" si="11"/>
        <v>#N/A</v>
      </c>
      <c r="I41" s="231"/>
      <c r="J41" s="220"/>
      <c r="K41" s="221" t="e">
        <f t="shared" si="8"/>
        <v>#DIV/0!</v>
      </c>
      <c r="L41" s="221" t="e">
        <f t="shared" si="13"/>
        <v>#DIV/0!</v>
      </c>
      <c r="M41" s="222" t="e">
        <f t="shared" si="12"/>
        <v>#DIV/0!</v>
      </c>
    </row>
    <row r="42" spans="2:13" ht="15" hidden="1" outlineLevel="1" thickBot="1">
      <c r="B42" s="231"/>
      <c r="C42" s="220"/>
      <c r="D42" s="221" t="e">
        <f t="shared" si="9"/>
        <v>#DIV/0!</v>
      </c>
      <c r="E42" s="221" t="e">
        <f t="shared" si="10"/>
        <v>#DIV/0!</v>
      </c>
      <c r="F42" s="222" t="e">
        <f t="shared" si="7"/>
        <v>#DIV/0!</v>
      </c>
      <c r="G42" s="222" t="e">
        <f t="shared" si="11"/>
        <v>#N/A</v>
      </c>
      <c r="I42" s="231"/>
      <c r="J42" s="220"/>
      <c r="K42" s="221" t="e">
        <f t="shared" si="8"/>
        <v>#DIV/0!</v>
      </c>
      <c r="L42" s="221" t="e">
        <f t="shared" si="13"/>
        <v>#DIV/0!</v>
      </c>
      <c r="M42" s="222" t="e">
        <f t="shared" si="12"/>
        <v>#DIV/0!</v>
      </c>
    </row>
    <row r="43" spans="2:13" ht="15" hidden="1" outlineLevel="1" thickBot="1">
      <c r="B43" s="231"/>
      <c r="C43" s="220"/>
      <c r="D43" s="221" t="e">
        <f t="shared" si="9"/>
        <v>#DIV/0!</v>
      </c>
      <c r="E43" s="221" t="e">
        <f t="shared" si="10"/>
        <v>#DIV/0!</v>
      </c>
      <c r="F43" s="222" t="e">
        <f t="shared" si="7"/>
        <v>#DIV/0!</v>
      </c>
      <c r="G43" s="222" t="e">
        <f t="shared" si="11"/>
        <v>#N/A</v>
      </c>
      <c r="I43" s="231"/>
      <c r="J43" s="220"/>
      <c r="K43" s="221" t="e">
        <f t="shared" si="8"/>
        <v>#DIV/0!</v>
      </c>
      <c r="L43" s="221" t="e">
        <f t="shared" si="13"/>
        <v>#DIV/0!</v>
      </c>
      <c r="M43" s="222" t="e">
        <f t="shared" si="12"/>
        <v>#DIV/0!</v>
      </c>
    </row>
    <row r="44" spans="2:13" ht="15" hidden="1" outlineLevel="1" thickBot="1">
      <c r="B44" s="231"/>
      <c r="C44" s="220"/>
      <c r="D44" s="221" t="e">
        <f t="shared" si="9"/>
        <v>#DIV/0!</v>
      </c>
      <c r="E44" s="221" t="e">
        <f t="shared" si="10"/>
        <v>#DIV/0!</v>
      </c>
      <c r="F44" s="222" t="e">
        <f t="shared" si="7"/>
        <v>#DIV/0!</v>
      </c>
      <c r="G44" s="222" t="e">
        <f t="shared" si="11"/>
        <v>#N/A</v>
      </c>
      <c r="I44" s="231"/>
      <c r="J44" s="220"/>
      <c r="K44" s="221" t="e">
        <f t="shared" si="8"/>
        <v>#DIV/0!</v>
      </c>
      <c r="L44" s="221" t="e">
        <f t="shared" si="13"/>
        <v>#DIV/0!</v>
      </c>
      <c r="M44" s="222" t="e">
        <f t="shared" si="12"/>
        <v>#DIV/0!</v>
      </c>
    </row>
    <row r="45" spans="2:13" ht="15" hidden="1" outlineLevel="1" thickBot="1">
      <c r="B45" s="231"/>
      <c r="C45" s="220"/>
      <c r="D45" s="221" t="e">
        <f t="shared" si="9"/>
        <v>#DIV/0!</v>
      </c>
      <c r="E45" s="221" t="e">
        <f t="shared" si="10"/>
        <v>#DIV/0!</v>
      </c>
      <c r="F45" s="222" t="e">
        <f t="shared" si="7"/>
        <v>#DIV/0!</v>
      </c>
      <c r="G45" s="222" t="e">
        <f t="shared" si="11"/>
        <v>#N/A</v>
      </c>
      <c r="I45" s="231"/>
      <c r="J45" s="220"/>
      <c r="K45" s="221" t="e">
        <f t="shared" si="8"/>
        <v>#DIV/0!</v>
      </c>
      <c r="L45" s="221" t="e">
        <f t="shared" si="13"/>
        <v>#DIV/0!</v>
      </c>
      <c r="M45" s="222" t="e">
        <f t="shared" si="12"/>
        <v>#DIV/0!</v>
      </c>
    </row>
    <row r="46" spans="2:13" ht="15" hidden="1" outlineLevel="1" thickBot="1">
      <c r="B46" s="231"/>
      <c r="C46" s="220"/>
      <c r="D46" s="221" t="e">
        <f t="shared" si="9"/>
        <v>#DIV/0!</v>
      </c>
      <c r="E46" s="221" t="e">
        <f t="shared" si="10"/>
        <v>#DIV/0!</v>
      </c>
      <c r="F46" s="222" t="e">
        <f t="shared" si="7"/>
        <v>#DIV/0!</v>
      </c>
      <c r="G46" s="222" t="e">
        <f t="shared" si="11"/>
        <v>#N/A</v>
      </c>
      <c r="I46" s="231"/>
      <c r="J46" s="220"/>
      <c r="K46" s="221" t="e">
        <f t="shared" si="8"/>
        <v>#DIV/0!</v>
      </c>
      <c r="L46" s="221" t="e">
        <f t="shared" si="13"/>
        <v>#DIV/0!</v>
      </c>
      <c r="M46" s="222" t="e">
        <f t="shared" si="12"/>
        <v>#DIV/0!</v>
      </c>
    </row>
    <row r="47" spans="2:13" ht="15" hidden="1" outlineLevel="1" thickBot="1">
      <c r="B47" s="231"/>
      <c r="C47" s="220"/>
      <c r="D47" s="221" t="e">
        <f t="shared" si="9"/>
        <v>#DIV/0!</v>
      </c>
      <c r="E47" s="221" t="e">
        <f t="shared" si="10"/>
        <v>#DIV/0!</v>
      </c>
      <c r="F47" s="222" t="e">
        <f t="shared" si="7"/>
        <v>#DIV/0!</v>
      </c>
      <c r="G47" s="222" t="e">
        <f t="shared" si="11"/>
        <v>#N/A</v>
      </c>
      <c r="I47" s="231"/>
      <c r="J47" s="220"/>
      <c r="K47" s="221" t="e">
        <f t="shared" si="8"/>
        <v>#DIV/0!</v>
      </c>
      <c r="L47" s="221" t="e">
        <f t="shared" si="13"/>
        <v>#DIV/0!</v>
      </c>
      <c r="M47" s="222" t="e">
        <f t="shared" si="12"/>
        <v>#DIV/0!</v>
      </c>
    </row>
    <row r="48" spans="2:13" ht="15" hidden="1" outlineLevel="1" thickBot="1">
      <c r="B48" s="231"/>
      <c r="C48" s="220"/>
      <c r="D48" s="221" t="e">
        <f t="shared" si="9"/>
        <v>#DIV/0!</v>
      </c>
      <c r="E48" s="221" t="e">
        <f t="shared" si="10"/>
        <v>#DIV/0!</v>
      </c>
      <c r="F48" s="222" t="e">
        <f t="shared" si="7"/>
        <v>#DIV/0!</v>
      </c>
      <c r="G48" s="222" t="e">
        <f t="shared" si="11"/>
        <v>#N/A</v>
      </c>
      <c r="I48" s="231"/>
      <c r="J48" s="220"/>
      <c r="K48" s="221" t="e">
        <f t="shared" si="8"/>
        <v>#DIV/0!</v>
      </c>
      <c r="L48" s="221" t="e">
        <f t="shared" si="13"/>
        <v>#DIV/0!</v>
      </c>
      <c r="M48" s="222" t="e">
        <f t="shared" si="12"/>
        <v>#DIV/0!</v>
      </c>
    </row>
    <row r="49" spans="2:13" ht="15" hidden="1" outlineLevel="1" thickBot="1">
      <c r="B49" s="231"/>
      <c r="C49" s="220"/>
      <c r="D49" s="221" t="e">
        <f t="shared" si="9"/>
        <v>#DIV/0!</v>
      </c>
      <c r="E49" s="221" t="e">
        <f t="shared" si="10"/>
        <v>#DIV/0!</v>
      </c>
      <c r="F49" s="222" t="e">
        <f t="shared" si="7"/>
        <v>#DIV/0!</v>
      </c>
      <c r="G49" s="222" t="e">
        <f t="shared" si="11"/>
        <v>#N/A</v>
      </c>
      <c r="I49" s="231"/>
      <c r="J49" s="220"/>
      <c r="K49" s="221" t="e">
        <f t="shared" si="8"/>
        <v>#DIV/0!</v>
      </c>
      <c r="L49" s="221" t="e">
        <f t="shared" si="13"/>
        <v>#DIV/0!</v>
      </c>
      <c r="M49" s="222" t="e">
        <f t="shared" si="12"/>
        <v>#DIV/0!</v>
      </c>
    </row>
    <row r="50" spans="2:13" ht="15" hidden="1" outlineLevel="1" thickBot="1">
      <c r="B50" s="231"/>
      <c r="C50" s="220"/>
      <c r="D50" s="221" t="e">
        <f t="shared" si="9"/>
        <v>#DIV/0!</v>
      </c>
      <c r="E50" s="221" t="e">
        <f t="shared" si="10"/>
        <v>#DIV/0!</v>
      </c>
      <c r="F50" s="222" t="e">
        <f t="shared" si="7"/>
        <v>#DIV/0!</v>
      </c>
      <c r="G50" s="222" t="e">
        <f t="shared" si="11"/>
        <v>#N/A</v>
      </c>
      <c r="I50" s="231"/>
      <c r="J50" s="220"/>
      <c r="K50" s="221" t="e">
        <f t="shared" si="8"/>
        <v>#DIV/0!</v>
      </c>
      <c r="L50" s="221" t="e">
        <f t="shared" si="13"/>
        <v>#DIV/0!</v>
      </c>
      <c r="M50" s="222" t="e">
        <f t="shared" si="12"/>
        <v>#DIV/0!</v>
      </c>
    </row>
    <row r="51" spans="2:13" ht="15" hidden="1" outlineLevel="1" thickBot="1">
      <c r="B51" s="231"/>
      <c r="C51" s="220"/>
      <c r="D51" s="221" t="e">
        <f t="shared" si="9"/>
        <v>#DIV/0!</v>
      </c>
      <c r="E51" s="221" t="e">
        <f t="shared" si="10"/>
        <v>#DIV/0!</v>
      </c>
      <c r="F51" s="222" t="e">
        <f t="shared" si="7"/>
        <v>#DIV/0!</v>
      </c>
      <c r="G51" s="222" t="e">
        <f t="shared" si="11"/>
        <v>#N/A</v>
      </c>
      <c r="I51" s="231"/>
      <c r="J51" s="220"/>
      <c r="K51" s="221" t="e">
        <f t="shared" si="8"/>
        <v>#DIV/0!</v>
      </c>
      <c r="L51" s="221" t="e">
        <f t="shared" si="13"/>
        <v>#DIV/0!</v>
      </c>
      <c r="M51" s="222" t="e">
        <f t="shared" si="12"/>
        <v>#DIV/0!</v>
      </c>
    </row>
    <row r="52" spans="2:13" ht="15" hidden="1" outlineLevel="1" thickBot="1">
      <c r="B52" s="231"/>
      <c r="C52" s="220"/>
      <c r="D52" s="221" t="e">
        <f t="shared" si="9"/>
        <v>#DIV/0!</v>
      </c>
      <c r="E52" s="221" t="e">
        <f t="shared" si="10"/>
        <v>#DIV/0!</v>
      </c>
      <c r="F52" s="222" t="e">
        <f t="shared" si="7"/>
        <v>#DIV/0!</v>
      </c>
      <c r="G52" s="222" t="e">
        <f t="shared" si="11"/>
        <v>#N/A</v>
      </c>
      <c r="I52" s="231"/>
      <c r="J52" s="220"/>
      <c r="K52" s="221" t="e">
        <f t="shared" si="8"/>
        <v>#DIV/0!</v>
      </c>
      <c r="L52" s="221" t="e">
        <f t="shared" si="13"/>
        <v>#DIV/0!</v>
      </c>
      <c r="M52" s="222" t="e">
        <f t="shared" si="12"/>
        <v>#DIV/0!</v>
      </c>
    </row>
    <row r="53" spans="2:13" ht="15" hidden="1" customHeight="1" outlineLevel="1">
      <c r="B53" s="231"/>
      <c r="C53" s="220"/>
      <c r="D53" s="221" t="e">
        <f t="shared" si="9"/>
        <v>#DIV/0!</v>
      </c>
      <c r="E53" s="221" t="e">
        <f t="shared" si="10"/>
        <v>#DIV/0!</v>
      </c>
      <c r="F53" s="222" t="e">
        <f t="shared" si="7"/>
        <v>#DIV/0!</v>
      </c>
      <c r="G53" s="222" t="e">
        <f t="shared" si="11"/>
        <v>#N/A</v>
      </c>
      <c r="I53" s="231"/>
      <c r="J53" s="220"/>
      <c r="K53" s="221" t="e">
        <f t="shared" si="8"/>
        <v>#DIV/0!</v>
      </c>
      <c r="L53" s="221" t="e">
        <f t="shared" si="13"/>
        <v>#DIV/0!</v>
      </c>
      <c r="M53" s="222" t="e">
        <f t="shared" si="12"/>
        <v>#DIV/0!</v>
      </c>
    </row>
    <row r="54" spans="2:13" ht="15" hidden="1" outlineLevel="1" thickBot="1">
      <c r="B54" s="231"/>
      <c r="C54" s="220"/>
      <c r="D54" s="221" t="e">
        <f t="shared" si="9"/>
        <v>#DIV/0!</v>
      </c>
      <c r="E54" s="221" t="e">
        <f t="shared" si="10"/>
        <v>#DIV/0!</v>
      </c>
      <c r="F54" s="222" t="e">
        <f t="shared" si="7"/>
        <v>#DIV/0!</v>
      </c>
      <c r="G54" s="222" t="e">
        <f t="shared" si="11"/>
        <v>#N/A</v>
      </c>
      <c r="I54" s="231"/>
      <c r="J54" s="220"/>
      <c r="K54" s="221" t="e">
        <f t="shared" si="8"/>
        <v>#DIV/0!</v>
      </c>
      <c r="L54" s="221" t="e">
        <f t="shared" si="13"/>
        <v>#DIV/0!</v>
      </c>
      <c r="M54" s="222" t="e">
        <f t="shared" si="12"/>
        <v>#DIV/0!</v>
      </c>
    </row>
    <row r="55" spans="2:13" ht="15" hidden="1" outlineLevel="1" thickBot="1">
      <c r="B55" s="231"/>
      <c r="C55" s="220"/>
      <c r="D55" s="221" t="e">
        <f t="shared" si="9"/>
        <v>#DIV/0!</v>
      </c>
      <c r="E55" s="221" t="e">
        <f t="shared" si="10"/>
        <v>#DIV/0!</v>
      </c>
      <c r="F55" s="222" t="e">
        <f t="shared" si="7"/>
        <v>#DIV/0!</v>
      </c>
      <c r="G55" s="222" t="e">
        <f t="shared" si="11"/>
        <v>#N/A</v>
      </c>
      <c r="I55" s="231"/>
      <c r="J55" s="220"/>
      <c r="K55" s="221" t="e">
        <f t="shared" si="8"/>
        <v>#DIV/0!</v>
      </c>
      <c r="L55" s="221" t="e">
        <f t="shared" si="13"/>
        <v>#DIV/0!</v>
      </c>
      <c r="M55" s="222" t="e">
        <f t="shared" si="12"/>
        <v>#DIV/0!</v>
      </c>
    </row>
    <row r="56" spans="2:13" ht="15" hidden="1" outlineLevel="1" thickBot="1">
      <c r="B56" s="231"/>
      <c r="C56" s="220"/>
      <c r="D56" s="221" t="e">
        <f t="shared" si="9"/>
        <v>#DIV/0!</v>
      </c>
      <c r="E56" s="221" t="e">
        <f t="shared" si="10"/>
        <v>#DIV/0!</v>
      </c>
      <c r="F56" s="222" t="e">
        <f t="shared" si="7"/>
        <v>#DIV/0!</v>
      </c>
      <c r="G56" s="222" t="e">
        <f t="shared" si="11"/>
        <v>#N/A</v>
      </c>
      <c r="I56" s="231"/>
      <c r="J56" s="220"/>
      <c r="K56" s="221" t="e">
        <f t="shared" si="8"/>
        <v>#DIV/0!</v>
      </c>
      <c r="L56" s="221" t="e">
        <f t="shared" si="13"/>
        <v>#DIV/0!</v>
      </c>
      <c r="M56" s="222" t="e">
        <f t="shared" si="12"/>
        <v>#DIV/0!</v>
      </c>
    </row>
    <row r="57" spans="2:13" ht="15" hidden="1" outlineLevel="1" thickBot="1">
      <c r="B57" s="231"/>
      <c r="C57" s="220"/>
      <c r="D57" s="221" t="e">
        <f t="shared" si="9"/>
        <v>#DIV/0!</v>
      </c>
      <c r="E57" s="221" t="e">
        <f t="shared" si="10"/>
        <v>#DIV/0!</v>
      </c>
      <c r="F57" s="222" t="e">
        <f t="shared" si="7"/>
        <v>#DIV/0!</v>
      </c>
      <c r="G57" s="222" t="e">
        <f t="shared" si="11"/>
        <v>#N/A</v>
      </c>
      <c r="I57" s="231"/>
      <c r="J57" s="220"/>
      <c r="K57" s="221" t="e">
        <f t="shared" si="8"/>
        <v>#DIV/0!</v>
      </c>
      <c r="L57" s="221" t="e">
        <f t="shared" si="13"/>
        <v>#DIV/0!</v>
      </c>
      <c r="M57" s="222" t="e">
        <f t="shared" si="12"/>
        <v>#DIV/0!</v>
      </c>
    </row>
    <row r="58" spans="2:13" ht="15" hidden="1" outlineLevel="1" thickBot="1">
      <c r="B58" s="231"/>
      <c r="C58" s="220"/>
      <c r="D58" s="221" t="e">
        <f t="shared" si="9"/>
        <v>#DIV/0!</v>
      </c>
      <c r="E58" s="221" t="e">
        <f t="shared" si="10"/>
        <v>#DIV/0!</v>
      </c>
      <c r="F58" s="222" t="e">
        <f t="shared" si="7"/>
        <v>#DIV/0!</v>
      </c>
      <c r="G58" s="222" t="e">
        <f t="shared" si="11"/>
        <v>#N/A</v>
      </c>
      <c r="I58" s="231"/>
      <c r="J58" s="220"/>
      <c r="K58" s="221" t="e">
        <f t="shared" si="8"/>
        <v>#DIV/0!</v>
      </c>
      <c r="L58" s="221" t="e">
        <f t="shared" si="13"/>
        <v>#DIV/0!</v>
      </c>
      <c r="M58" s="222" t="e">
        <f t="shared" si="12"/>
        <v>#DIV/0!</v>
      </c>
    </row>
    <row r="59" spans="2:13" ht="15" hidden="1" outlineLevel="1" thickBot="1">
      <c r="B59" s="231"/>
      <c r="C59" s="220"/>
      <c r="D59" s="221" t="e">
        <f t="shared" si="9"/>
        <v>#DIV/0!</v>
      </c>
      <c r="E59" s="221" t="e">
        <f t="shared" si="10"/>
        <v>#DIV/0!</v>
      </c>
      <c r="F59" s="222" t="e">
        <f t="shared" si="7"/>
        <v>#DIV/0!</v>
      </c>
      <c r="G59" s="222" t="e">
        <f t="shared" si="11"/>
        <v>#N/A</v>
      </c>
      <c r="I59" s="231"/>
      <c r="J59" s="220"/>
      <c r="K59" s="221" t="e">
        <f t="shared" si="8"/>
        <v>#DIV/0!</v>
      </c>
      <c r="L59" s="221" t="e">
        <f t="shared" si="13"/>
        <v>#DIV/0!</v>
      </c>
      <c r="M59" s="222" t="e">
        <f t="shared" si="12"/>
        <v>#DIV/0!</v>
      </c>
    </row>
    <row r="60" spans="2:13" ht="15" hidden="1" outlineLevel="1" thickBot="1">
      <c r="B60" s="231"/>
      <c r="C60" s="220"/>
      <c r="D60" s="221" t="e">
        <f t="shared" si="9"/>
        <v>#DIV/0!</v>
      </c>
      <c r="E60" s="221" t="e">
        <f t="shared" si="10"/>
        <v>#DIV/0!</v>
      </c>
      <c r="F60" s="222" t="e">
        <f t="shared" si="7"/>
        <v>#DIV/0!</v>
      </c>
      <c r="G60" s="222" t="e">
        <f t="shared" si="11"/>
        <v>#N/A</v>
      </c>
      <c r="I60" s="231"/>
      <c r="J60" s="220"/>
      <c r="K60" s="221" t="e">
        <f t="shared" si="8"/>
        <v>#DIV/0!</v>
      </c>
      <c r="L60" s="221" t="e">
        <f t="shared" si="13"/>
        <v>#DIV/0!</v>
      </c>
      <c r="M60" s="222" t="e">
        <f t="shared" si="12"/>
        <v>#DIV/0!</v>
      </c>
    </row>
    <row r="61" spans="2:13" ht="15" hidden="1" outlineLevel="1" thickBot="1">
      <c r="B61" s="231"/>
      <c r="C61" s="220"/>
      <c r="D61" s="221" t="e">
        <f t="shared" si="9"/>
        <v>#DIV/0!</v>
      </c>
      <c r="E61" s="221" t="e">
        <f t="shared" si="10"/>
        <v>#DIV/0!</v>
      </c>
      <c r="F61" s="222" t="e">
        <f t="shared" si="7"/>
        <v>#DIV/0!</v>
      </c>
      <c r="G61" s="222" t="e">
        <f t="shared" si="11"/>
        <v>#N/A</v>
      </c>
      <c r="I61" s="231"/>
      <c r="J61" s="220"/>
      <c r="K61" s="221" t="e">
        <f t="shared" si="8"/>
        <v>#DIV/0!</v>
      </c>
      <c r="L61" s="221" t="e">
        <f t="shared" si="13"/>
        <v>#DIV/0!</v>
      </c>
      <c r="M61" s="222" t="e">
        <f t="shared" si="12"/>
        <v>#DIV/0!</v>
      </c>
    </row>
    <row r="62" spans="2:13" ht="15" hidden="1" outlineLevel="1" thickBot="1">
      <c r="B62" s="231"/>
      <c r="C62" s="220"/>
      <c r="D62" s="221" t="e">
        <f t="shared" si="9"/>
        <v>#DIV/0!</v>
      </c>
      <c r="E62" s="221" t="e">
        <f t="shared" si="10"/>
        <v>#DIV/0!</v>
      </c>
      <c r="F62" s="222" t="e">
        <f t="shared" si="7"/>
        <v>#DIV/0!</v>
      </c>
      <c r="G62" s="222" t="e">
        <f t="shared" si="11"/>
        <v>#N/A</v>
      </c>
      <c r="I62" s="231"/>
      <c r="J62" s="220"/>
      <c r="K62" s="221" t="e">
        <f t="shared" si="8"/>
        <v>#DIV/0!</v>
      </c>
      <c r="L62" s="221" t="e">
        <f t="shared" si="13"/>
        <v>#DIV/0!</v>
      </c>
      <c r="M62" s="222" t="e">
        <f t="shared" si="12"/>
        <v>#DIV/0!</v>
      </c>
    </row>
    <row r="63" spans="2:13" ht="15" hidden="1" outlineLevel="1" thickBot="1">
      <c r="B63" s="231"/>
      <c r="C63" s="220"/>
      <c r="D63" s="221" t="e">
        <f t="shared" si="9"/>
        <v>#DIV/0!</v>
      </c>
      <c r="E63" s="221" t="e">
        <f t="shared" si="10"/>
        <v>#DIV/0!</v>
      </c>
      <c r="F63" s="222" t="e">
        <f t="shared" si="7"/>
        <v>#DIV/0!</v>
      </c>
      <c r="G63" s="222" t="e">
        <f t="shared" si="11"/>
        <v>#N/A</v>
      </c>
      <c r="I63" s="231"/>
      <c r="J63" s="220"/>
      <c r="K63" s="221" t="e">
        <f t="shared" si="8"/>
        <v>#DIV/0!</v>
      </c>
      <c r="L63" s="221" t="e">
        <f t="shared" si="13"/>
        <v>#DIV/0!</v>
      </c>
      <c r="M63" s="222" t="e">
        <f t="shared" si="12"/>
        <v>#DIV/0!</v>
      </c>
    </row>
    <row r="64" spans="2:13" ht="15" hidden="1" outlineLevel="1" thickBot="1">
      <c r="B64" s="231"/>
      <c r="C64" s="220"/>
      <c r="D64" s="221" t="e">
        <f t="shared" si="9"/>
        <v>#DIV/0!</v>
      </c>
      <c r="E64" s="221" t="e">
        <f t="shared" si="10"/>
        <v>#DIV/0!</v>
      </c>
      <c r="F64" s="222" t="e">
        <f t="shared" si="7"/>
        <v>#DIV/0!</v>
      </c>
      <c r="G64" s="222" t="e">
        <f t="shared" si="11"/>
        <v>#N/A</v>
      </c>
      <c r="I64" s="231"/>
      <c r="J64" s="220"/>
      <c r="K64" s="221" t="e">
        <f t="shared" si="8"/>
        <v>#DIV/0!</v>
      </c>
      <c r="L64" s="221" t="e">
        <f t="shared" si="13"/>
        <v>#DIV/0!</v>
      </c>
      <c r="M64" s="222" t="e">
        <f t="shared" si="12"/>
        <v>#DIV/0!</v>
      </c>
    </row>
    <row r="65" spans="2:13" ht="15" hidden="1" outlineLevel="1" thickBot="1">
      <c r="B65" s="231"/>
      <c r="C65" s="220"/>
      <c r="D65" s="221" t="e">
        <f t="shared" si="9"/>
        <v>#DIV/0!</v>
      </c>
      <c r="E65" s="221" t="e">
        <f>D65+E64</f>
        <v>#DIV/0!</v>
      </c>
      <c r="F65" s="222" t="e">
        <f t="shared" si="7"/>
        <v>#DIV/0!</v>
      </c>
      <c r="G65" s="222" t="e">
        <f t="shared" si="11"/>
        <v>#N/A</v>
      </c>
      <c r="I65" s="231"/>
      <c r="J65" s="220"/>
      <c r="K65" s="221" t="e">
        <f t="shared" si="8"/>
        <v>#DIV/0!</v>
      </c>
      <c r="L65" s="221" t="e">
        <f t="shared" si="13"/>
        <v>#DIV/0!</v>
      </c>
      <c r="M65" s="222" t="e">
        <f t="shared" si="12"/>
        <v>#DIV/0!</v>
      </c>
    </row>
    <row r="66" spans="2:13" ht="15" hidden="1" outlineLevel="1" thickBot="1">
      <c r="B66" s="231"/>
      <c r="C66" s="220"/>
      <c r="D66" s="221" t="e">
        <f t="shared" si="9"/>
        <v>#DIV/0!</v>
      </c>
      <c r="E66" s="221" t="e">
        <f t="shared" si="10"/>
        <v>#DIV/0!</v>
      </c>
      <c r="F66" s="222" t="e">
        <f t="shared" si="7"/>
        <v>#DIV/0!</v>
      </c>
      <c r="G66" s="222" t="e">
        <f t="shared" si="11"/>
        <v>#N/A</v>
      </c>
      <c r="I66" s="231"/>
      <c r="J66" s="220"/>
      <c r="K66" s="221" t="e">
        <f t="shared" si="8"/>
        <v>#DIV/0!</v>
      </c>
      <c r="L66" s="221" t="e">
        <f t="shared" si="13"/>
        <v>#DIV/0!</v>
      </c>
      <c r="M66" s="222" t="e">
        <f t="shared" si="12"/>
        <v>#DIV/0!</v>
      </c>
    </row>
    <row r="67" spans="2:13" ht="15" hidden="1" outlineLevel="1" thickBot="1">
      <c r="B67" s="231"/>
      <c r="C67" s="220"/>
      <c r="D67" s="221" t="e">
        <f t="shared" si="9"/>
        <v>#DIV/0!</v>
      </c>
      <c r="E67" s="221" t="e">
        <f t="shared" si="10"/>
        <v>#DIV/0!</v>
      </c>
      <c r="F67" s="222" t="e">
        <f t="shared" si="7"/>
        <v>#DIV/0!</v>
      </c>
      <c r="G67" s="222" t="e">
        <f t="shared" si="11"/>
        <v>#N/A</v>
      </c>
      <c r="I67" s="231"/>
      <c r="J67" s="220"/>
      <c r="K67" s="221" t="e">
        <f t="shared" si="8"/>
        <v>#DIV/0!</v>
      </c>
      <c r="L67" s="221" t="e">
        <f t="shared" si="13"/>
        <v>#DIV/0!</v>
      </c>
      <c r="M67" s="222" t="e">
        <f t="shared" si="12"/>
        <v>#DIV/0!</v>
      </c>
    </row>
    <row r="68" spans="2:13" ht="15" hidden="1" outlineLevel="1" thickBot="1">
      <c r="B68" s="231"/>
      <c r="C68" s="220"/>
      <c r="D68" s="221" t="e">
        <f t="shared" si="9"/>
        <v>#DIV/0!</v>
      </c>
      <c r="E68" s="221" t="e">
        <f t="shared" si="10"/>
        <v>#DIV/0!</v>
      </c>
      <c r="F68" s="222" t="e">
        <f t="shared" si="7"/>
        <v>#DIV/0!</v>
      </c>
      <c r="G68" s="222" t="e">
        <f t="shared" si="11"/>
        <v>#N/A</v>
      </c>
      <c r="I68" s="231"/>
      <c r="J68" s="220"/>
      <c r="K68" s="221" t="e">
        <f t="shared" si="8"/>
        <v>#DIV/0!</v>
      </c>
      <c r="L68" s="221" t="e">
        <f t="shared" si="13"/>
        <v>#DIV/0!</v>
      </c>
      <c r="M68" s="222" t="e">
        <f t="shared" si="12"/>
        <v>#DIV/0!</v>
      </c>
    </row>
    <row r="69" spans="2:13" ht="16" hidden="1" customHeight="1" outlineLevel="1">
      <c r="B69" s="231"/>
      <c r="C69" s="220"/>
      <c r="D69" s="221" t="e">
        <f t="shared" si="9"/>
        <v>#DIV/0!</v>
      </c>
      <c r="E69" s="221" t="e">
        <f t="shared" si="10"/>
        <v>#DIV/0!</v>
      </c>
      <c r="F69" s="222" t="e">
        <f t="shared" si="7"/>
        <v>#DIV/0!</v>
      </c>
      <c r="G69" s="222" t="e">
        <f t="shared" si="11"/>
        <v>#N/A</v>
      </c>
      <c r="I69" s="231"/>
      <c r="J69" s="220"/>
      <c r="K69" s="221" t="e">
        <f t="shared" si="8"/>
        <v>#DIV/0!</v>
      </c>
      <c r="L69" s="221" t="e">
        <f t="shared" si="13"/>
        <v>#DIV/0!</v>
      </c>
      <c r="M69" s="222" t="e">
        <f t="shared" si="12"/>
        <v>#DIV/0!</v>
      </c>
    </row>
    <row r="70" spans="2:13" ht="15" hidden="1" outlineLevel="1" thickBot="1">
      <c r="B70" s="231"/>
      <c r="C70" s="220"/>
      <c r="D70" s="221" t="e">
        <f t="shared" si="9"/>
        <v>#DIV/0!</v>
      </c>
      <c r="E70" s="221" t="e">
        <f t="shared" si="10"/>
        <v>#DIV/0!</v>
      </c>
      <c r="F70" s="222" t="e">
        <f t="shared" si="7"/>
        <v>#DIV/0!</v>
      </c>
      <c r="G70" s="222" t="e">
        <f t="shared" si="11"/>
        <v>#N/A</v>
      </c>
      <c r="I70" s="231"/>
      <c r="J70" s="220"/>
      <c r="K70" s="221" t="e">
        <f t="shared" si="8"/>
        <v>#DIV/0!</v>
      </c>
      <c r="L70" s="221" t="e">
        <f t="shared" si="13"/>
        <v>#DIV/0!</v>
      </c>
      <c r="M70" s="222" t="e">
        <f t="shared" si="12"/>
        <v>#DIV/0!</v>
      </c>
    </row>
    <row r="71" spans="2:13" ht="15" hidden="1" outlineLevel="1" thickBot="1">
      <c r="B71" s="231"/>
      <c r="C71" s="220"/>
      <c r="D71" s="221" t="e">
        <f t="shared" si="9"/>
        <v>#DIV/0!</v>
      </c>
      <c r="E71" s="221" t="e">
        <f t="shared" si="10"/>
        <v>#DIV/0!</v>
      </c>
      <c r="F71" s="222" t="e">
        <f t="shared" si="7"/>
        <v>#DIV/0!</v>
      </c>
      <c r="G71" s="222" t="e">
        <f t="shared" si="11"/>
        <v>#N/A</v>
      </c>
      <c r="I71" s="231"/>
      <c r="J71" s="220"/>
      <c r="K71" s="221" t="e">
        <f t="shared" si="8"/>
        <v>#DIV/0!</v>
      </c>
      <c r="L71" s="221" t="e">
        <f t="shared" si="13"/>
        <v>#DIV/0!</v>
      </c>
      <c r="M71" s="222" t="e">
        <f t="shared" si="12"/>
        <v>#DIV/0!</v>
      </c>
    </row>
    <row r="72" spans="2:13" ht="15" hidden="1" outlineLevel="1" thickBot="1">
      <c r="B72" s="231"/>
      <c r="C72" s="220"/>
      <c r="D72" s="221" t="e">
        <f t="shared" si="9"/>
        <v>#DIV/0!</v>
      </c>
      <c r="E72" s="221" t="e">
        <f t="shared" si="10"/>
        <v>#DIV/0!</v>
      </c>
      <c r="F72" s="222" t="e">
        <f t="shared" si="7"/>
        <v>#DIV/0!</v>
      </c>
      <c r="G72" s="222" t="e">
        <f t="shared" si="11"/>
        <v>#N/A</v>
      </c>
      <c r="I72" s="231"/>
      <c r="J72" s="220"/>
      <c r="K72" s="221" t="e">
        <f t="shared" si="8"/>
        <v>#DIV/0!</v>
      </c>
      <c r="L72" s="221" t="e">
        <f t="shared" si="13"/>
        <v>#DIV/0!</v>
      </c>
      <c r="M72" s="222" t="e">
        <f t="shared" si="12"/>
        <v>#DIV/0!</v>
      </c>
    </row>
    <row r="73" spans="2:13" hidden="1" outlineLevel="1">
      <c r="C73" s="227">
        <f>SUM(C21:C72)</f>
        <v>0</v>
      </c>
      <c r="D73" s="232" t="e">
        <f>SUM(D21:D72)</f>
        <v>#DIV/0!</v>
      </c>
      <c r="J73" s="227">
        <f>SUM(J21:J72)</f>
        <v>0</v>
      </c>
      <c r="K73" s="232" t="e">
        <f>SUM(K21:K72)</f>
        <v>#DIV/0!</v>
      </c>
      <c r="L73" s="232"/>
    </row>
    <row r="74" spans="2:13" collapsed="1"/>
  </sheetData>
  <sortState xmlns:xlrd2="http://schemas.microsoft.com/office/spreadsheetml/2017/richdata2" ref="B4:C16">
    <sortCondition descending="1" ref="C4:C16"/>
  </sortState>
  <mergeCells count="2">
    <mergeCell ref="B2:M2"/>
    <mergeCell ref="B19:M19"/>
  </mergeCells>
  <conditionalFormatting sqref="M21:M72 K21:K72 D21:D72 G4:G16 D4:D16 K4:K16 M4:M16">
    <cfRule type="cellIs" dxfId="66" priority="10" operator="equal">
      <formula>"C"</formula>
    </cfRule>
    <cfRule type="cellIs" dxfId="65" priority="11" operator="equal">
      <formula>"B"</formula>
    </cfRule>
    <cfRule type="cellIs" dxfId="64" priority="12" operator="equal">
      <formula>"A"</formula>
    </cfRule>
  </conditionalFormatting>
  <conditionalFormatting sqref="G21:G72">
    <cfRule type="cellIs" dxfId="63" priority="7" operator="equal">
      <formula>"C"</formula>
    </cfRule>
    <cfRule type="cellIs" dxfId="62" priority="8" operator="equal">
      <formula>"B"</formula>
    </cfRule>
    <cfRule type="cellIs" dxfId="61" priority="9" operator="equal">
      <formula>"A"</formula>
    </cfRule>
  </conditionalFormatting>
  <conditionalFormatting sqref="F4:F16">
    <cfRule type="cellIs" dxfId="60" priority="4" operator="equal">
      <formula>"C"</formula>
    </cfRule>
    <cfRule type="cellIs" dxfId="59" priority="5" operator="equal">
      <formula>"B"</formula>
    </cfRule>
    <cfRule type="cellIs" dxfId="58" priority="6" operator="equal">
      <formula>"A"</formula>
    </cfRule>
  </conditionalFormatting>
  <conditionalFormatting sqref="F21:F72">
    <cfRule type="cellIs" dxfId="57" priority="1" operator="equal">
      <formula>"C"</formula>
    </cfRule>
    <cfRule type="cellIs" dxfId="56" priority="2" operator="equal">
      <formula>"B"</formula>
    </cfRule>
    <cfRule type="cellIs" dxfId="55" priority="3" operator="equal">
      <formula>"A"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2738A-9C89-4FA9-A5A8-91F069722929}">
  <dimension ref="B1:Q74"/>
  <sheetViews>
    <sheetView zoomScale="80" zoomScaleNormal="80" workbookViewId="0">
      <selection activeCell="O14" sqref="O14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337" t="s">
        <v>112</v>
      </c>
      <c r="C2" s="338"/>
      <c r="D2" s="338"/>
      <c r="E2" s="338"/>
      <c r="F2" s="338"/>
      <c r="G2" s="338"/>
      <c r="H2" s="338"/>
      <c r="I2" s="338"/>
      <c r="J2" s="338"/>
      <c r="K2" s="338"/>
      <c r="L2" s="338"/>
      <c r="M2" s="339"/>
    </row>
    <row r="3" spans="2:17" ht="28.5" customHeight="1" outlineLevel="1" thickBot="1">
      <c r="C3" s="216" t="s">
        <v>11</v>
      </c>
      <c r="D3" s="217" t="s">
        <v>113</v>
      </c>
      <c r="E3" s="218" t="s">
        <v>114</v>
      </c>
      <c r="F3" s="217" t="s">
        <v>115</v>
      </c>
      <c r="G3" s="217" t="s">
        <v>116</v>
      </c>
      <c r="J3" s="216" t="s">
        <v>117</v>
      </c>
      <c r="K3" s="217" t="s">
        <v>118</v>
      </c>
      <c r="L3" s="218" t="s">
        <v>114</v>
      </c>
      <c r="M3" s="219" t="s">
        <v>116</v>
      </c>
    </row>
    <row r="4" spans="2:17" ht="15" outlineLevel="1" thickBot="1">
      <c r="B4" s="115" t="s">
        <v>98</v>
      </c>
      <c r="C4" s="220">
        <f>'Юнит 1'!AL8</f>
        <v>15664.998095999996</v>
      </c>
      <c r="D4" s="221">
        <f t="shared" ref="D4:D16" si="0">C4/C$17</f>
        <v>0.84084556857718584</v>
      </c>
      <c r="E4" s="221">
        <f>D4</f>
        <v>0.84084556857718584</v>
      </c>
      <c r="F4" s="222" t="str">
        <f>IF(AND(E4&lt;=0),"C",IF(E4&lt;=0.8,"A",IF(E4&lt;=0.95,"B","C")))</f>
        <v>B</v>
      </c>
      <c r="G4" s="222" t="str">
        <f>VLOOKUP(B$4:B$16,I$4:M$16,5,0)</f>
        <v>A</v>
      </c>
      <c r="I4" s="115" t="s">
        <v>98</v>
      </c>
      <c r="J4" s="220">
        <f>'Юнит 1'!S8</f>
        <v>35</v>
      </c>
      <c r="K4" s="221">
        <f t="shared" ref="K4:K16" si="1">J4/J$17</f>
        <v>0.77777777777777779</v>
      </c>
      <c r="L4" s="221">
        <f>K4</f>
        <v>0.77777777777777779</v>
      </c>
      <c r="M4" s="222" t="str">
        <f>_xlfn.IFS(L4&lt;80%,"A",L4&lt;=95%,"B",L4&gt;95%,"C")</f>
        <v>A</v>
      </c>
      <c r="P4" s="223" t="s">
        <v>119</v>
      </c>
      <c r="Q4" s="224">
        <v>0.8</v>
      </c>
    </row>
    <row r="5" spans="2:17" ht="15" outlineLevel="1" thickBot="1">
      <c r="B5" s="115" t="s">
        <v>96</v>
      </c>
      <c r="C5" s="220">
        <f>'Юнит 1'!AL6</f>
        <v>1928.043872</v>
      </c>
      <c r="D5" s="221">
        <f t="shared" si="0"/>
        <v>0.10349105284650903</v>
      </c>
      <c r="E5" s="221">
        <f>E4+D5</f>
        <v>0.9443366214236949</v>
      </c>
      <c r="F5" s="222" t="str">
        <f t="shared" ref="F5:F16" si="2">IF(AND(E5&lt;=0),"C",IF(E5&lt;=0.8,"A",IF(E5&lt;=0.95,"B","C")))</f>
        <v>B</v>
      </c>
      <c r="G5" s="222" t="str">
        <f t="shared" ref="G5:G16" si="3">VLOOKUP(B$4:B$16,I$4:M$16,5,0)</f>
        <v>C</v>
      </c>
      <c r="I5" s="115" t="s">
        <v>92</v>
      </c>
      <c r="J5" s="220">
        <f>'Юнит 1'!S3</f>
        <v>4</v>
      </c>
      <c r="K5" s="221">
        <f t="shared" si="1"/>
        <v>8.8888888888888892E-2</v>
      </c>
      <c r="L5" s="221">
        <f>L4+K5</f>
        <v>0.8666666666666667</v>
      </c>
      <c r="M5" s="222" t="str">
        <f t="shared" ref="M5:M16" si="4">_xlfn.IFS(L5&lt;80%,"A",L5&lt;=95%,"B",L5&gt;95%,"C")</f>
        <v>B</v>
      </c>
      <c r="P5" s="225" t="s">
        <v>120</v>
      </c>
      <c r="Q5" s="224">
        <v>0.15</v>
      </c>
    </row>
    <row r="6" spans="2:17" ht="15" outlineLevel="1" thickBot="1">
      <c r="B6" s="115" t="s">
        <v>92</v>
      </c>
      <c r="C6" s="220">
        <f>'Юнит 1'!AL3</f>
        <v>1194.2556520000003</v>
      </c>
      <c r="D6" s="221">
        <f t="shared" si="0"/>
        <v>6.4103714956012234E-2</v>
      </c>
      <c r="E6" s="221">
        <f t="shared" ref="E6:E16" si="5">E5+D6</f>
        <v>1.0084403363797072</v>
      </c>
      <c r="F6" s="222" t="str">
        <f t="shared" si="2"/>
        <v>C</v>
      </c>
      <c r="G6" s="222" t="str">
        <f t="shared" si="3"/>
        <v>B</v>
      </c>
      <c r="I6" s="115" t="s">
        <v>96</v>
      </c>
      <c r="J6" s="220">
        <f>'Юнит 1'!S6</f>
        <v>4</v>
      </c>
      <c r="K6" s="221">
        <f t="shared" si="1"/>
        <v>8.8888888888888892E-2</v>
      </c>
      <c r="L6" s="221">
        <f t="shared" ref="L6:L16" si="6">L5+K6</f>
        <v>0.9555555555555556</v>
      </c>
      <c r="M6" s="222" t="str">
        <f t="shared" si="4"/>
        <v>C</v>
      </c>
      <c r="P6" s="226" t="s">
        <v>121</v>
      </c>
      <c r="Q6" s="224">
        <v>0.05</v>
      </c>
    </row>
    <row r="7" spans="2:17" outlineLevel="1">
      <c r="B7" s="115" t="s">
        <v>101</v>
      </c>
      <c r="C7" s="220">
        <f>'Юнит 1'!AL11</f>
        <v>478.82606799999996</v>
      </c>
      <c r="D7" s="221">
        <f t="shared" si="0"/>
        <v>2.5701808256194142E-2</v>
      </c>
      <c r="E7" s="221">
        <f t="shared" si="5"/>
        <v>1.0341421446359014</v>
      </c>
      <c r="F7" s="222" t="str">
        <f t="shared" si="2"/>
        <v>C</v>
      </c>
      <c r="G7" s="222" t="str">
        <f t="shared" si="3"/>
        <v>C</v>
      </c>
      <c r="I7" s="115" t="s">
        <v>99</v>
      </c>
      <c r="J7" s="220">
        <f>'Юнит 1'!S9</f>
        <v>1</v>
      </c>
      <c r="K7" s="221">
        <f t="shared" si="1"/>
        <v>2.2222222222222223E-2</v>
      </c>
      <c r="L7" s="221">
        <f t="shared" si="6"/>
        <v>0.97777777777777786</v>
      </c>
      <c r="M7" s="222" t="str">
        <f t="shared" si="4"/>
        <v>C</v>
      </c>
    </row>
    <row r="8" spans="2:17" outlineLevel="1">
      <c r="B8" s="115" t="s">
        <v>103</v>
      </c>
      <c r="C8" s="220">
        <f>'Юнит 1'!AL13</f>
        <v>-5.0382240000000005</v>
      </c>
      <c r="D8" s="221">
        <f t="shared" si="0"/>
        <v>-2.7043529133788824E-4</v>
      </c>
      <c r="E8" s="221">
        <f t="shared" si="5"/>
        <v>1.0338717093445635</v>
      </c>
      <c r="F8" s="222" t="str">
        <f t="shared" si="2"/>
        <v>C</v>
      </c>
      <c r="G8" s="222" t="str">
        <f t="shared" si="3"/>
        <v>C</v>
      </c>
      <c r="I8" s="115" t="s">
        <v>101</v>
      </c>
      <c r="J8" s="220">
        <f>'Юнит 1'!S11</f>
        <v>1</v>
      </c>
      <c r="K8" s="221">
        <f t="shared" si="1"/>
        <v>2.2222222222222223E-2</v>
      </c>
      <c r="L8" s="221">
        <f t="shared" si="6"/>
        <v>1</v>
      </c>
      <c r="M8" s="222" t="str">
        <f t="shared" si="4"/>
        <v>C</v>
      </c>
    </row>
    <row r="9" spans="2:17" outlineLevel="1">
      <c r="B9" s="115" t="s">
        <v>105</v>
      </c>
      <c r="C9" s="220">
        <f>'Юнит 1'!AL15</f>
        <v>-15.534524000000001</v>
      </c>
      <c r="D9" s="221">
        <f t="shared" si="0"/>
        <v>-8.3384214829182218E-4</v>
      </c>
      <c r="E9" s="221">
        <f t="shared" si="5"/>
        <v>1.0330378671962717</v>
      </c>
      <c r="F9" s="222" t="str">
        <f t="shared" si="2"/>
        <v>C</v>
      </c>
      <c r="G9" s="222" t="str">
        <f t="shared" si="3"/>
        <v>C</v>
      </c>
      <c r="I9" s="115" t="s">
        <v>94</v>
      </c>
      <c r="J9" s="220">
        <f>'Юнит 1'!S4</f>
        <v>0</v>
      </c>
      <c r="K9" s="221">
        <f t="shared" si="1"/>
        <v>0</v>
      </c>
      <c r="L9" s="221">
        <f t="shared" si="6"/>
        <v>1</v>
      </c>
      <c r="M9" s="222" t="str">
        <f t="shared" si="4"/>
        <v>C</v>
      </c>
    </row>
    <row r="10" spans="2:17" outlineLevel="1">
      <c r="B10" s="115" t="s">
        <v>100</v>
      </c>
      <c r="C10" s="220">
        <f>'Юнит 1'!AL10</f>
        <v>-17.633784000000002</v>
      </c>
      <c r="D10" s="221">
        <f t="shared" si="0"/>
        <v>-9.4652351968260902E-4</v>
      </c>
      <c r="E10" s="221">
        <f t="shared" si="5"/>
        <v>1.0320913436765891</v>
      </c>
      <c r="F10" s="222" t="str">
        <f t="shared" si="2"/>
        <v>C</v>
      </c>
      <c r="G10" s="222" t="str">
        <f t="shared" si="3"/>
        <v>C</v>
      </c>
      <c r="I10" s="115" t="s">
        <v>95</v>
      </c>
      <c r="J10" s="220">
        <f>'Юнит 1'!S5</f>
        <v>0</v>
      </c>
      <c r="K10" s="221">
        <f t="shared" si="1"/>
        <v>0</v>
      </c>
      <c r="L10" s="221">
        <f t="shared" si="6"/>
        <v>1</v>
      </c>
      <c r="M10" s="222" t="str">
        <f t="shared" si="4"/>
        <v>C</v>
      </c>
    </row>
    <row r="11" spans="2:17" outlineLevel="1">
      <c r="B11" s="115" t="s">
        <v>102</v>
      </c>
      <c r="C11" s="220">
        <f>'Юнит 1'!AL12</f>
        <v>-19.313192000000001</v>
      </c>
      <c r="D11" s="221">
        <f t="shared" si="0"/>
        <v>-1.0366686167952383E-3</v>
      </c>
      <c r="E11" s="221">
        <f t="shared" si="5"/>
        <v>1.0310546750597938</v>
      </c>
      <c r="F11" s="222" t="str">
        <f t="shared" si="2"/>
        <v>C</v>
      </c>
      <c r="G11" s="222" t="str">
        <f t="shared" si="3"/>
        <v>C</v>
      </c>
      <c r="I11" s="115" t="s">
        <v>97</v>
      </c>
      <c r="J11" s="220">
        <f>'Юнит 1'!S7</f>
        <v>0</v>
      </c>
      <c r="K11" s="221">
        <f t="shared" si="1"/>
        <v>0</v>
      </c>
      <c r="L11" s="221">
        <f t="shared" si="6"/>
        <v>1</v>
      </c>
      <c r="M11" s="222" t="str">
        <f t="shared" si="4"/>
        <v>C</v>
      </c>
    </row>
    <row r="12" spans="2:17" outlineLevel="1">
      <c r="B12" s="115" t="s">
        <v>104</v>
      </c>
      <c r="C12" s="220">
        <f>'Юнит 1'!AL14</f>
        <v>-27.290380000000006</v>
      </c>
      <c r="D12" s="221">
        <f t="shared" si="0"/>
        <v>-1.4648578280802283E-3</v>
      </c>
      <c r="E12" s="221">
        <f t="shared" si="5"/>
        <v>1.0295898172317135</v>
      </c>
      <c r="F12" s="222" t="str">
        <f t="shared" si="2"/>
        <v>C</v>
      </c>
      <c r="G12" s="222" t="str">
        <f t="shared" si="3"/>
        <v>C</v>
      </c>
      <c r="I12" s="115" t="s">
        <v>100</v>
      </c>
      <c r="J12" s="220">
        <f>'Юнит 1'!S10</f>
        <v>0</v>
      </c>
      <c r="K12" s="221">
        <f t="shared" si="1"/>
        <v>0</v>
      </c>
      <c r="L12" s="221">
        <f t="shared" si="6"/>
        <v>1</v>
      </c>
      <c r="M12" s="222" t="str">
        <f t="shared" si="4"/>
        <v>C</v>
      </c>
    </row>
    <row r="13" spans="2:17" outlineLevel="1">
      <c r="B13" s="115" t="s">
        <v>94</v>
      </c>
      <c r="C13" s="220">
        <f>'Юнит 1'!AL4</f>
        <v>-120.23796800000002</v>
      </c>
      <c r="D13" s="221">
        <f t="shared" si="0"/>
        <v>-6.453978605547449E-3</v>
      </c>
      <c r="E13" s="221">
        <f t="shared" si="5"/>
        <v>1.023135838626166</v>
      </c>
      <c r="F13" s="222" t="str">
        <f t="shared" si="2"/>
        <v>C</v>
      </c>
      <c r="G13" s="222" t="str">
        <f t="shared" si="3"/>
        <v>C</v>
      </c>
      <c r="I13" s="115" t="s">
        <v>102</v>
      </c>
      <c r="J13" s="220">
        <f>'Юнит 1'!S12</f>
        <v>0</v>
      </c>
      <c r="K13" s="221">
        <f t="shared" si="1"/>
        <v>0</v>
      </c>
      <c r="L13" s="221">
        <f t="shared" si="6"/>
        <v>1</v>
      </c>
      <c r="M13" s="222" t="str">
        <f t="shared" si="4"/>
        <v>C</v>
      </c>
    </row>
    <row r="14" spans="2:17" outlineLevel="1">
      <c r="B14" s="115" t="s">
        <v>97</v>
      </c>
      <c r="C14" s="220">
        <f>'Юнит 1'!AL7</f>
        <v>-120.23796800000002</v>
      </c>
      <c r="D14" s="221">
        <f t="shared" si="0"/>
        <v>-6.453978605547449E-3</v>
      </c>
      <c r="E14" s="221">
        <f t="shared" si="5"/>
        <v>1.0166818600206184</v>
      </c>
      <c r="F14" s="222" t="str">
        <f t="shared" si="2"/>
        <v>C</v>
      </c>
      <c r="G14" s="222" t="str">
        <f t="shared" si="3"/>
        <v>C</v>
      </c>
      <c r="I14" s="115" t="s">
        <v>103</v>
      </c>
      <c r="J14" s="220">
        <f>'Юнит 1'!S13</f>
        <v>0</v>
      </c>
      <c r="K14" s="221">
        <f t="shared" si="1"/>
        <v>0</v>
      </c>
      <c r="L14" s="221">
        <f t="shared" si="6"/>
        <v>1</v>
      </c>
      <c r="M14" s="222" t="str">
        <f t="shared" si="4"/>
        <v>C</v>
      </c>
    </row>
    <row r="15" spans="2:17" outlineLevel="1">
      <c r="B15" s="115" t="s">
        <v>99</v>
      </c>
      <c r="C15" s="220">
        <f>'Юнит 1'!AL9</f>
        <v>-151.66003999999987</v>
      </c>
      <c r="D15" s="221">
        <f t="shared" si="0"/>
        <v>-8.1406120691965567E-3</v>
      </c>
      <c r="E15" s="221">
        <f t="shared" si="5"/>
        <v>1.008541247951422</v>
      </c>
      <c r="F15" s="222" t="str">
        <f t="shared" si="2"/>
        <v>C</v>
      </c>
      <c r="G15" s="222" t="str">
        <f t="shared" si="3"/>
        <v>C</v>
      </c>
      <c r="I15" s="115" t="s">
        <v>104</v>
      </c>
      <c r="J15" s="220">
        <f>'Юнит 1'!S14</f>
        <v>0</v>
      </c>
      <c r="K15" s="221">
        <f t="shared" si="1"/>
        <v>0</v>
      </c>
      <c r="L15" s="221">
        <f t="shared" si="6"/>
        <v>1</v>
      </c>
      <c r="M15" s="222" t="str">
        <f t="shared" si="4"/>
        <v>C</v>
      </c>
    </row>
    <row r="16" spans="2:17" outlineLevel="1">
      <c r="B16" s="115" t="s">
        <v>95</v>
      </c>
      <c r="C16" s="220">
        <f>'Юнит 1'!AL5</f>
        <v>-159.123908</v>
      </c>
      <c r="D16" s="221">
        <f t="shared" si="0"/>
        <v>-8.5412479514216377E-3</v>
      </c>
      <c r="E16" s="221">
        <f t="shared" si="5"/>
        <v>1.0000000000000004</v>
      </c>
      <c r="F16" s="222" t="str">
        <f t="shared" si="2"/>
        <v>C</v>
      </c>
      <c r="G16" s="222" t="str">
        <f t="shared" si="3"/>
        <v>C</v>
      </c>
      <c r="I16" s="115" t="s">
        <v>105</v>
      </c>
      <c r="J16" s="220">
        <f>'Юнит 1'!S15</f>
        <v>0</v>
      </c>
      <c r="K16" s="221">
        <f t="shared" si="1"/>
        <v>0</v>
      </c>
      <c r="L16" s="221">
        <f t="shared" si="6"/>
        <v>1</v>
      </c>
      <c r="M16" s="222" t="str">
        <f t="shared" si="4"/>
        <v>C</v>
      </c>
    </row>
    <row r="17" spans="2:16" outlineLevel="1">
      <c r="C17" s="227">
        <f>SUM(C4:C16)</f>
        <v>18630.053699999989</v>
      </c>
      <c r="D17" s="228">
        <f>SUM(D4:D16)</f>
        <v>1.0000000000000004</v>
      </c>
      <c r="J17" s="227">
        <f>SUM(J4:J16)</f>
        <v>45</v>
      </c>
      <c r="K17" s="228">
        <f>SUM(K4:K16)</f>
        <v>1</v>
      </c>
    </row>
    <row r="19" spans="2:16" ht="16" hidden="1" outlineLevel="1" thickBot="1">
      <c r="B19" s="340"/>
      <c r="C19" s="341"/>
      <c r="D19" s="341"/>
      <c r="E19" s="341"/>
      <c r="F19" s="341"/>
      <c r="G19" s="341"/>
      <c r="H19" s="341"/>
      <c r="I19" s="341"/>
      <c r="J19" s="341"/>
      <c r="K19" s="341"/>
      <c r="L19" s="341"/>
      <c r="M19" s="342"/>
      <c r="O19" s="229"/>
      <c r="P19" s="229"/>
    </row>
    <row r="20" spans="2:16" ht="23.5" hidden="1" outlineLevel="1" thickBot="1">
      <c r="C20" s="216" t="s">
        <v>11</v>
      </c>
      <c r="D20" s="217" t="s">
        <v>113</v>
      </c>
      <c r="E20" s="218" t="s">
        <v>114</v>
      </c>
      <c r="F20" s="230" t="s">
        <v>115</v>
      </c>
      <c r="G20" s="217" t="s">
        <v>116</v>
      </c>
      <c r="J20" s="216" t="s">
        <v>117</v>
      </c>
      <c r="K20" s="217" t="s">
        <v>118</v>
      </c>
      <c r="L20" s="218" t="s">
        <v>114</v>
      </c>
      <c r="M20" s="219" t="s">
        <v>116</v>
      </c>
    </row>
    <row r="21" spans="2:16" ht="15" hidden="1" outlineLevel="1" thickBot="1">
      <c r="B21" s="231"/>
      <c r="C21" s="220"/>
      <c r="D21" s="221" t="e">
        <f>C21/C$73</f>
        <v>#DIV/0!</v>
      </c>
      <c r="E21" s="221" t="e">
        <f>D21</f>
        <v>#DIV/0!</v>
      </c>
      <c r="F21" s="222" t="e">
        <f t="shared" ref="F21:F72" si="7">IF(AND(E21&lt;=0),"C",IF(E21&lt;=0.8,"A",IF(E21&lt;=0.95,"B","C")))</f>
        <v>#DIV/0!</v>
      </c>
      <c r="G21" s="222" t="e">
        <f>VLOOKUP(B21:B72,I$21:M$72,5,0)</f>
        <v>#N/A</v>
      </c>
      <c r="I21" s="231"/>
      <c r="J21" s="220"/>
      <c r="K21" s="221" t="e">
        <f t="shared" ref="K21:K72" si="8">J21/J$73</f>
        <v>#DIV/0!</v>
      </c>
      <c r="L21" s="221" t="e">
        <f>K21</f>
        <v>#DIV/0!</v>
      </c>
      <c r="M21" s="222" t="e">
        <f>_xlfn.IFS(L21&lt;80%,"A",L21&lt;=95%,"B",L21&gt;95%,"C")</f>
        <v>#DIV/0!</v>
      </c>
    </row>
    <row r="22" spans="2:16" ht="15" hidden="1" outlineLevel="1" thickBot="1">
      <c r="B22" s="231"/>
      <c r="C22" s="220"/>
      <c r="D22" s="221" t="e">
        <f t="shared" ref="D22:D72" si="9">C22/C$73</f>
        <v>#DIV/0!</v>
      </c>
      <c r="E22" s="221" t="e">
        <f t="shared" ref="E22:E72" si="10">D22+E21</f>
        <v>#DIV/0!</v>
      </c>
      <c r="F22" s="222" t="e">
        <f t="shared" si="7"/>
        <v>#DIV/0!</v>
      </c>
      <c r="G22" s="222" t="e">
        <f t="shared" ref="G22:G72" si="11">VLOOKUP(B22:B73,I$21:M$72,5,0)</f>
        <v>#N/A</v>
      </c>
      <c r="I22" s="231"/>
      <c r="J22" s="220"/>
      <c r="K22" s="221" t="e">
        <f t="shared" si="8"/>
        <v>#DIV/0!</v>
      </c>
      <c r="L22" s="221" t="e">
        <f>K22+L21</f>
        <v>#DIV/0!</v>
      </c>
      <c r="M22" s="222" t="e">
        <f t="shared" ref="M22:M72" si="12">_xlfn.IFS(L22&lt;80%,"A",L22&lt;=95%,"B",L22&gt;95%,"C")</f>
        <v>#DIV/0!</v>
      </c>
    </row>
    <row r="23" spans="2:16" ht="15" hidden="1" outlineLevel="1" thickBot="1">
      <c r="B23" s="231"/>
      <c r="C23" s="220"/>
      <c r="D23" s="221" t="e">
        <f t="shared" si="9"/>
        <v>#DIV/0!</v>
      </c>
      <c r="E23" s="221" t="e">
        <f t="shared" si="10"/>
        <v>#DIV/0!</v>
      </c>
      <c r="F23" s="222" t="e">
        <f t="shared" si="7"/>
        <v>#DIV/0!</v>
      </c>
      <c r="G23" s="222" t="e">
        <f t="shared" si="11"/>
        <v>#N/A</v>
      </c>
      <c r="I23" s="231"/>
      <c r="J23" s="220"/>
      <c r="K23" s="221" t="e">
        <f t="shared" si="8"/>
        <v>#DIV/0!</v>
      </c>
      <c r="L23" s="221" t="e">
        <f t="shared" ref="L23:L72" si="13">K23+L22</f>
        <v>#DIV/0!</v>
      </c>
      <c r="M23" s="222" t="e">
        <f t="shared" si="12"/>
        <v>#DIV/0!</v>
      </c>
    </row>
    <row r="24" spans="2:16" ht="15" hidden="1" outlineLevel="1" thickBot="1">
      <c r="B24" s="231"/>
      <c r="C24" s="220"/>
      <c r="D24" s="221" t="e">
        <f t="shared" si="9"/>
        <v>#DIV/0!</v>
      </c>
      <c r="E24" s="221" t="e">
        <f t="shared" si="10"/>
        <v>#DIV/0!</v>
      </c>
      <c r="F24" s="222" t="e">
        <f t="shared" si="7"/>
        <v>#DIV/0!</v>
      </c>
      <c r="G24" s="222" t="e">
        <f t="shared" si="11"/>
        <v>#N/A</v>
      </c>
      <c r="I24" s="231"/>
      <c r="J24" s="220"/>
      <c r="K24" s="221" t="e">
        <f t="shared" si="8"/>
        <v>#DIV/0!</v>
      </c>
      <c r="L24" s="221" t="e">
        <f t="shared" si="13"/>
        <v>#DIV/0!</v>
      </c>
      <c r="M24" s="222" t="e">
        <f t="shared" si="12"/>
        <v>#DIV/0!</v>
      </c>
    </row>
    <row r="25" spans="2:16" ht="15" hidden="1" outlineLevel="1" thickBot="1">
      <c r="B25" s="231"/>
      <c r="C25" s="220"/>
      <c r="D25" s="221" t="e">
        <f t="shared" si="9"/>
        <v>#DIV/0!</v>
      </c>
      <c r="E25" s="221" t="e">
        <f t="shared" si="10"/>
        <v>#DIV/0!</v>
      </c>
      <c r="F25" s="222" t="e">
        <f t="shared" si="7"/>
        <v>#DIV/0!</v>
      </c>
      <c r="G25" s="222" t="e">
        <f t="shared" si="11"/>
        <v>#N/A</v>
      </c>
      <c r="I25" s="231"/>
      <c r="J25" s="220"/>
      <c r="K25" s="221" t="e">
        <f t="shared" si="8"/>
        <v>#DIV/0!</v>
      </c>
      <c r="L25" s="221" t="e">
        <f t="shared" si="13"/>
        <v>#DIV/0!</v>
      </c>
      <c r="M25" s="222" t="e">
        <f t="shared" si="12"/>
        <v>#DIV/0!</v>
      </c>
    </row>
    <row r="26" spans="2:16" ht="15" hidden="1" outlineLevel="1" thickBot="1">
      <c r="B26" s="231"/>
      <c r="C26" s="220"/>
      <c r="D26" s="221" t="e">
        <f t="shared" si="9"/>
        <v>#DIV/0!</v>
      </c>
      <c r="E26" s="221" t="e">
        <f t="shared" si="10"/>
        <v>#DIV/0!</v>
      </c>
      <c r="F26" s="222" t="e">
        <f t="shared" si="7"/>
        <v>#DIV/0!</v>
      </c>
      <c r="G26" s="222" t="e">
        <f t="shared" si="11"/>
        <v>#N/A</v>
      </c>
      <c r="I26" s="231"/>
      <c r="J26" s="220"/>
      <c r="K26" s="221" t="e">
        <f t="shared" si="8"/>
        <v>#DIV/0!</v>
      </c>
      <c r="L26" s="221" t="e">
        <f t="shared" si="13"/>
        <v>#DIV/0!</v>
      </c>
      <c r="M26" s="222" t="e">
        <f t="shared" si="12"/>
        <v>#DIV/0!</v>
      </c>
    </row>
    <row r="27" spans="2:16" ht="15" hidden="1" outlineLevel="1" thickBot="1">
      <c r="B27" s="231"/>
      <c r="C27" s="220"/>
      <c r="D27" s="221" t="e">
        <f t="shared" si="9"/>
        <v>#DIV/0!</v>
      </c>
      <c r="E27" s="221" t="e">
        <f t="shared" si="10"/>
        <v>#DIV/0!</v>
      </c>
      <c r="F27" s="222" t="e">
        <f t="shared" si="7"/>
        <v>#DIV/0!</v>
      </c>
      <c r="G27" s="222" t="e">
        <f t="shared" si="11"/>
        <v>#N/A</v>
      </c>
      <c r="I27" s="231"/>
      <c r="J27" s="220"/>
      <c r="K27" s="221" t="e">
        <f t="shared" si="8"/>
        <v>#DIV/0!</v>
      </c>
      <c r="L27" s="221" t="e">
        <f t="shared" si="13"/>
        <v>#DIV/0!</v>
      </c>
      <c r="M27" s="222" t="e">
        <f t="shared" si="12"/>
        <v>#DIV/0!</v>
      </c>
    </row>
    <row r="28" spans="2:16" ht="15" hidden="1" outlineLevel="1" thickBot="1">
      <c r="B28" s="231"/>
      <c r="C28" s="220"/>
      <c r="D28" s="221" t="e">
        <f t="shared" si="9"/>
        <v>#DIV/0!</v>
      </c>
      <c r="E28" s="221" t="e">
        <f t="shared" si="10"/>
        <v>#DIV/0!</v>
      </c>
      <c r="F28" s="222" t="e">
        <f t="shared" si="7"/>
        <v>#DIV/0!</v>
      </c>
      <c r="G28" s="222" t="e">
        <f t="shared" si="11"/>
        <v>#N/A</v>
      </c>
      <c r="I28" s="231"/>
      <c r="J28" s="220"/>
      <c r="K28" s="221" t="e">
        <f t="shared" si="8"/>
        <v>#DIV/0!</v>
      </c>
      <c r="L28" s="221" t="e">
        <f t="shared" si="13"/>
        <v>#DIV/0!</v>
      </c>
      <c r="M28" s="222" t="e">
        <f t="shared" si="12"/>
        <v>#DIV/0!</v>
      </c>
    </row>
    <row r="29" spans="2:16" ht="15" hidden="1" outlineLevel="1" thickBot="1">
      <c r="B29" s="231"/>
      <c r="C29" s="220"/>
      <c r="D29" s="221" t="e">
        <f t="shared" si="9"/>
        <v>#DIV/0!</v>
      </c>
      <c r="E29" s="221" t="e">
        <f t="shared" si="10"/>
        <v>#DIV/0!</v>
      </c>
      <c r="F29" s="222" t="e">
        <f t="shared" si="7"/>
        <v>#DIV/0!</v>
      </c>
      <c r="G29" s="222" t="e">
        <f t="shared" si="11"/>
        <v>#N/A</v>
      </c>
      <c r="I29" s="231"/>
      <c r="J29" s="220"/>
      <c r="K29" s="221" t="e">
        <f t="shared" si="8"/>
        <v>#DIV/0!</v>
      </c>
      <c r="L29" s="221" t="e">
        <f t="shared" si="13"/>
        <v>#DIV/0!</v>
      </c>
      <c r="M29" s="222" t="e">
        <f t="shared" si="12"/>
        <v>#DIV/0!</v>
      </c>
    </row>
    <row r="30" spans="2:16" ht="15" hidden="1" outlineLevel="1" thickBot="1">
      <c r="B30" s="231"/>
      <c r="C30" s="220"/>
      <c r="D30" s="221" t="e">
        <f t="shared" si="9"/>
        <v>#DIV/0!</v>
      </c>
      <c r="E30" s="221" t="e">
        <f t="shared" si="10"/>
        <v>#DIV/0!</v>
      </c>
      <c r="F30" s="222" t="e">
        <f t="shared" si="7"/>
        <v>#DIV/0!</v>
      </c>
      <c r="G30" s="222" t="e">
        <f t="shared" si="11"/>
        <v>#N/A</v>
      </c>
      <c r="I30" s="231"/>
      <c r="J30" s="220"/>
      <c r="K30" s="221" t="e">
        <f t="shared" si="8"/>
        <v>#DIV/0!</v>
      </c>
      <c r="L30" s="221" t="e">
        <f t="shared" si="13"/>
        <v>#DIV/0!</v>
      </c>
      <c r="M30" s="222" t="e">
        <f t="shared" si="12"/>
        <v>#DIV/0!</v>
      </c>
    </row>
    <row r="31" spans="2:16" ht="15" hidden="1" outlineLevel="1" thickBot="1">
      <c r="B31" s="231"/>
      <c r="C31" s="220"/>
      <c r="D31" s="221" t="e">
        <f t="shared" si="9"/>
        <v>#DIV/0!</v>
      </c>
      <c r="E31" s="221" t="e">
        <f t="shared" si="10"/>
        <v>#DIV/0!</v>
      </c>
      <c r="F31" s="222" t="e">
        <f t="shared" si="7"/>
        <v>#DIV/0!</v>
      </c>
      <c r="G31" s="222" t="e">
        <f t="shared" si="11"/>
        <v>#N/A</v>
      </c>
      <c r="I31" s="231"/>
      <c r="J31" s="220"/>
      <c r="K31" s="221" t="e">
        <f t="shared" si="8"/>
        <v>#DIV/0!</v>
      </c>
      <c r="L31" s="221" t="e">
        <f t="shared" si="13"/>
        <v>#DIV/0!</v>
      </c>
      <c r="M31" s="222" t="e">
        <f t="shared" si="12"/>
        <v>#DIV/0!</v>
      </c>
    </row>
    <row r="32" spans="2:16" ht="15" hidden="1" outlineLevel="1" thickBot="1">
      <c r="B32" s="231"/>
      <c r="C32" s="220"/>
      <c r="D32" s="221" t="e">
        <f t="shared" si="9"/>
        <v>#DIV/0!</v>
      </c>
      <c r="E32" s="221" t="e">
        <f t="shared" si="10"/>
        <v>#DIV/0!</v>
      </c>
      <c r="F32" s="222" t="e">
        <f t="shared" si="7"/>
        <v>#DIV/0!</v>
      </c>
      <c r="G32" s="222" t="e">
        <f t="shared" si="11"/>
        <v>#N/A</v>
      </c>
      <c r="I32" s="231"/>
      <c r="J32" s="220"/>
      <c r="K32" s="221" t="e">
        <f t="shared" si="8"/>
        <v>#DIV/0!</v>
      </c>
      <c r="L32" s="221" t="e">
        <f t="shared" si="13"/>
        <v>#DIV/0!</v>
      </c>
      <c r="M32" s="222" t="e">
        <f t="shared" si="12"/>
        <v>#DIV/0!</v>
      </c>
    </row>
    <row r="33" spans="2:13" ht="15" hidden="1" outlineLevel="1" thickBot="1">
      <c r="B33" s="231"/>
      <c r="C33" s="220"/>
      <c r="D33" s="221" t="e">
        <f t="shared" si="9"/>
        <v>#DIV/0!</v>
      </c>
      <c r="E33" s="221" t="e">
        <f t="shared" si="10"/>
        <v>#DIV/0!</v>
      </c>
      <c r="F33" s="222" t="e">
        <f t="shared" si="7"/>
        <v>#DIV/0!</v>
      </c>
      <c r="G33" s="222" t="e">
        <f t="shared" si="11"/>
        <v>#N/A</v>
      </c>
      <c r="I33" s="231"/>
      <c r="J33" s="220"/>
      <c r="K33" s="221" t="e">
        <f t="shared" si="8"/>
        <v>#DIV/0!</v>
      </c>
      <c r="L33" s="221" t="e">
        <f t="shared" si="13"/>
        <v>#DIV/0!</v>
      </c>
      <c r="M33" s="222" t="e">
        <f t="shared" si="12"/>
        <v>#DIV/0!</v>
      </c>
    </row>
    <row r="34" spans="2:13" ht="15" hidden="1" outlineLevel="1" thickBot="1">
      <c r="B34" s="231"/>
      <c r="C34" s="220"/>
      <c r="D34" s="221" t="e">
        <f t="shared" si="9"/>
        <v>#DIV/0!</v>
      </c>
      <c r="E34" s="221" t="e">
        <f t="shared" si="10"/>
        <v>#DIV/0!</v>
      </c>
      <c r="F34" s="222" t="e">
        <f t="shared" si="7"/>
        <v>#DIV/0!</v>
      </c>
      <c r="G34" s="222" t="e">
        <f t="shared" si="11"/>
        <v>#N/A</v>
      </c>
      <c r="I34" s="231"/>
      <c r="J34" s="220"/>
      <c r="K34" s="221" t="e">
        <f t="shared" si="8"/>
        <v>#DIV/0!</v>
      </c>
      <c r="L34" s="221" t="e">
        <f t="shared" si="13"/>
        <v>#DIV/0!</v>
      </c>
      <c r="M34" s="222" t="e">
        <f t="shared" si="12"/>
        <v>#DIV/0!</v>
      </c>
    </row>
    <row r="35" spans="2:13" ht="15" hidden="1" outlineLevel="1" thickBot="1">
      <c r="B35" s="231"/>
      <c r="C35" s="220"/>
      <c r="D35" s="221" t="e">
        <f t="shared" si="9"/>
        <v>#DIV/0!</v>
      </c>
      <c r="E35" s="221" t="e">
        <f t="shared" si="10"/>
        <v>#DIV/0!</v>
      </c>
      <c r="F35" s="222" t="e">
        <f t="shared" si="7"/>
        <v>#DIV/0!</v>
      </c>
      <c r="G35" s="222" t="e">
        <f t="shared" si="11"/>
        <v>#N/A</v>
      </c>
      <c r="I35" s="231"/>
      <c r="J35" s="220"/>
      <c r="K35" s="221" t="e">
        <f t="shared" si="8"/>
        <v>#DIV/0!</v>
      </c>
      <c r="L35" s="221" t="e">
        <f t="shared" si="13"/>
        <v>#DIV/0!</v>
      </c>
      <c r="M35" s="222" t="e">
        <f t="shared" si="12"/>
        <v>#DIV/0!</v>
      </c>
    </row>
    <row r="36" spans="2:13" ht="15" hidden="1" outlineLevel="1" thickBot="1">
      <c r="B36" s="231"/>
      <c r="C36" s="220"/>
      <c r="D36" s="221" t="e">
        <f t="shared" si="9"/>
        <v>#DIV/0!</v>
      </c>
      <c r="E36" s="221" t="e">
        <f t="shared" si="10"/>
        <v>#DIV/0!</v>
      </c>
      <c r="F36" s="222" t="e">
        <f t="shared" si="7"/>
        <v>#DIV/0!</v>
      </c>
      <c r="G36" s="222" t="e">
        <f t="shared" si="11"/>
        <v>#N/A</v>
      </c>
      <c r="I36" s="231"/>
      <c r="J36" s="220"/>
      <c r="K36" s="221" t="e">
        <f t="shared" si="8"/>
        <v>#DIV/0!</v>
      </c>
      <c r="L36" s="221" t="e">
        <f t="shared" si="13"/>
        <v>#DIV/0!</v>
      </c>
      <c r="M36" s="222" t="e">
        <f t="shared" si="12"/>
        <v>#DIV/0!</v>
      </c>
    </row>
    <row r="37" spans="2:13" ht="15" hidden="1" outlineLevel="1" thickBot="1">
      <c r="B37" s="231"/>
      <c r="C37" s="220"/>
      <c r="D37" s="221" t="e">
        <f t="shared" si="9"/>
        <v>#DIV/0!</v>
      </c>
      <c r="E37" s="221" t="e">
        <f t="shared" si="10"/>
        <v>#DIV/0!</v>
      </c>
      <c r="F37" s="222" t="e">
        <f t="shared" si="7"/>
        <v>#DIV/0!</v>
      </c>
      <c r="G37" s="222" t="e">
        <f t="shared" si="11"/>
        <v>#N/A</v>
      </c>
      <c r="I37" s="231"/>
      <c r="J37" s="220"/>
      <c r="K37" s="221" t="e">
        <f t="shared" si="8"/>
        <v>#DIV/0!</v>
      </c>
      <c r="L37" s="221" t="e">
        <f t="shared" si="13"/>
        <v>#DIV/0!</v>
      </c>
      <c r="M37" s="222" t="e">
        <f t="shared" si="12"/>
        <v>#DIV/0!</v>
      </c>
    </row>
    <row r="38" spans="2:13" ht="15" hidden="1" outlineLevel="1" thickBot="1">
      <c r="B38" s="231"/>
      <c r="C38" s="220"/>
      <c r="D38" s="221" t="e">
        <f t="shared" si="9"/>
        <v>#DIV/0!</v>
      </c>
      <c r="E38" s="221" t="e">
        <f t="shared" si="10"/>
        <v>#DIV/0!</v>
      </c>
      <c r="F38" s="222" t="e">
        <f t="shared" si="7"/>
        <v>#DIV/0!</v>
      </c>
      <c r="G38" s="222" t="e">
        <f t="shared" si="11"/>
        <v>#N/A</v>
      </c>
      <c r="I38" s="231"/>
      <c r="J38" s="220"/>
      <c r="K38" s="221" t="e">
        <f t="shared" si="8"/>
        <v>#DIV/0!</v>
      </c>
      <c r="L38" s="221" t="e">
        <f t="shared" si="13"/>
        <v>#DIV/0!</v>
      </c>
      <c r="M38" s="222" t="e">
        <f t="shared" si="12"/>
        <v>#DIV/0!</v>
      </c>
    </row>
    <row r="39" spans="2:13" ht="15" hidden="1" outlineLevel="1" thickBot="1">
      <c r="B39" s="231"/>
      <c r="C39" s="220"/>
      <c r="D39" s="221" t="e">
        <f t="shared" si="9"/>
        <v>#DIV/0!</v>
      </c>
      <c r="E39" s="221" t="e">
        <f t="shared" si="10"/>
        <v>#DIV/0!</v>
      </c>
      <c r="F39" s="222" t="e">
        <f t="shared" si="7"/>
        <v>#DIV/0!</v>
      </c>
      <c r="G39" s="222" t="e">
        <f t="shared" si="11"/>
        <v>#N/A</v>
      </c>
      <c r="I39" s="231"/>
      <c r="J39" s="220"/>
      <c r="K39" s="221" t="e">
        <f t="shared" si="8"/>
        <v>#DIV/0!</v>
      </c>
      <c r="L39" s="221" t="e">
        <f t="shared" si="13"/>
        <v>#DIV/0!</v>
      </c>
      <c r="M39" s="222" t="e">
        <f t="shared" si="12"/>
        <v>#DIV/0!</v>
      </c>
    </row>
    <row r="40" spans="2:13" ht="15" hidden="1" outlineLevel="1" thickBot="1">
      <c r="B40" s="231"/>
      <c r="C40" s="220"/>
      <c r="D40" s="221" t="e">
        <f t="shared" si="9"/>
        <v>#DIV/0!</v>
      </c>
      <c r="E40" s="221" t="e">
        <f t="shared" si="10"/>
        <v>#DIV/0!</v>
      </c>
      <c r="F40" s="222" t="e">
        <f t="shared" si="7"/>
        <v>#DIV/0!</v>
      </c>
      <c r="G40" s="222" t="e">
        <f t="shared" si="11"/>
        <v>#N/A</v>
      </c>
      <c r="I40" s="231"/>
      <c r="J40" s="220"/>
      <c r="K40" s="221" t="e">
        <f t="shared" si="8"/>
        <v>#DIV/0!</v>
      </c>
      <c r="L40" s="221" t="e">
        <f t="shared" si="13"/>
        <v>#DIV/0!</v>
      </c>
      <c r="M40" s="222" t="e">
        <f t="shared" si="12"/>
        <v>#DIV/0!</v>
      </c>
    </row>
    <row r="41" spans="2:13" ht="15" hidden="1" outlineLevel="1" thickBot="1">
      <c r="B41" s="231"/>
      <c r="C41" s="220"/>
      <c r="D41" s="221" t="e">
        <f t="shared" si="9"/>
        <v>#DIV/0!</v>
      </c>
      <c r="E41" s="221" t="e">
        <f t="shared" si="10"/>
        <v>#DIV/0!</v>
      </c>
      <c r="F41" s="222" t="e">
        <f t="shared" si="7"/>
        <v>#DIV/0!</v>
      </c>
      <c r="G41" s="222" t="e">
        <f t="shared" si="11"/>
        <v>#N/A</v>
      </c>
      <c r="I41" s="231"/>
      <c r="J41" s="220"/>
      <c r="K41" s="221" t="e">
        <f t="shared" si="8"/>
        <v>#DIV/0!</v>
      </c>
      <c r="L41" s="221" t="e">
        <f t="shared" si="13"/>
        <v>#DIV/0!</v>
      </c>
      <c r="M41" s="222" t="e">
        <f t="shared" si="12"/>
        <v>#DIV/0!</v>
      </c>
    </row>
    <row r="42" spans="2:13" ht="15" hidden="1" outlineLevel="1" thickBot="1">
      <c r="B42" s="231"/>
      <c r="C42" s="220"/>
      <c r="D42" s="221" t="e">
        <f t="shared" si="9"/>
        <v>#DIV/0!</v>
      </c>
      <c r="E42" s="221" t="e">
        <f t="shared" si="10"/>
        <v>#DIV/0!</v>
      </c>
      <c r="F42" s="222" t="e">
        <f t="shared" si="7"/>
        <v>#DIV/0!</v>
      </c>
      <c r="G42" s="222" t="e">
        <f t="shared" si="11"/>
        <v>#N/A</v>
      </c>
      <c r="I42" s="231"/>
      <c r="J42" s="220"/>
      <c r="K42" s="221" t="e">
        <f t="shared" si="8"/>
        <v>#DIV/0!</v>
      </c>
      <c r="L42" s="221" t="e">
        <f t="shared" si="13"/>
        <v>#DIV/0!</v>
      </c>
      <c r="M42" s="222" t="e">
        <f t="shared" si="12"/>
        <v>#DIV/0!</v>
      </c>
    </row>
    <row r="43" spans="2:13" ht="15" hidden="1" outlineLevel="1" thickBot="1">
      <c r="B43" s="231"/>
      <c r="C43" s="220"/>
      <c r="D43" s="221" t="e">
        <f t="shared" si="9"/>
        <v>#DIV/0!</v>
      </c>
      <c r="E43" s="221" t="e">
        <f t="shared" si="10"/>
        <v>#DIV/0!</v>
      </c>
      <c r="F43" s="222" t="e">
        <f t="shared" si="7"/>
        <v>#DIV/0!</v>
      </c>
      <c r="G43" s="222" t="e">
        <f t="shared" si="11"/>
        <v>#N/A</v>
      </c>
      <c r="I43" s="231"/>
      <c r="J43" s="220"/>
      <c r="K43" s="221" t="e">
        <f t="shared" si="8"/>
        <v>#DIV/0!</v>
      </c>
      <c r="L43" s="221" t="e">
        <f t="shared" si="13"/>
        <v>#DIV/0!</v>
      </c>
      <c r="M43" s="222" t="e">
        <f t="shared" si="12"/>
        <v>#DIV/0!</v>
      </c>
    </row>
    <row r="44" spans="2:13" ht="15" hidden="1" outlineLevel="1" thickBot="1">
      <c r="B44" s="231"/>
      <c r="C44" s="220"/>
      <c r="D44" s="221" t="e">
        <f t="shared" si="9"/>
        <v>#DIV/0!</v>
      </c>
      <c r="E44" s="221" t="e">
        <f t="shared" si="10"/>
        <v>#DIV/0!</v>
      </c>
      <c r="F44" s="222" t="e">
        <f t="shared" si="7"/>
        <v>#DIV/0!</v>
      </c>
      <c r="G44" s="222" t="e">
        <f t="shared" si="11"/>
        <v>#N/A</v>
      </c>
      <c r="I44" s="231"/>
      <c r="J44" s="220"/>
      <c r="K44" s="221" t="e">
        <f t="shared" si="8"/>
        <v>#DIV/0!</v>
      </c>
      <c r="L44" s="221" t="e">
        <f t="shared" si="13"/>
        <v>#DIV/0!</v>
      </c>
      <c r="M44" s="222" t="e">
        <f t="shared" si="12"/>
        <v>#DIV/0!</v>
      </c>
    </row>
    <row r="45" spans="2:13" ht="15" hidden="1" outlineLevel="1" thickBot="1">
      <c r="B45" s="231"/>
      <c r="C45" s="220"/>
      <c r="D45" s="221" t="e">
        <f t="shared" si="9"/>
        <v>#DIV/0!</v>
      </c>
      <c r="E45" s="221" t="e">
        <f t="shared" si="10"/>
        <v>#DIV/0!</v>
      </c>
      <c r="F45" s="222" t="e">
        <f t="shared" si="7"/>
        <v>#DIV/0!</v>
      </c>
      <c r="G45" s="222" t="e">
        <f t="shared" si="11"/>
        <v>#N/A</v>
      </c>
      <c r="I45" s="231"/>
      <c r="J45" s="220"/>
      <c r="K45" s="221" t="e">
        <f t="shared" si="8"/>
        <v>#DIV/0!</v>
      </c>
      <c r="L45" s="221" t="e">
        <f t="shared" si="13"/>
        <v>#DIV/0!</v>
      </c>
      <c r="M45" s="222" t="e">
        <f t="shared" si="12"/>
        <v>#DIV/0!</v>
      </c>
    </row>
    <row r="46" spans="2:13" ht="15" hidden="1" outlineLevel="1" thickBot="1">
      <c r="B46" s="231"/>
      <c r="C46" s="220"/>
      <c r="D46" s="221" t="e">
        <f t="shared" si="9"/>
        <v>#DIV/0!</v>
      </c>
      <c r="E46" s="221" t="e">
        <f t="shared" si="10"/>
        <v>#DIV/0!</v>
      </c>
      <c r="F46" s="222" t="e">
        <f t="shared" si="7"/>
        <v>#DIV/0!</v>
      </c>
      <c r="G46" s="222" t="e">
        <f t="shared" si="11"/>
        <v>#N/A</v>
      </c>
      <c r="I46" s="231"/>
      <c r="J46" s="220"/>
      <c r="K46" s="221" t="e">
        <f t="shared" si="8"/>
        <v>#DIV/0!</v>
      </c>
      <c r="L46" s="221" t="e">
        <f t="shared" si="13"/>
        <v>#DIV/0!</v>
      </c>
      <c r="M46" s="222" t="e">
        <f t="shared" si="12"/>
        <v>#DIV/0!</v>
      </c>
    </row>
    <row r="47" spans="2:13" ht="15" hidden="1" outlineLevel="1" thickBot="1">
      <c r="B47" s="231"/>
      <c r="C47" s="220"/>
      <c r="D47" s="221" t="e">
        <f t="shared" si="9"/>
        <v>#DIV/0!</v>
      </c>
      <c r="E47" s="221" t="e">
        <f t="shared" si="10"/>
        <v>#DIV/0!</v>
      </c>
      <c r="F47" s="222" t="e">
        <f t="shared" si="7"/>
        <v>#DIV/0!</v>
      </c>
      <c r="G47" s="222" t="e">
        <f t="shared" si="11"/>
        <v>#N/A</v>
      </c>
      <c r="I47" s="231"/>
      <c r="J47" s="220"/>
      <c r="K47" s="221" t="e">
        <f t="shared" si="8"/>
        <v>#DIV/0!</v>
      </c>
      <c r="L47" s="221" t="e">
        <f t="shared" si="13"/>
        <v>#DIV/0!</v>
      </c>
      <c r="M47" s="222" t="e">
        <f t="shared" si="12"/>
        <v>#DIV/0!</v>
      </c>
    </row>
    <row r="48" spans="2:13" ht="15" hidden="1" outlineLevel="1" thickBot="1">
      <c r="B48" s="231"/>
      <c r="C48" s="220"/>
      <c r="D48" s="221" t="e">
        <f t="shared" si="9"/>
        <v>#DIV/0!</v>
      </c>
      <c r="E48" s="221" t="e">
        <f t="shared" si="10"/>
        <v>#DIV/0!</v>
      </c>
      <c r="F48" s="222" t="e">
        <f t="shared" si="7"/>
        <v>#DIV/0!</v>
      </c>
      <c r="G48" s="222" t="e">
        <f t="shared" si="11"/>
        <v>#N/A</v>
      </c>
      <c r="I48" s="231"/>
      <c r="J48" s="220"/>
      <c r="K48" s="221" t="e">
        <f t="shared" si="8"/>
        <v>#DIV/0!</v>
      </c>
      <c r="L48" s="221" t="e">
        <f t="shared" si="13"/>
        <v>#DIV/0!</v>
      </c>
      <c r="M48" s="222" t="e">
        <f t="shared" si="12"/>
        <v>#DIV/0!</v>
      </c>
    </row>
    <row r="49" spans="2:13" ht="15" hidden="1" outlineLevel="1" thickBot="1">
      <c r="B49" s="231"/>
      <c r="C49" s="220"/>
      <c r="D49" s="221" t="e">
        <f t="shared" si="9"/>
        <v>#DIV/0!</v>
      </c>
      <c r="E49" s="221" t="e">
        <f t="shared" si="10"/>
        <v>#DIV/0!</v>
      </c>
      <c r="F49" s="222" t="e">
        <f t="shared" si="7"/>
        <v>#DIV/0!</v>
      </c>
      <c r="G49" s="222" t="e">
        <f t="shared" si="11"/>
        <v>#N/A</v>
      </c>
      <c r="I49" s="231"/>
      <c r="J49" s="220"/>
      <c r="K49" s="221" t="e">
        <f t="shared" si="8"/>
        <v>#DIV/0!</v>
      </c>
      <c r="L49" s="221" t="e">
        <f t="shared" si="13"/>
        <v>#DIV/0!</v>
      </c>
      <c r="M49" s="222" t="e">
        <f t="shared" si="12"/>
        <v>#DIV/0!</v>
      </c>
    </row>
    <row r="50" spans="2:13" ht="15" hidden="1" outlineLevel="1" thickBot="1">
      <c r="B50" s="231"/>
      <c r="C50" s="220"/>
      <c r="D50" s="221" t="e">
        <f t="shared" si="9"/>
        <v>#DIV/0!</v>
      </c>
      <c r="E50" s="221" t="e">
        <f t="shared" si="10"/>
        <v>#DIV/0!</v>
      </c>
      <c r="F50" s="222" t="e">
        <f t="shared" si="7"/>
        <v>#DIV/0!</v>
      </c>
      <c r="G50" s="222" t="e">
        <f t="shared" si="11"/>
        <v>#N/A</v>
      </c>
      <c r="I50" s="231"/>
      <c r="J50" s="220"/>
      <c r="K50" s="221" t="e">
        <f t="shared" si="8"/>
        <v>#DIV/0!</v>
      </c>
      <c r="L50" s="221" t="e">
        <f t="shared" si="13"/>
        <v>#DIV/0!</v>
      </c>
      <c r="M50" s="222" t="e">
        <f t="shared" si="12"/>
        <v>#DIV/0!</v>
      </c>
    </row>
    <row r="51" spans="2:13" ht="15" hidden="1" outlineLevel="1" thickBot="1">
      <c r="B51" s="231"/>
      <c r="C51" s="220"/>
      <c r="D51" s="221" t="e">
        <f t="shared" si="9"/>
        <v>#DIV/0!</v>
      </c>
      <c r="E51" s="221" t="e">
        <f t="shared" si="10"/>
        <v>#DIV/0!</v>
      </c>
      <c r="F51" s="222" t="e">
        <f t="shared" si="7"/>
        <v>#DIV/0!</v>
      </c>
      <c r="G51" s="222" t="e">
        <f t="shared" si="11"/>
        <v>#N/A</v>
      </c>
      <c r="I51" s="231"/>
      <c r="J51" s="220"/>
      <c r="K51" s="221" t="e">
        <f t="shared" si="8"/>
        <v>#DIV/0!</v>
      </c>
      <c r="L51" s="221" t="e">
        <f t="shared" si="13"/>
        <v>#DIV/0!</v>
      </c>
      <c r="M51" s="222" t="e">
        <f t="shared" si="12"/>
        <v>#DIV/0!</v>
      </c>
    </row>
    <row r="52" spans="2:13" ht="15" hidden="1" outlineLevel="1" thickBot="1">
      <c r="B52" s="231"/>
      <c r="C52" s="220"/>
      <c r="D52" s="221" t="e">
        <f t="shared" si="9"/>
        <v>#DIV/0!</v>
      </c>
      <c r="E52" s="221" t="e">
        <f t="shared" si="10"/>
        <v>#DIV/0!</v>
      </c>
      <c r="F52" s="222" t="e">
        <f t="shared" si="7"/>
        <v>#DIV/0!</v>
      </c>
      <c r="G52" s="222" t="e">
        <f t="shared" si="11"/>
        <v>#N/A</v>
      </c>
      <c r="I52" s="231"/>
      <c r="J52" s="220"/>
      <c r="K52" s="221" t="e">
        <f t="shared" si="8"/>
        <v>#DIV/0!</v>
      </c>
      <c r="L52" s="221" t="e">
        <f t="shared" si="13"/>
        <v>#DIV/0!</v>
      </c>
      <c r="M52" s="222" t="e">
        <f t="shared" si="12"/>
        <v>#DIV/0!</v>
      </c>
    </row>
    <row r="53" spans="2:13" ht="15" hidden="1" customHeight="1" outlineLevel="1">
      <c r="B53" s="231"/>
      <c r="C53" s="220"/>
      <c r="D53" s="221" t="e">
        <f t="shared" si="9"/>
        <v>#DIV/0!</v>
      </c>
      <c r="E53" s="221" t="e">
        <f t="shared" si="10"/>
        <v>#DIV/0!</v>
      </c>
      <c r="F53" s="222" t="e">
        <f t="shared" si="7"/>
        <v>#DIV/0!</v>
      </c>
      <c r="G53" s="222" t="e">
        <f t="shared" si="11"/>
        <v>#N/A</v>
      </c>
      <c r="I53" s="231"/>
      <c r="J53" s="220"/>
      <c r="K53" s="221" t="e">
        <f t="shared" si="8"/>
        <v>#DIV/0!</v>
      </c>
      <c r="L53" s="221" t="e">
        <f t="shared" si="13"/>
        <v>#DIV/0!</v>
      </c>
      <c r="M53" s="222" t="e">
        <f t="shared" si="12"/>
        <v>#DIV/0!</v>
      </c>
    </row>
    <row r="54" spans="2:13" ht="15" hidden="1" outlineLevel="1" thickBot="1">
      <c r="B54" s="231"/>
      <c r="C54" s="220"/>
      <c r="D54" s="221" t="e">
        <f t="shared" si="9"/>
        <v>#DIV/0!</v>
      </c>
      <c r="E54" s="221" t="e">
        <f t="shared" si="10"/>
        <v>#DIV/0!</v>
      </c>
      <c r="F54" s="222" t="e">
        <f t="shared" si="7"/>
        <v>#DIV/0!</v>
      </c>
      <c r="G54" s="222" t="e">
        <f t="shared" si="11"/>
        <v>#N/A</v>
      </c>
      <c r="I54" s="231"/>
      <c r="J54" s="220"/>
      <c r="K54" s="221" t="e">
        <f t="shared" si="8"/>
        <v>#DIV/0!</v>
      </c>
      <c r="L54" s="221" t="e">
        <f t="shared" si="13"/>
        <v>#DIV/0!</v>
      </c>
      <c r="M54" s="222" t="e">
        <f t="shared" si="12"/>
        <v>#DIV/0!</v>
      </c>
    </row>
    <row r="55" spans="2:13" ht="15" hidden="1" outlineLevel="1" thickBot="1">
      <c r="B55" s="231"/>
      <c r="C55" s="220"/>
      <c r="D55" s="221" t="e">
        <f t="shared" si="9"/>
        <v>#DIV/0!</v>
      </c>
      <c r="E55" s="221" t="e">
        <f t="shared" si="10"/>
        <v>#DIV/0!</v>
      </c>
      <c r="F55" s="222" t="e">
        <f t="shared" si="7"/>
        <v>#DIV/0!</v>
      </c>
      <c r="G55" s="222" t="e">
        <f t="shared" si="11"/>
        <v>#N/A</v>
      </c>
      <c r="I55" s="231"/>
      <c r="J55" s="220"/>
      <c r="K55" s="221" t="e">
        <f t="shared" si="8"/>
        <v>#DIV/0!</v>
      </c>
      <c r="L55" s="221" t="e">
        <f t="shared" si="13"/>
        <v>#DIV/0!</v>
      </c>
      <c r="M55" s="222" t="e">
        <f t="shared" si="12"/>
        <v>#DIV/0!</v>
      </c>
    </row>
    <row r="56" spans="2:13" ht="15" hidden="1" outlineLevel="1" thickBot="1">
      <c r="B56" s="231"/>
      <c r="C56" s="220"/>
      <c r="D56" s="221" t="e">
        <f t="shared" si="9"/>
        <v>#DIV/0!</v>
      </c>
      <c r="E56" s="221" t="e">
        <f t="shared" si="10"/>
        <v>#DIV/0!</v>
      </c>
      <c r="F56" s="222" t="e">
        <f t="shared" si="7"/>
        <v>#DIV/0!</v>
      </c>
      <c r="G56" s="222" t="e">
        <f t="shared" si="11"/>
        <v>#N/A</v>
      </c>
      <c r="I56" s="231"/>
      <c r="J56" s="220"/>
      <c r="K56" s="221" t="e">
        <f t="shared" si="8"/>
        <v>#DIV/0!</v>
      </c>
      <c r="L56" s="221" t="e">
        <f t="shared" si="13"/>
        <v>#DIV/0!</v>
      </c>
      <c r="M56" s="222" t="e">
        <f t="shared" si="12"/>
        <v>#DIV/0!</v>
      </c>
    </row>
    <row r="57" spans="2:13" ht="15" hidden="1" outlineLevel="1" thickBot="1">
      <c r="B57" s="231"/>
      <c r="C57" s="220"/>
      <c r="D57" s="221" t="e">
        <f t="shared" si="9"/>
        <v>#DIV/0!</v>
      </c>
      <c r="E57" s="221" t="e">
        <f t="shared" si="10"/>
        <v>#DIV/0!</v>
      </c>
      <c r="F57" s="222" t="e">
        <f t="shared" si="7"/>
        <v>#DIV/0!</v>
      </c>
      <c r="G57" s="222" t="e">
        <f t="shared" si="11"/>
        <v>#N/A</v>
      </c>
      <c r="I57" s="231"/>
      <c r="J57" s="220"/>
      <c r="K57" s="221" t="e">
        <f t="shared" si="8"/>
        <v>#DIV/0!</v>
      </c>
      <c r="L57" s="221" t="e">
        <f t="shared" si="13"/>
        <v>#DIV/0!</v>
      </c>
      <c r="M57" s="222" t="e">
        <f t="shared" si="12"/>
        <v>#DIV/0!</v>
      </c>
    </row>
    <row r="58" spans="2:13" ht="15" hidden="1" outlineLevel="1" thickBot="1">
      <c r="B58" s="231"/>
      <c r="C58" s="220"/>
      <c r="D58" s="221" t="e">
        <f t="shared" si="9"/>
        <v>#DIV/0!</v>
      </c>
      <c r="E58" s="221" t="e">
        <f t="shared" si="10"/>
        <v>#DIV/0!</v>
      </c>
      <c r="F58" s="222" t="e">
        <f t="shared" si="7"/>
        <v>#DIV/0!</v>
      </c>
      <c r="G58" s="222" t="e">
        <f t="shared" si="11"/>
        <v>#N/A</v>
      </c>
      <c r="I58" s="231"/>
      <c r="J58" s="220"/>
      <c r="K58" s="221" t="e">
        <f t="shared" si="8"/>
        <v>#DIV/0!</v>
      </c>
      <c r="L58" s="221" t="e">
        <f t="shared" si="13"/>
        <v>#DIV/0!</v>
      </c>
      <c r="M58" s="222" t="e">
        <f t="shared" si="12"/>
        <v>#DIV/0!</v>
      </c>
    </row>
    <row r="59" spans="2:13" ht="15" hidden="1" outlineLevel="1" thickBot="1">
      <c r="B59" s="231"/>
      <c r="C59" s="220"/>
      <c r="D59" s="221" t="e">
        <f t="shared" si="9"/>
        <v>#DIV/0!</v>
      </c>
      <c r="E59" s="221" t="e">
        <f t="shared" si="10"/>
        <v>#DIV/0!</v>
      </c>
      <c r="F59" s="222" t="e">
        <f t="shared" si="7"/>
        <v>#DIV/0!</v>
      </c>
      <c r="G59" s="222" t="e">
        <f t="shared" si="11"/>
        <v>#N/A</v>
      </c>
      <c r="I59" s="231"/>
      <c r="J59" s="220"/>
      <c r="K59" s="221" t="e">
        <f t="shared" si="8"/>
        <v>#DIV/0!</v>
      </c>
      <c r="L59" s="221" t="e">
        <f t="shared" si="13"/>
        <v>#DIV/0!</v>
      </c>
      <c r="M59" s="222" t="e">
        <f t="shared" si="12"/>
        <v>#DIV/0!</v>
      </c>
    </row>
    <row r="60" spans="2:13" ht="15" hidden="1" outlineLevel="1" thickBot="1">
      <c r="B60" s="231"/>
      <c r="C60" s="220"/>
      <c r="D60" s="221" t="e">
        <f t="shared" si="9"/>
        <v>#DIV/0!</v>
      </c>
      <c r="E60" s="221" t="e">
        <f t="shared" si="10"/>
        <v>#DIV/0!</v>
      </c>
      <c r="F60" s="222" t="e">
        <f t="shared" si="7"/>
        <v>#DIV/0!</v>
      </c>
      <c r="G60" s="222" t="e">
        <f t="shared" si="11"/>
        <v>#N/A</v>
      </c>
      <c r="I60" s="231"/>
      <c r="J60" s="220"/>
      <c r="K60" s="221" t="e">
        <f t="shared" si="8"/>
        <v>#DIV/0!</v>
      </c>
      <c r="L60" s="221" t="e">
        <f t="shared" si="13"/>
        <v>#DIV/0!</v>
      </c>
      <c r="M60" s="222" t="e">
        <f t="shared" si="12"/>
        <v>#DIV/0!</v>
      </c>
    </row>
    <row r="61" spans="2:13" ht="15" hidden="1" outlineLevel="1" thickBot="1">
      <c r="B61" s="231"/>
      <c r="C61" s="220"/>
      <c r="D61" s="221" t="e">
        <f t="shared" si="9"/>
        <v>#DIV/0!</v>
      </c>
      <c r="E61" s="221" t="e">
        <f t="shared" si="10"/>
        <v>#DIV/0!</v>
      </c>
      <c r="F61" s="222" t="e">
        <f t="shared" si="7"/>
        <v>#DIV/0!</v>
      </c>
      <c r="G61" s="222" t="e">
        <f t="shared" si="11"/>
        <v>#N/A</v>
      </c>
      <c r="I61" s="231"/>
      <c r="J61" s="220"/>
      <c r="K61" s="221" t="e">
        <f t="shared" si="8"/>
        <v>#DIV/0!</v>
      </c>
      <c r="L61" s="221" t="e">
        <f t="shared" si="13"/>
        <v>#DIV/0!</v>
      </c>
      <c r="M61" s="222" t="e">
        <f t="shared" si="12"/>
        <v>#DIV/0!</v>
      </c>
    </row>
    <row r="62" spans="2:13" ht="15" hidden="1" outlineLevel="1" thickBot="1">
      <c r="B62" s="231"/>
      <c r="C62" s="220"/>
      <c r="D62" s="221" t="e">
        <f t="shared" si="9"/>
        <v>#DIV/0!</v>
      </c>
      <c r="E62" s="221" t="e">
        <f t="shared" si="10"/>
        <v>#DIV/0!</v>
      </c>
      <c r="F62" s="222" t="e">
        <f t="shared" si="7"/>
        <v>#DIV/0!</v>
      </c>
      <c r="G62" s="222" t="e">
        <f t="shared" si="11"/>
        <v>#N/A</v>
      </c>
      <c r="I62" s="231"/>
      <c r="J62" s="220"/>
      <c r="K62" s="221" t="e">
        <f t="shared" si="8"/>
        <v>#DIV/0!</v>
      </c>
      <c r="L62" s="221" t="e">
        <f t="shared" si="13"/>
        <v>#DIV/0!</v>
      </c>
      <c r="M62" s="222" t="e">
        <f t="shared" si="12"/>
        <v>#DIV/0!</v>
      </c>
    </row>
    <row r="63" spans="2:13" ht="15" hidden="1" outlineLevel="1" thickBot="1">
      <c r="B63" s="231"/>
      <c r="C63" s="220"/>
      <c r="D63" s="221" t="e">
        <f t="shared" si="9"/>
        <v>#DIV/0!</v>
      </c>
      <c r="E63" s="221" t="e">
        <f t="shared" si="10"/>
        <v>#DIV/0!</v>
      </c>
      <c r="F63" s="222" t="e">
        <f t="shared" si="7"/>
        <v>#DIV/0!</v>
      </c>
      <c r="G63" s="222" t="e">
        <f t="shared" si="11"/>
        <v>#N/A</v>
      </c>
      <c r="I63" s="231"/>
      <c r="J63" s="220"/>
      <c r="K63" s="221" t="e">
        <f t="shared" si="8"/>
        <v>#DIV/0!</v>
      </c>
      <c r="L63" s="221" t="e">
        <f t="shared" si="13"/>
        <v>#DIV/0!</v>
      </c>
      <c r="M63" s="222" t="e">
        <f t="shared" si="12"/>
        <v>#DIV/0!</v>
      </c>
    </row>
    <row r="64" spans="2:13" ht="15" hidden="1" outlineLevel="1" thickBot="1">
      <c r="B64" s="231"/>
      <c r="C64" s="220"/>
      <c r="D64" s="221" t="e">
        <f t="shared" si="9"/>
        <v>#DIV/0!</v>
      </c>
      <c r="E64" s="221" t="e">
        <f t="shared" si="10"/>
        <v>#DIV/0!</v>
      </c>
      <c r="F64" s="222" t="e">
        <f t="shared" si="7"/>
        <v>#DIV/0!</v>
      </c>
      <c r="G64" s="222" t="e">
        <f t="shared" si="11"/>
        <v>#N/A</v>
      </c>
      <c r="I64" s="231"/>
      <c r="J64" s="220"/>
      <c r="K64" s="221" t="e">
        <f t="shared" si="8"/>
        <v>#DIV/0!</v>
      </c>
      <c r="L64" s="221" t="e">
        <f t="shared" si="13"/>
        <v>#DIV/0!</v>
      </c>
      <c r="M64" s="222" t="e">
        <f t="shared" si="12"/>
        <v>#DIV/0!</v>
      </c>
    </row>
    <row r="65" spans="2:13" ht="15" hidden="1" outlineLevel="1" thickBot="1">
      <c r="B65" s="231"/>
      <c r="C65" s="220"/>
      <c r="D65" s="221" t="e">
        <f t="shared" si="9"/>
        <v>#DIV/0!</v>
      </c>
      <c r="E65" s="221" t="e">
        <f>D65+E64</f>
        <v>#DIV/0!</v>
      </c>
      <c r="F65" s="222" t="e">
        <f t="shared" si="7"/>
        <v>#DIV/0!</v>
      </c>
      <c r="G65" s="222" t="e">
        <f t="shared" si="11"/>
        <v>#N/A</v>
      </c>
      <c r="I65" s="231"/>
      <c r="J65" s="220"/>
      <c r="K65" s="221" t="e">
        <f t="shared" si="8"/>
        <v>#DIV/0!</v>
      </c>
      <c r="L65" s="221" t="e">
        <f t="shared" si="13"/>
        <v>#DIV/0!</v>
      </c>
      <c r="M65" s="222" t="e">
        <f t="shared" si="12"/>
        <v>#DIV/0!</v>
      </c>
    </row>
    <row r="66" spans="2:13" ht="15" hidden="1" outlineLevel="1" thickBot="1">
      <c r="B66" s="231"/>
      <c r="C66" s="220"/>
      <c r="D66" s="221" t="e">
        <f t="shared" si="9"/>
        <v>#DIV/0!</v>
      </c>
      <c r="E66" s="221" t="e">
        <f t="shared" si="10"/>
        <v>#DIV/0!</v>
      </c>
      <c r="F66" s="222" t="e">
        <f t="shared" si="7"/>
        <v>#DIV/0!</v>
      </c>
      <c r="G66" s="222" t="e">
        <f t="shared" si="11"/>
        <v>#N/A</v>
      </c>
      <c r="I66" s="231"/>
      <c r="J66" s="220"/>
      <c r="K66" s="221" t="e">
        <f t="shared" si="8"/>
        <v>#DIV/0!</v>
      </c>
      <c r="L66" s="221" t="e">
        <f t="shared" si="13"/>
        <v>#DIV/0!</v>
      </c>
      <c r="M66" s="222" t="e">
        <f t="shared" si="12"/>
        <v>#DIV/0!</v>
      </c>
    </row>
    <row r="67" spans="2:13" ht="15" hidden="1" outlineLevel="1" thickBot="1">
      <c r="B67" s="231"/>
      <c r="C67" s="220"/>
      <c r="D67" s="221" t="e">
        <f t="shared" si="9"/>
        <v>#DIV/0!</v>
      </c>
      <c r="E67" s="221" t="e">
        <f t="shared" si="10"/>
        <v>#DIV/0!</v>
      </c>
      <c r="F67" s="222" t="e">
        <f t="shared" si="7"/>
        <v>#DIV/0!</v>
      </c>
      <c r="G67" s="222" t="e">
        <f t="shared" si="11"/>
        <v>#N/A</v>
      </c>
      <c r="I67" s="231"/>
      <c r="J67" s="220"/>
      <c r="K67" s="221" t="e">
        <f t="shared" si="8"/>
        <v>#DIV/0!</v>
      </c>
      <c r="L67" s="221" t="e">
        <f t="shared" si="13"/>
        <v>#DIV/0!</v>
      </c>
      <c r="M67" s="222" t="e">
        <f t="shared" si="12"/>
        <v>#DIV/0!</v>
      </c>
    </row>
    <row r="68" spans="2:13" ht="15" hidden="1" outlineLevel="1" thickBot="1">
      <c r="B68" s="231"/>
      <c r="C68" s="220"/>
      <c r="D68" s="221" t="e">
        <f t="shared" si="9"/>
        <v>#DIV/0!</v>
      </c>
      <c r="E68" s="221" t="e">
        <f t="shared" si="10"/>
        <v>#DIV/0!</v>
      </c>
      <c r="F68" s="222" t="e">
        <f t="shared" si="7"/>
        <v>#DIV/0!</v>
      </c>
      <c r="G68" s="222" t="e">
        <f t="shared" si="11"/>
        <v>#N/A</v>
      </c>
      <c r="I68" s="231"/>
      <c r="J68" s="220"/>
      <c r="K68" s="221" t="e">
        <f t="shared" si="8"/>
        <v>#DIV/0!</v>
      </c>
      <c r="L68" s="221" t="e">
        <f t="shared" si="13"/>
        <v>#DIV/0!</v>
      </c>
      <c r="M68" s="222" t="e">
        <f t="shared" si="12"/>
        <v>#DIV/0!</v>
      </c>
    </row>
    <row r="69" spans="2:13" ht="16" hidden="1" customHeight="1" outlineLevel="1">
      <c r="B69" s="231"/>
      <c r="C69" s="220"/>
      <c r="D69" s="221" t="e">
        <f t="shared" si="9"/>
        <v>#DIV/0!</v>
      </c>
      <c r="E69" s="221" t="e">
        <f t="shared" si="10"/>
        <v>#DIV/0!</v>
      </c>
      <c r="F69" s="222" t="e">
        <f t="shared" si="7"/>
        <v>#DIV/0!</v>
      </c>
      <c r="G69" s="222" t="e">
        <f t="shared" si="11"/>
        <v>#N/A</v>
      </c>
      <c r="I69" s="231"/>
      <c r="J69" s="220"/>
      <c r="K69" s="221" t="e">
        <f t="shared" si="8"/>
        <v>#DIV/0!</v>
      </c>
      <c r="L69" s="221" t="e">
        <f t="shared" si="13"/>
        <v>#DIV/0!</v>
      </c>
      <c r="M69" s="222" t="e">
        <f t="shared" si="12"/>
        <v>#DIV/0!</v>
      </c>
    </row>
    <row r="70" spans="2:13" ht="15" hidden="1" outlineLevel="1" thickBot="1">
      <c r="B70" s="231"/>
      <c r="C70" s="220"/>
      <c r="D70" s="221" t="e">
        <f t="shared" si="9"/>
        <v>#DIV/0!</v>
      </c>
      <c r="E70" s="221" t="e">
        <f t="shared" si="10"/>
        <v>#DIV/0!</v>
      </c>
      <c r="F70" s="222" t="e">
        <f t="shared" si="7"/>
        <v>#DIV/0!</v>
      </c>
      <c r="G70" s="222" t="e">
        <f t="shared" si="11"/>
        <v>#N/A</v>
      </c>
      <c r="I70" s="231"/>
      <c r="J70" s="220"/>
      <c r="K70" s="221" t="e">
        <f t="shared" si="8"/>
        <v>#DIV/0!</v>
      </c>
      <c r="L70" s="221" t="e">
        <f t="shared" si="13"/>
        <v>#DIV/0!</v>
      </c>
      <c r="M70" s="222" t="e">
        <f t="shared" si="12"/>
        <v>#DIV/0!</v>
      </c>
    </row>
    <row r="71" spans="2:13" ht="15" hidden="1" outlineLevel="1" thickBot="1">
      <c r="B71" s="231"/>
      <c r="C71" s="220"/>
      <c r="D71" s="221" t="e">
        <f t="shared" si="9"/>
        <v>#DIV/0!</v>
      </c>
      <c r="E71" s="221" t="e">
        <f t="shared" si="10"/>
        <v>#DIV/0!</v>
      </c>
      <c r="F71" s="222" t="e">
        <f t="shared" si="7"/>
        <v>#DIV/0!</v>
      </c>
      <c r="G71" s="222" t="e">
        <f t="shared" si="11"/>
        <v>#N/A</v>
      </c>
      <c r="I71" s="231"/>
      <c r="J71" s="220"/>
      <c r="K71" s="221" t="e">
        <f t="shared" si="8"/>
        <v>#DIV/0!</v>
      </c>
      <c r="L71" s="221" t="e">
        <f t="shared" si="13"/>
        <v>#DIV/0!</v>
      </c>
      <c r="M71" s="222" t="e">
        <f t="shared" si="12"/>
        <v>#DIV/0!</v>
      </c>
    </row>
    <row r="72" spans="2:13" ht="15" hidden="1" outlineLevel="1" thickBot="1">
      <c r="B72" s="231"/>
      <c r="C72" s="220"/>
      <c r="D72" s="221" t="e">
        <f t="shared" si="9"/>
        <v>#DIV/0!</v>
      </c>
      <c r="E72" s="221" t="e">
        <f t="shared" si="10"/>
        <v>#DIV/0!</v>
      </c>
      <c r="F72" s="222" t="e">
        <f t="shared" si="7"/>
        <v>#DIV/0!</v>
      </c>
      <c r="G72" s="222" t="e">
        <f t="shared" si="11"/>
        <v>#N/A</v>
      </c>
      <c r="I72" s="231"/>
      <c r="J72" s="220"/>
      <c r="K72" s="221" t="e">
        <f t="shared" si="8"/>
        <v>#DIV/0!</v>
      </c>
      <c r="L72" s="221" t="e">
        <f t="shared" si="13"/>
        <v>#DIV/0!</v>
      </c>
      <c r="M72" s="222" t="e">
        <f t="shared" si="12"/>
        <v>#DIV/0!</v>
      </c>
    </row>
    <row r="73" spans="2:13" hidden="1" outlineLevel="1">
      <c r="C73" s="227">
        <f>SUM(C21:C72)</f>
        <v>0</v>
      </c>
      <c r="D73" s="232" t="e">
        <f>SUM(D21:D72)</f>
        <v>#DIV/0!</v>
      </c>
      <c r="J73" s="227">
        <f>SUM(J21:J72)</f>
        <v>0</v>
      </c>
      <c r="K73" s="232" t="e">
        <f>SUM(K21:K72)</f>
        <v>#DIV/0!</v>
      </c>
      <c r="L73" s="232"/>
    </row>
    <row r="74" spans="2:13" collapsed="1"/>
  </sheetData>
  <sortState xmlns:xlrd2="http://schemas.microsoft.com/office/spreadsheetml/2017/richdata2" ref="B4:C16">
    <sortCondition descending="1" ref="C4:C16"/>
  </sortState>
  <mergeCells count="2">
    <mergeCell ref="B2:M2"/>
    <mergeCell ref="B19:M19"/>
  </mergeCells>
  <conditionalFormatting sqref="M21:M72 K21:K72 D21:D72 G4:G16 D4:D16 K4:K16 M4:M16">
    <cfRule type="cellIs" dxfId="54" priority="10" operator="equal">
      <formula>"C"</formula>
    </cfRule>
    <cfRule type="cellIs" dxfId="53" priority="11" operator="equal">
      <formula>"B"</formula>
    </cfRule>
    <cfRule type="cellIs" dxfId="52" priority="12" operator="equal">
      <formula>"A"</formula>
    </cfRule>
  </conditionalFormatting>
  <conditionalFormatting sqref="G21:G72">
    <cfRule type="cellIs" dxfId="51" priority="7" operator="equal">
      <formula>"C"</formula>
    </cfRule>
    <cfRule type="cellIs" dxfId="50" priority="8" operator="equal">
      <formula>"B"</formula>
    </cfRule>
    <cfRule type="cellIs" dxfId="49" priority="9" operator="equal">
      <formula>"A"</formula>
    </cfRule>
  </conditionalFormatting>
  <conditionalFormatting sqref="F4:F16">
    <cfRule type="cellIs" dxfId="48" priority="4" operator="equal">
      <formula>"C"</formula>
    </cfRule>
    <cfRule type="cellIs" dxfId="47" priority="5" operator="equal">
      <formula>"B"</formula>
    </cfRule>
    <cfRule type="cellIs" dxfId="46" priority="6" operator="equal">
      <formula>"A"</formula>
    </cfRule>
  </conditionalFormatting>
  <conditionalFormatting sqref="F21:F72">
    <cfRule type="cellIs" dxfId="45" priority="1" operator="equal">
      <formula>"C"</formula>
    </cfRule>
    <cfRule type="cellIs" dxfId="44" priority="2" operator="equal">
      <formula>"B"</formula>
    </cfRule>
    <cfRule type="cellIs" dxfId="43" priority="3" operator="equal">
      <formula>"A"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99394-7AD0-484E-9A4E-EF8D258B8AF2}">
  <dimension ref="A1:AW96"/>
  <sheetViews>
    <sheetView zoomScale="70" zoomScaleNormal="70" workbookViewId="0">
      <pane xSplit="3" ySplit="2" topLeftCell="D26" activePane="bottomRight" state="frozen"/>
      <selection pane="topRight" activeCell="D1" sqref="D1"/>
      <selection pane="bottomLeft" activeCell="A3" sqref="A3"/>
      <selection pane="bottomRight" activeCell="G33" sqref="G33"/>
    </sheetView>
  </sheetViews>
  <sheetFormatPr defaultColWidth="12.54296875" defaultRowHeight="14.5" outlineLevelRow="1"/>
  <cols>
    <col min="1" max="1" width="9.08984375" style="197" customWidth="1"/>
    <col min="2" max="2" width="12.54296875" style="202"/>
    <col min="3" max="3" width="19.90625" style="197" customWidth="1"/>
    <col min="4" max="4" width="16.6328125" style="197" customWidth="1"/>
    <col min="5" max="5" width="12.36328125" style="126" customWidth="1"/>
    <col min="6" max="6" width="10.90625" style="126" customWidth="1"/>
    <col min="7" max="8" width="12.36328125" style="126" customWidth="1"/>
    <col min="9" max="9" width="13.36328125" style="126" customWidth="1"/>
    <col min="10" max="10" width="14.1796875" style="126" customWidth="1"/>
    <col min="11" max="11" width="14.26953125" style="126" customWidth="1"/>
    <col min="12" max="12" width="13.6328125" style="126" customWidth="1"/>
    <col min="13" max="13" width="15.08984375" style="126" customWidth="1"/>
    <col min="14" max="14" width="14.54296875" style="126" customWidth="1"/>
    <col min="15" max="16" width="11" style="126" customWidth="1"/>
    <col min="17" max="17" width="11.1796875" style="126" customWidth="1"/>
    <col min="18" max="18" width="12.08984375" style="126" customWidth="1"/>
    <col min="19" max="22" width="11.26953125" style="199" customWidth="1"/>
    <col min="23" max="23" width="13.1796875" style="199" customWidth="1"/>
    <col min="24" max="24" width="12.36328125" style="199" customWidth="1"/>
    <col min="25" max="25" width="20.7265625" style="199" customWidth="1"/>
    <col min="26" max="26" width="15.90625" style="199" customWidth="1"/>
    <col min="27" max="27" width="13.36328125" style="200" customWidth="1"/>
    <col min="28" max="28" width="14.453125" style="126" customWidth="1"/>
    <col min="29" max="29" width="17.81640625" style="126" customWidth="1"/>
    <col min="30" max="30" width="14.26953125" style="126" customWidth="1"/>
    <col min="31" max="31" width="19.08984375" style="126" customWidth="1"/>
    <col min="32" max="34" width="10.36328125" style="117" customWidth="1"/>
    <col min="35" max="35" width="18.08984375" style="201" customWidth="1"/>
    <col min="36" max="36" width="18.6328125" style="117" customWidth="1"/>
    <col min="37" max="37" width="12.54296875" style="126"/>
    <col min="38" max="38" width="18.90625" style="126" customWidth="1"/>
    <col min="39" max="39" width="3.08984375" style="126" customWidth="1"/>
    <col min="40" max="40" width="19.90625" style="126" customWidth="1"/>
    <col min="41" max="41" width="14.26953125" style="126" customWidth="1"/>
    <col min="42" max="42" width="9.6328125" style="126" customWidth="1"/>
    <col min="43" max="43" width="11.1796875" style="126" customWidth="1"/>
    <col min="44" max="44" width="9.54296875" style="126" customWidth="1"/>
    <col min="45" max="45" width="10.1796875" style="126" customWidth="1"/>
    <col min="46" max="46" width="11.7265625" style="126" customWidth="1"/>
    <col min="47" max="47" width="12.54296875" style="126"/>
    <col min="48" max="48" width="3.36328125" style="140" customWidth="1"/>
    <col min="49" max="16384" width="12.54296875" style="126"/>
  </cols>
  <sheetData>
    <row r="1" spans="1:49" s="95" customFormat="1" ht="16" customHeight="1">
      <c r="A1" s="92" t="s">
        <v>167</v>
      </c>
      <c r="B1" s="93"/>
      <c r="C1" s="92"/>
      <c r="D1" s="92"/>
      <c r="E1" s="94"/>
      <c r="F1" s="348" t="s">
        <v>47</v>
      </c>
      <c r="G1" s="348"/>
      <c r="H1" s="348"/>
      <c r="K1" s="258" t="s">
        <v>48</v>
      </c>
      <c r="L1" s="348" t="s">
        <v>49</v>
      </c>
      <c r="M1" s="348"/>
      <c r="N1" s="348"/>
      <c r="P1" s="96"/>
      <c r="Q1" s="349"/>
      <c r="R1" s="349"/>
      <c r="S1" s="240"/>
      <c r="T1" s="350"/>
      <c r="U1" s="351"/>
      <c r="V1" s="240"/>
      <c r="W1" s="349"/>
      <c r="X1" s="349"/>
      <c r="Y1" s="96"/>
      <c r="Z1" s="96"/>
      <c r="AA1" s="96"/>
      <c r="AB1" s="96"/>
      <c r="AC1" s="239"/>
      <c r="AD1" s="240"/>
      <c r="AE1" s="239"/>
      <c r="AF1" s="352"/>
      <c r="AG1" s="352"/>
      <c r="AH1" s="259"/>
      <c r="AI1" s="97" t="s">
        <v>50</v>
      </c>
      <c r="AJ1" s="239"/>
      <c r="AM1" s="98"/>
      <c r="AN1" s="343" t="s">
        <v>51</v>
      </c>
      <c r="AO1" s="344"/>
      <c r="AP1" s="344"/>
      <c r="AQ1" s="344"/>
      <c r="AR1" s="344"/>
      <c r="AS1" s="344"/>
      <c r="AT1" s="344"/>
      <c r="AU1" s="345"/>
      <c r="AV1" s="99"/>
    </row>
    <row r="2" spans="1:49" s="113" customFormat="1" ht="50.5" customHeight="1">
      <c r="A2" s="100" t="s">
        <v>52</v>
      </c>
      <c r="B2" s="101" t="s">
        <v>53</v>
      </c>
      <c r="C2" s="100" t="s">
        <v>54</v>
      </c>
      <c r="D2" s="100" t="s">
        <v>55</v>
      </c>
      <c r="E2" s="100" t="s">
        <v>168</v>
      </c>
      <c r="F2" s="102" t="s">
        <v>57</v>
      </c>
      <c r="G2" s="102" t="s">
        <v>58</v>
      </c>
      <c r="H2" s="102" t="s">
        <v>59</v>
      </c>
      <c r="I2" s="100" t="s">
        <v>60</v>
      </c>
      <c r="J2" s="100" t="s">
        <v>61</v>
      </c>
      <c r="K2" s="103" t="s">
        <v>62</v>
      </c>
      <c r="L2" s="103" t="s">
        <v>63</v>
      </c>
      <c r="M2" s="103" t="s">
        <v>64</v>
      </c>
      <c r="N2" s="103" t="s">
        <v>65</v>
      </c>
      <c r="O2" s="104" t="s">
        <v>66</v>
      </c>
      <c r="P2" s="104" t="s">
        <v>67</v>
      </c>
      <c r="Q2" s="105" t="s">
        <v>68</v>
      </c>
      <c r="R2" s="105" t="s">
        <v>69</v>
      </c>
      <c r="S2" s="100" t="s">
        <v>70</v>
      </c>
      <c r="T2" s="102" t="s">
        <v>71</v>
      </c>
      <c r="U2" s="102" t="s">
        <v>72</v>
      </c>
      <c r="V2" s="106" t="s">
        <v>73</v>
      </c>
      <c r="W2" s="105" t="s">
        <v>74</v>
      </c>
      <c r="X2" s="105" t="s">
        <v>75</v>
      </c>
      <c r="Y2" s="107" t="s">
        <v>76</v>
      </c>
      <c r="Z2" s="108" t="s">
        <v>77</v>
      </c>
      <c r="AA2" s="107" t="s">
        <v>78</v>
      </c>
      <c r="AB2" s="107" t="s">
        <v>18</v>
      </c>
      <c r="AC2" s="109" t="s">
        <v>79</v>
      </c>
      <c r="AD2" s="110" t="s">
        <v>80</v>
      </c>
      <c r="AE2" s="105" t="s">
        <v>8</v>
      </c>
      <c r="AF2" s="104" t="s">
        <v>25</v>
      </c>
      <c r="AG2" s="104" t="s">
        <v>26</v>
      </c>
      <c r="AH2" s="104" t="s">
        <v>27</v>
      </c>
      <c r="AI2" s="105" t="s">
        <v>9</v>
      </c>
      <c r="AJ2" s="105" t="s">
        <v>81</v>
      </c>
      <c r="AK2" s="100" t="s">
        <v>82</v>
      </c>
      <c r="AL2" s="100" t="s">
        <v>11</v>
      </c>
      <c r="AM2" s="111"/>
      <c r="AN2" s="110" t="s">
        <v>83</v>
      </c>
      <c r="AO2" s="110" t="s">
        <v>84</v>
      </c>
      <c r="AP2" s="110" t="s">
        <v>85</v>
      </c>
      <c r="AQ2" s="110" t="s">
        <v>86</v>
      </c>
      <c r="AR2" s="110" t="s">
        <v>87</v>
      </c>
      <c r="AS2" s="110" t="s">
        <v>88</v>
      </c>
      <c r="AT2" s="110" t="s">
        <v>89</v>
      </c>
      <c r="AU2" s="110" t="s">
        <v>90</v>
      </c>
      <c r="AV2" s="112"/>
      <c r="AW2" s="100" t="s">
        <v>91</v>
      </c>
    </row>
    <row r="3" spans="1:49" outlineLevel="1">
      <c r="A3" s="114"/>
      <c r="B3" s="115">
        <v>341479791</v>
      </c>
      <c r="C3" s="115" t="s">
        <v>92</v>
      </c>
      <c r="D3" s="116" t="s">
        <v>93</v>
      </c>
      <c r="E3" s="117">
        <f>'Юнит 9'!E3</f>
        <v>0</v>
      </c>
      <c r="F3" s="117">
        <f>'Юнит 9'!F3</f>
        <v>0</v>
      </c>
      <c r="G3" s="117">
        <f>'Юнит 9'!G3</f>
        <v>0</v>
      </c>
      <c r="H3" s="117">
        <f>'Юнит 9'!H3</f>
        <v>0</v>
      </c>
      <c r="I3" s="117">
        <v>142.97999999999999</v>
      </c>
      <c r="J3" s="117">
        <f t="shared" ref="J3:J15" si="0">E3*I3</f>
        <v>0</v>
      </c>
      <c r="K3" s="114">
        <f>'Юнит 9'!K3</f>
        <v>0</v>
      </c>
      <c r="L3" s="114">
        <f>'Юнит 6'!L3+'Юнит 7'!L3+'Юнит 8'!L3+'Юнит 9'!L3</f>
        <v>148</v>
      </c>
      <c r="M3" s="114"/>
      <c r="N3" s="114"/>
      <c r="O3" s="213">
        <f t="shared" ref="O3:O15" si="1">L3/7</f>
        <v>21.142857142857142</v>
      </c>
      <c r="P3" s="117">
        <f t="shared" ref="P3" si="2">S3/7</f>
        <v>11.714285714285714</v>
      </c>
      <c r="Q3" s="114">
        <f>'Юнит 6'!Q3+'Юнит 7'!Q3+'Юнит 8'!Q3+'Юнит 9'!Q3</f>
        <v>84</v>
      </c>
      <c r="R3" s="114">
        <f>'Юнит 6'!R3+'Юнит 7'!R3+'Юнит 8'!R3+'Юнит 9'!R3</f>
        <v>-2</v>
      </c>
      <c r="S3" s="117">
        <f>Q3+R3</f>
        <v>82</v>
      </c>
      <c r="T3" s="114">
        <f>'Юнит 6'!T3+'Юнит 7'!T3+'Юнит 8'!T3+'Юнит 9'!T3</f>
        <v>66076.51999999999</v>
      </c>
      <c r="U3" s="114">
        <f>'Юнит 6'!U3+'Юнит 7'!U3+'Юнит 8'!U3+'Юнит 9'!U3</f>
        <v>-1530</v>
      </c>
      <c r="V3" s="117">
        <f>T3+U3</f>
        <v>64546.51999999999</v>
      </c>
      <c r="W3" s="114">
        <f>'Юнит 6'!W3+'Юнит 7'!W3+'Юнит 8'!W3+'Юнит 9'!W3</f>
        <v>103992.78</v>
      </c>
      <c r="X3" s="114">
        <f>'Юнит 6'!X3+'Юнит 7'!X3+'Юнит 8'!X3+'Юнит 9'!X3</f>
        <v>-2476</v>
      </c>
      <c r="Y3" s="117">
        <f t="shared" ref="Y3:Y6" si="3">W3+X3</f>
        <v>101516.78</v>
      </c>
      <c r="Z3" s="117">
        <f>L3*M3*N3/100</f>
        <v>0</v>
      </c>
      <c r="AA3" s="119">
        <f t="shared" ref="AA3:AA15" si="4">Y3/$Y$93</f>
        <v>0.27964000551254259</v>
      </c>
      <c r="AB3" s="117">
        <f>S3*I3</f>
        <v>11724.359999999999</v>
      </c>
      <c r="AC3" s="114">
        <f>'Юнит 6'!AC3+'Юнит 7'!AC3+'Юнит 8'!AC3+'Юнит 9'!AC3</f>
        <v>36824.01</v>
      </c>
      <c r="AD3" s="119">
        <f t="shared" ref="AD3:AD15" si="5">IF(Y3=0,0,AC3/Y3)</f>
        <v>0.36273816013470878</v>
      </c>
      <c r="AE3" s="114">
        <v>0</v>
      </c>
      <c r="AF3" s="114">
        <v>0</v>
      </c>
      <c r="AG3" s="114">
        <v>0</v>
      </c>
      <c r="AH3" s="114">
        <v>0</v>
      </c>
      <c r="AI3" s="114">
        <v>0</v>
      </c>
      <c r="AJ3" s="114">
        <v>0</v>
      </c>
      <c r="AK3" s="120">
        <f>V3*1%</f>
        <v>645.46519999999987</v>
      </c>
      <c r="AL3" s="121">
        <f>Y3-AB3-AC3-AE3-AF3-AG3-AH3-AI3-AK3-AJ3</f>
        <v>52322.944799999997</v>
      </c>
      <c r="AM3" s="122"/>
      <c r="AN3" s="123">
        <f t="shared" ref="AN3:AN15" si="6">IF(S3=0,0,Y3/S3)</f>
        <v>1238.0095121951219</v>
      </c>
      <c r="AO3" s="124">
        <f t="shared" ref="AO3:AO15" si="7">I3</f>
        <v>142.97999999999999</v>
      </c>
      <c r="AP3" s="124">
        <f t="shared" ref="AP3:AP15" si="8">IF(S3=0,0,AC3/S3)</f>
        <v>449.07329268292688</v>
      </c>
      <c r="AQ3" s="124">
        <f>IF(Q3=0,AE3/1,AE3/Q3)</f>
        <v>0</v>
      </c>
      <c r="AR3" s="124">
        <f>IF(Q3=0,0,(AF3+AG3)/Q3)</f>
        <v>0</v>
      </c>
      <c r="AS3" s="124">
        <f>_xlfn.IFS(S3=0,AL3,S3&lt;0,AL3/-S3,S3&gt;0,AL3/S3)</f>
        <v>638.08469268292674</v>
      </c>
      <c r="AT3" s="119">
        <f t="shared" ref="AT3" si="9">IF(AN3=0,0,AS3/AN3)</f>
        <v>0.51541178512557229</v>
      </c>
      <c r="AU3" s="119">
        <f t="shared" ref="AU3" si="10">IF(AO3=0,0,AS3/AO3)</f>
        <v>4.462754879584045</v>
      </c>
      <c r="AV3" s="125"/>
      <c r="AW3" s="120">
        <f t="shared" ref="AW3:AW15" si="11">AS3*E3</f>
        <v>0</v>
      </c>
    </row>
    <row r="4" spans="1:49" outlineLevel="1">
      <c r="A4" s="114"/>
      <c r="B4" s="115">
        <v>340343575</v>
      </c>
      <c r="C4" s="115" t="s">
        <v>94</v>
      </c>
      <c r="D4" s="116" t="s">
        <v>93</v>
      </c>
      <c r="E4" s="117">
        <f>'Юнит 9'!E4</f>
        <v>0</v>
      </c>
      <c r="F4" s="117">
        <f>'Юнит 9'!F4</f>
        <v>0</v>
      </c>
      <c r="G4" s="117">
        <f>'Юнит 9'!G4</f>
        <v>0</v>
      </c>
      <c r="H4" s="117">
        <f>'Юнит 9'!H4</f>
        <v>0</v>
      </c>
      <c r="I4" s="117">
        <v>123.09</v>
      </c>
      <c r="J4" s="117">
        <f t="shared" si="0"/>
        <v>0</v>
      </c>
      <c r="K4" s="114">
        <f>'Юнит 9'!K4</f>
        <v>0</v>
      </c>
      <c r="L4" s="114">
        <f>'Юнит 6'!L4+'Юнит 7'!L4+'Юнит 8'!L4+'Юнит 9'!L4</f>
        <v>224</v>
      </c>
      <c r="M4" s="114"/>
      <c r="N4" s="114"/>
      <c r="O4" s="213">
        <f t="shared" si="1"/>
        <v>32</v>
      </c>
      <c r="P4" s="117">
        <f>S4/7</f>
        <v>14.428571428571429</v>
      </c>
      <c r="Q4" s="114">
        <f>'Юнит 6'!Q4+'Юнит 7'!Q4+'Юнит 8'!Q4+'Юнит 9'!Q4</f>
        <v>101</v>
      </c>
      <c r="R4" s="114">
        <f>'Юнит 6'!R4+'Юнит 7'!R4+'Юнит 8'!R4+'Юнит 9'!R4</f>
        <v>0</v>
      </c>
      <c r="S4" s="117">
        <f t="shared" ref="S4:S15" si="12">Q4+R4</f>
        <v>101</v>
      </c>
      <c r="T4" s="114">
        <f>'Юнит 6'!T4+'Юнит 7'!T4+'Юнит 8'!T4+'Юнит 9'!T4</f>
        <v>62940.23</v>
      </c>
      <c r="U4" s="114">
        <f>'Юнит 6'!U4+'Юнит 7'!U4+'Юнит 8'!U4+'Юнит 9'!U4</f>
        <v>0</v>
      </c>
      <c r="V4" s="117">
        <f t="shared" ref="V4:V6" si="13">T4+U4</f>
        <v>62940.23</v>
      </c>
      <c r="W4" s="114">
        <f>'Юнит 6'!W4+'Юнит 7'!W4+'Юнит 8'!W4+'Юнит 9'!W4</f>
        <v>94191.1</v>
      </c>
      <c r="X4" s="114">
        <f>'Юнит 6'!X4+'Юнит 7'!X4+'Юнит 8'!X4+'Юнит 9'!X4</f>
        <v>0</v>
      </c>
      <c r="Y4" s="117">
        <f t="shared" si="3"/>
        <v>94191.1</v>
      </c>
      <c r="Z4" s="117">
        <f t="shared" ref="Z4:Z15" si="14">L4*M4*N4/100</f>
        <v>0</v>
      </c>
      <c r="AA4" s="119">
        <f t="shared" si="4"/>
        <v>0.25946055147959241</v>
      </c>
      <c r="AB4" s="117">
        <f t="shared" ref="AB4:AB15" si="15">S4*I4</f>
        <v>12432.09</v>
      </c>
      <c r="AC4" s="114">
        <f>'Юнит 6'!AC4+'Юнит 7'!AC4+'Юнит 8'!AC4+'Юнит 9'!AC4</f>
        <v>34292.630000000005</v>
      </c>
      <c r="AD4" s="119">
        <f t="shared" si="5"/>
        <v>0.36407505592354272</v>
      </c>
      <c r="AE4" s="114">
        <v>0</v>
      </c>
      <c r="AF4" s="114">
        <v>0</v>
      </c>
      <c r="AG4" s="114">
        <v>0</v>
      </c>
      <c r="AH4" s="114">
        <v>0</v>
      </c>
      <c r="AI4" s="114">
        <v>0</v>
      </c>
      <c r="AJ4" s="114">
        <v>0</v>
      </c>
      <c r="AK4" s="120">
        <f t="shared" ref="AK4:AK15" si="16">V4*1%</f>
        <v>629.40230000000008</v>
      </c>
      <c r="AL4" s="121">
        <f t="shared" ref="AL4:AL6" si="17">Y4-AB4-AC4-AE4-AF4-AG4-AH4-AI4-AK4-AJ4</f>
        <v>46836.977700000003</v>
      </c>
      <c r="AM4" s="122"/>
      <c r="AN4" s="123">
        <f t="shared" si="6"/>
        <v>932.58514851485154</v>
      </c>
      <c r="AO4" s="124">
        <f t="shared" si="7"/>
        <v>123.09</v>
      </c>
      <c r="AP4" s="124">
        <f t="shared" si="8"/>
        <v>339.53099009900995</v>
      </c>
      <c r="AQ4" s="124">
        <f t="shared" ref="AQ4:AQ15" si="18">IF(Q4=0,AE4/1,AE4/Q4)</f>
        <v>0</v>
      </c>
      <c r="AR4" s="124">
        <f t="shared" ref="AR4:AR15" si="19">IF(Q4=0,0,(AF4+AG4)/Q4)</f>
        <v>0</v>
      </c>
      <c r="AS4" s="124">
        <f t="array" ref="AS4">_xlfn.IFS(S4=0,AL4,S4&lt;0,AL4/-S4,S4&gt;0,AL4/S4)</f>
        <v>463.73245247524756</v>
      </c>
      <c r="AT4" s="119">
        <f>IF(AN4=0,0,AS4/AN4)</f>
        <v>0.4972548117603468</v>
      </c>
      <c r="AU4" s="119">
        <f>IF(AO4=0,0,AS4/AO4)</f>
        <v>3.7674258873608544</v>
      </c>
      <c r="AV4" s="125"/>
      <c r="AW4" s="120">
        <f t="shared" si="11"/>
        <v>0</v>
      </c>
    </row>
    <row r="5" spans="1:49" outlineLevel="1">
      <c r="A5" s="114"/>
      <c r="B5" s="115">
        <v>340332621</v>
      </c>
      <c r="C5" s="115" t="s">
        <v>95</v>
      </c>
      <c r="D5" s="116" t="s">
        <v>93</v>
      </c>
      <c r="E5" s="117">
        <f>'Юнит 9'!E5</f>
        <v>0</v>
      </c>
      <c r="F5" s="117">
        <f>'Юнит 9'!F5</f>
        <v>0</v>
      </c>
      <c r="G5" s="117">
        <f>'Юнит 9'!G5</f>
        <v>0</v>
      </c>
      <c r="H5" s="117">
        <f>'Юнит 9'!H5</f>
        <v>0</v>
      </c>
      <c r="I5" s="117">
        <v>123.09</v>
      </c>
      <c r="J5" s="117">
        <f t="shared" si="0"/>
        <v>0</v>
      </c>
      <c r="K5" s="114">
        <f>'Юнит 9'!K5</f>
        <v>0</v>
      </c>
      <c r="L5" s="114">
        <f>'Юнит 6'!L5+'Юнит 7'!L5+'Юнит 8'!L5+'Юнит 9'!L5</f>
        <v>14</v>
      </c>
      <c r="M5" s="114"/>
      <c r="N5" s="114"/>
      <c r="O5" s="213">
        <f t="shared" si="1"/>
        <v>2</v>
      </c>
      <c r="P5" s="117">
        <f>S5/7</f>
        <v>1</v>
      </c>
      <c r="Q5" s="114">
        <f>'Юнит 6'!Q5+'Юнит 7'!Q5+'Юнит 8'!Q5+'Юнит 9'!Q5</f>
        <v>7</v>
      </c>
      <c r="R5" s="114">
        <f>'Юнит 6'!R5+'Юнит 7'!R5+'Юнит 8'!R5+'Юнит 9'!R5</f>
        <v>0</v>
      </c>
      <c r="S5" s="117">
        <f t="shared" si="12"/>
        <v>7</v>
      </c>
      <c r="T5" s="114">
        <f>'Юнит 6'!T5+'Юнит 7'!T5+'Юнит 8'!T5+'Юнит 9'!T5</f>
        <v>4632</v>
      </c>
      <c r="U5" s="114">
        <f>'Юнит 6'!U5+'Юнит 7'!U5+'Юнит 8'!U5+'Юнит 9'!U5</f>
        <v>0</v>
      </c>
      <c r="V5" s="117">
        <f t="shared" si="13"/>
        <v>4632</v>
      </c>
      <c r="W5" s="114">
        <f>'Юнит 6'!W5+'Юнит 7'!W5+'Юнит 8'!W5+'Юнит 9'!W5</f>
        <v>7612</v>
      </c>
      <c r="X5" s="114">
        <f>'Юнит 6'!X5+'Юнит 7'!X5+'Юнит 8'!X5+'Юнит 9'!X5</f>
        <v>0</v>
      </c>
      <c r="Y5" s="117">
        <f t="shared" si="3"/>
        <v>7612</v>
      </c>
      <c r="Z5" s="117">
        <f t="shared" si="14"/>
        <v>0</v>
      </c>
      <c r="AA5" s="119">
        <f t="shared" si="4"/>
        <v>2.096815641671726E-2</v>
      </c>
      <c r="AB5" s="117">
        <f t="shared" si="15"/>
        <v>861.63</v>
      </c>
      <c r="AC5" s="114">
        <f>'Юнит 6'!AC5+'Юнит 7'!AC5+'Юнит 8'!AC5+'Юнит 9'!AC5</f>
        <v>2781.5499999999997</v>
      </c>
      <c r="AD5" s="119">
        <f t="shared" si="5"/>
        <v>0.36541644771413556</v>
      </c>
      <c r="AE5" s="114">
        <v>0</v>
      </c>
      <c r="AF5" s="114">
        <v>0</v>
      </c>
      <c r="AG5" s="114">
        <v>0</v>
      </c>
      <c r="AH5" s="114">
        <v>0</v>
      </c>
      <c r="AI5" s="114">
        <v>0</v>
      </c>
      <c r="AJ5" s="114">
        <v>0</v>
      </c>
      <c r="AK5" s="120">
        <f t="shared" si="16"/>
        <v>46.32</v>
      </c>
      <c r="AL5" s="121">
        <f t="shared" si="17"/>
        <v>3922.5</v>
      </c>
      <c r="AM5" s="122"/>
      <c r="AN5" s="123">
        <f t="shared" si="6"/>
        <v>1087.4285714285713</v>
      </c>
      <c r="AO5" s="124">
        <f t="shared" si="7"/>
        <v>123.09</v>
      </c>
      <c r="AP5" s="124">
        <f t="shared" si="8"/>
        <v>397.3642857142857</v>
      </c>
      <c r="AQ5" s="124">
        <f t="shared" si="18"/>
        <v>0</v>
      </c>
      <c r="AR5" s="124">
        <f t="shared" si="19"/>
        <v>0</v>
      </c>
      <c r="AS5" s="124">
        <f t="array" ref="AS5">_xlfn.IFS(S5=0,AL5,S5&lt;0,AL5/-S5,S5&gt;0,AL5/S5)</f>
        <v>560.35714285714289</v>
      </c>
      <c r="AT5" s="119">
        <f>IF(AN5=0,0,AS5/AN5)</f>
        <v>0.51530478192327911</v>
      </c>
      <c r="AU5" s="119">
        <f>IF(AO5=0,0,AS5/AO5)</f>
        <v>4.5524180912920862</v>
      </c>
      <c r="AV5" s="125"/>
      <c r="AW5" s="120">
        <f t="shared" si="11"/>
        <v>0</v>
      </c>
    </row>
    <row r="6" spans="1:49" outlineLevel="1">
      <c r="A6" s="114"/>
      <c r="B6" s="115">
        <v>340341838</v>
      </c>
      <c r="C6" s="115" t="s">
        <v>96</v>
      </c>
      <c r="D6" s="116" t="s">
        <v>93</v>
      </c>
      <c r="E6" s="117">
        <f>'Юнит 9'!E6</f>
        <v>0</v>
      </c>
      <c r="F6" s="117">
        <f>'Юнит 9'!F6</f>
        <v>0</v>
      </c>
      <c r="G6" s="117">
        <f>'Юнит 9'!G6</f>
        <v>0</v>
      </c>
      <c r="H6" s="117">
        <f>'Юнит 9'!H6</f>
        <v>0</v>
      </c>
      <c r="I6" s="117">
        <v>123.09</v>
      </c>
      <c r="J6" s="117">
        <f t="shared" si="0"/>
        <v>0</v>
      </c>
      <c r="K6" s="114">
        <f>'Юнит 9'!K6</f>
        <v>0</v>
      </c>
      <c r="L6" s="114">
        <f>'Юнит 6'!L6+'Юнит 7'!L6+'Юнит 8'!L6+'Юнит 9'!L6</f>
        <v>42</v>
      </c>
      <c r="M6" s="114"/>
      <c r="N6" s="114"/>
      <c r="O6" s="213">
        <f t="shared" si="1"/>
        <v>6</v>
      </c>
      <c r="P6" s="117">
        <f t="shared" ref="P6:P15" si="20">S6/7</f>
        <v>3</v>
      </c>
      <c r="Q6" s="114">
        <f>'Юнит 6'!Q6+'Юнит 7'!Q6+'Юнит 8'!Q6+'Юнит 9'!Q6</f>
        <v>21</v>
      </c>
      <c r="R6" s="114">
        <f>'Юнит 6'!R6+'Юнит 7'!R6+'Юнит 8'!R6+'Юнит 9'!R6</f>
        <v>0</v>
      </c>
      <c r="S6" s="117">
        <f t="shared" si="12"/>
        <v>21</v>
      </c>
      <c r="T6" s="114">
        <f>'Юнит 6'!T6+'Юнит 7'!T6+'Юнит 8'!T6+'Юнит 9'!T6</f>
        <v>15272.94</v>
      </c>
      <c r="U6" s="114">
        <f>'Юнит 6'!U6+'Юнит 7'!U6+'Юнит 8'!U6+'Юнит 9'!U6</f>
        <v>0</v>
      </c>
      <c r="V6" s="117">
        <f t="shared" si="13"/>
        <v>15272.94</v>
      </c>
      <c r="W6" s="114">
        <f>'Юнит 6'!W6+'Юнит 7'!W6+'Юнит 8'!W6+'Юнит 9'!W6</f>
        <v>24448.1</v>
      </c>
      <c r="X6" s="114">
        <f>'Юнит 6'!X6+'Юнит 7'!X6+'Юнит 8'!X6+'Юнит 9'!X6</f>
        <v>0</v>
      </c>
      <c r="Y6" s="117">
        <f t="shared" si="3"/>
        <v>24448.1</v>
      </c>
      <c r="Z6" s="117">
        <f t="shared" si="14"/>
        <v>0</v>
      </c>
      <c r="AA6" s="119">
        <f t="shared" si="4"/>
        <v>6.7345189817596587E-2</v>
      </c>
      <c r="AB6" s="117">
        <f t="shared" si="15"/>
        <v>2584.89</v>
      </c>
      <c r="AC6" s="114">
        <f>'Юнит 6'!AC6+'Юнит 7'!AC6+'Юнит 8'!AC6+'Юнит 9'!AC6</f>
        <v>8865.7100000000009</v>
      </c>
      <c r="AD6" s="119">
        <f t="shared" si="5"/>
        <v>0.36263390611131341</v>
      </c>
      <c r="AE6" s="114">
        <v>0</v>
      </c>
      <c r="AF6" s="114">
        <v>0</v>
      </c>
      <c r="AG6" s="114">
        <v>0</v>
      </c>
      <c r="AH6" s="114">
        <v>0</v>
      </c>
      <c r="AI6" s="114">
        <v>0</v>
      </c>
      <c r="AJ6" s="114">
        <v>0</v>
      </c>
      <c r="AK6" s="120">
        <f t="shared" si="16"/>
        <v>152.7294</v>
      </c>
      <c r="AL6" s="121">
        <f t="shared" si="17"/>
        <v>12844.770599999998</v>
      </c>
      <c r="AM6" s="122"/>
      <c r="AN6" s="123">
        <f t="shared" si="6"/>
        <v>1164.195238095238</v>
      </c>
      <c r="AO6" s="124">
        <f t="shared" si="7"/>
        <v>123.09</v>
      </c>
      <c r="AP6" s="124">
        <f t="shared" si="8"/>
        <v>422.17666666666673</v>
      </c>
      <c r="AQ6" s="124">
        <f t="shared" si="18"/>
        <v>0</v>
      </c>
      <c r="AR6" s="124">
        <f t="shared" si="19"/>
        <v>0</v>
      </c>
      <c r="AS6" s="124">
        <f t="array" ref="AS6">_xlfn.IFS(S6=0,AL6,S6&lt;0,AL6/-S6,S6&gt;0,AL6/S6)</f>
        <v>611.65574285714274</v>
      </c>
      <c r="AT6" s="119">
        <f t="shared" ref="AT6:AT15" si="21">IF(AN6=0,0,AS6/AN6)</f>
        <v>0.52538931859735516</v>
      </c>
      <c r="AU6" s="119">
        <f t="shared" ref="AU6:AU15" si="22">IF(AO6=0,0,AS6/AO6)</f>
        <v>4.9691749358773478</v>
      </c>
      <c r="AV6" s="125"/>
      <c r="AW6" s="120">
        <f t="shared" si="11"/>
        <v>0</v>
      </c>
    </row>
    <row r="7" spans="1:49" outlineLevel="1">
      <c r="A7" s="114"/>
      <c r="B7" s="115">
        <v>445291724</v>
      </c>
      <c r="C7" s="115" t="s">
        <v>97</v>
      </c>
      <c r="D7" s="116" t="s">
        <v>93</v>
      </c>
      <c r="E7" s="117">
        <f>'Юнит 9'!E7</f>
        <v>0</v>
      </c>
      <c r="F7" s="117">
        <f>'Юнит 9'!F7</f>
        <v>0</v>
      </c>
      <c r="G7" s="117">
        <f>'Юнит 9'!G7</f>
        <v>0</v>
      </c>
      <c r="H7" s="117">
        <f>'Юнит 9'!H7</f>
        <v>0</v>
      </c>
      <c r="I7" s="117">
        <v>123.09</v>
      </c>
      <c r="J7" s="117">
        <f t="shared" si="0"/>
        <v>0</v>
      </c>
      <c r="K7" s="114">
        <f>'Юнит 9'!K7</f>
        <v>0</v>
      </c>
      <c r="L7" s="114">
        <f>'Юнит 6'!L7+'Юнит 7'!L7+'Юнит 8'!L7+'Юнит 9'!L7</f>
        <v>60</v>
      </c>
      <c r="M7" s="114"/>
      <c r="N7" s="114"/>
      <c r="O7" s="213">
        <f t="shared" si="1"/>
        <v>8.5714285714285712</v>
      </c>
      <c r="P7" s="117">
        <f t="shared" si="20"/>
        <v>4</v>
      </c>
      <c r="Q7" s="114">
        <f>'Юнит 6'!Q7+'Юнит 7'!Q7+'Юнит 8'!Q7+'Юнит 9'!Q7</f>
        <v>28</v>
      </c>
      <c r="R7" s="114">
        <f>'Юнит 6'!R7+'Юнит 7'!R7+'Юнит 8'!R7+'Юнит 9'!R7</f>
        <v>0</v>
      </c>
      <c r="S7" s="117">
        <f t="shared" si="12"/>
        <v>28</v>
      </c>
      <c r="T7" s="114">
        <f>'Юнит 6'!T7+'Юнит 7'!T7+'Юнит 8'!T7+'Юнит 9'!T7</f>
        <v>19832</v>
      </c>
      <c r="U7" s="114">
        <f>'Юнит 6'!U7+'Юнит 7'!U7+'Юнит 8'!U7+'Юнит 9'!U7</f>
        <v>0</v>
      </c>
      <c r="V7" s="117">
        <f>T7+U7</f>
        <v>19832</v>
      </c>
      <c r="W7" s="114">
        <f>'Юнит 6'!W7+'Юнит 7'!W7+'Юнит 8'!W7+'Юнит 9'!W7</f>
        <v>31845</v>
      </c>
      <c r="X7" s="114">
        <f>'Юнит 6'!X7+'Юнит 7'!X7+'Юнит 8'!X7+'Юнит 9'!X7</f>
        <v>0</v>
      </c>
      <c r="Y7" s="117">
        <f>W7+X7</f>
        <v>31845</v>
      </c>
      <c r="Z7" s="117">
        <f t="shared" si="14"/>
        <v>0</v>
      </c>
      <c r="AA7" s="119">
        <f t="shared" si="4"/>
        <v>8.7720827783809921E-2</v>
      </c>
      <c r="AB7" s="117">
        <f t="shared" si="15"/>
        <v>3446.52</v>
      </c>
      <c r="AC7" s="114">
        <f>'Юнит 6'!AC7+'Юнит 7'!AC7+'Юнит 8'!AC7+'Юнит 9'!AC7</f>
        <v>11612.730000000003</v>
      </c>
      <c r="AD7" s="119">
        <f t="shared" si="5"/>
        <v>0.36466415449835149</v>
      </c>
      <c r="AE7" s="114">
        <v>0</v>
      </c>
      <c r="AF7" s="114">
        <v>0</v>
      </c>
      <c r="AG7" s="114">
        <v>0</v>
      </c>
      <c r="AH7" s="114">
        <v>0</v>
      </c>
      <c r="AI7" s="114">
        <v>0</v>
      </c>
      <c r="AJ7" s="114">
        <v>0</v>
      </c>
      <c r="AK7" s="120">
        <f t="shared" si="16"/>
        <v>198.32</v>
      </c>
      <c r="AL7" s="121">
        <f>Y7-AB7-AC7-AE7-AF7-AG7-AH7-AI7-AK7-AJ7</f>
        <v>16587.429999999997</v>
      </c>
      <c r="AM7" s="122"/>
      <c r="AN7" s="123">
        <f t="shared" si="6"/>
        <v>1137.3214285714287</v>
      </c>
      <c r="AO7" s="124">
        <f t="shared" si="7"/>
        <v>123.09</v>
      </c>
      <c r="AP7" s="124">
        <f t="shared" si="8"/>
        <v>414.74035714285725</v>
      </c>
      <c r="AQ7" s="124">
        <f t="shared" si="18"/>
        <v>0</v>
      </c>
      <c r="AR7" s="124">
        <f t="shared" si="19"/>
        <v>0</v>
      </c>
      <c r="AS7" s="124">
        <f t="array" ref="AS7">_xlfn.IFS(S7=0,AL7,S7&lt;0,AL7/-S7,S7&gt;0,AL7/S7)</f>
        <v>592.40821428571417</v>
      </c>
      <c r="AT7" s="119">
        <f t="shared" si="21"/>
        <v>0.5208802009734651</v>
      </c>
      <c r="AU7" s="119">
        <f t="shared" si="22"/>
        <v>4.812805380499749</v>
      </c>
      <c r="AV7" s="125"/>
      <c r="AW7" s="120">
        <f t="shared" si="11"/>
        <v>0</v>
      </c>
    </row>
    <row r="8" spans="1:49" outlineLevel="1">
      <c r="A8" s="114"/>
      <c r="B8" s="115">
        <v>445336740</v>
      </c>
      <c r="C8" s="115" t="s">
        <v>98</v>
      </c>
      <c r="D8" s="116" t="s">
        <v>93</v>
      </c>
      <c r="E8" s="117">
        <f>'Юнит 9'!E8</f>
        <v>0</v>
      </c>
      <c r="F8" s="117">
        <f>'Юнит 9'!F8</f>
        <v>0</v>
      </c>
      <c r="G8" s="117">
        <f>'Юнит 9'!G8</f>
        <v>0</v>
      </c>
      <c r="H8" s="117">
        <f>'Юнит 9'!H8</f>
        <v>0</v>
      </c>
      <c r="I8" s="117">
        <v>123.09</v>
      </c>
      <c r="J8" s="117">
        <f t="shared" si="0"/>
        <v>0</v>
      </c>
      <c r="K8" s="114">
        <f>'Юнит 9'!K8</f>
        <v>0</v>
      </c>
      <c r="L8" s="114">
        <f>'Юнит 6'!L8+'Юнит 7'!L8+'Юнит 8'!L8+'Юнит 9'!L8</f>
        <v>62</v>
      </c>
      <c r="M8" s="114"/>
      <c r="N8" s="114"/>
      <c r="O8" s="213">
        <f t="shared" si="1"/>
        <v>8.8571428571428577</v>
      </c>
      <c r="P8" s="117">
        <f t="shared" si="20"/>
        <v>6.4285714285714288</v>
      </c>
      <c r="Q8" s="114">
        <f>'Юнит 6'!Q8+'Юнит 7'!Q8+'Юнит 8'!Q8+'Юнит 9'!Q8</f>
        <v>46</v>
      </c>
      <c r="R8" s="114">
        <f>'Юнит 6'!R8+'Юнит 7'!R8+'Юнит 8'!R8+'Юнит 9'!R8</f>
        <v>-1</v>
      </c>
      <c r="S8" s="117">
        <f t="shared" si="12"/>
        <v>45</v>
      </c>
      <c r="T8" s="114">
        <f>'Юнит 6'!T8+'Юнит 7'!T8+'Юнит 8'!T8+'Юнит 9'!T8</f>
        <v>33829.47</v>
      </c>
      <c r="U8" s="114">
        <f>'Юнит 6'!U8+'Юнит 7'!U8+'Юнит 8'!U8+'Юнит 9'!U8</f>
        <v>-705</v>
      </c>
      <c r="V8" s="117">
        <f t="shared" ref="V8:V15" si="23">T8+U8</f>
        <v>33124.47</v>
      </c>
      <c r="W8" s="114">
        <f>'Юнит 6'!W8+'Юнит 7'!W8+'Юнит 8'!W8+'Юнит 9'!W8</f>
        <v>52973.33</v>
      </c>
      <c r="X8" s="114">
        <f>'Юнит 6'!X8+'Юнит 7'!X8+'Юнит 8'!X8+'Юнит 9'!X8</f>
        <v>-1150</v>
      </c>
      <c r="Y8" s="117">
        <f t="shared" ref="Y8:Y15" si="24">W8+X8</f>
        <v>51823.33</v>
      </c>
      <c r="Z8" s="117">
        <f t="shared" si="14"/>
        <v>0</v>
      </c>
      <c r="AA8" s="119">
        <f t="shared" si="4"/>
        <v>0.14275350623688335</v>
      </c>
      <c r="AB8" s="117">
        <f t="shared" si="15"/>
        <v>5539.05</v>
      </c>
      <c r="AC8" s="114">
        <f>'Юнит 6'!AC8+'Юнит 7'!AC8+'Юнит 8'!AC8+'Юнит 9'!AC8</f>
        <v>18954.21000000001</v>
      </c>
      <c r="AD8" s="119">
        <f t="shared" si="5"/>
        <v>0.36574666274822576</v>
      </c>
      <c r="AE8" s="114">
        <v>0</v>
      </c>
      <c r="AF8" s="114">
        <v>0</v>
      </c>
      <c r="AG8" s="114">
        <v>0</v>
      </c>
      <c r="AH8" s="114">
        <v>0</v>
      </c>
      <c r="AI8" s="114">
        <v>0</v>
      </c>
      <c r="AJ8" s="114">
        <v>0</v>
      </c>
      <c r="AK8" s="120">
        <f t="shared" si="16"/>
        <v>331.24470000000002</v>
      </c>
      <c r="AL8" s="121">
        <f t="shared" ref="AL8:AL15" si="25">Y8-AB8-AC8-AE8-AF8-AG8-AH8-AI8-AK8-AJ8</f>
        <v>26998.82529999999</v>
      </c>
      <c r="AM8" s="122"/>
      <c r="AN8" s="123">
        <f t="shared" si="6"/>
        <v>1151.6295555555555</v>
      </c>
      <c r="AO8" s="124">
        <f t="shared" si="7"/>
        <v>123.09</v>
      </c>
      <c r="AP8" s="124">
        <f t="shared" si="8"/>
        <v>421.20466666666687</v>
      </c>
      <c r="AQ8" s="124">
        <f t="shared" si="18"/>
        <v>0</v>
      </c>
      <c r="AR8" s="124">
        <f t="shared" si="19"/>
        <v>0</v>
      </c>
      <c r="AS8" s="124">
        <f t="array" ref="AS8">_xlfn.IFS(S8=0,AL8,S8&lt;0,AL8/-S8,S8&gt;0,AL8/S8)</f>
        <v>599.97389555555537</v>
      </c>
      <c r="AT8" s="119">
        <f t="shared" si="21"/>
        <v>0.52097820228842862</v>
      </c>
      <c r="AU8" s="119">
        <f t="shared" si="22"/>
        <v>4.8742700102003038</v>
      </c>
      <c r="AV8" s="125"/>
      <c r="AW8" s="120">
        <f t="shared" si="11"/>
        <v>0</v>
      </c>
    </row>
    <row r="9" spans="1:49" outlineLevel="1">
      <c r="A9" s="114"/>
      <c r="B9" s="115">
        <v>445341507</v>
      </c>
      <c r="C9" s="115" t="s">
        <v>99</v>
      </c>
      <c r="D9" s="116" t="s">
        <v>93</v>
      </c>
      <c r="E9" s="117">
        <f>'Юнит 9'!E9</f>
        <v>0</v>
      </c>
      <c r="F9" s="117">
        <f>'Юнит 9'!F9</f>
        <v>0</v>
      </c>
      <c r="G9" s="117">
        <f>'Юнит 9'!G9</f>
        <v>0</v>
      </c>
      <c r="H9" s="117">
        <f>'Юнит 9'!H9</f>
        <v>0</v>
      </c>
      <c r="I9" s="117">
        <v>169.89</v>
      </c>
      <c r="J9" s="117">
        <f t="shared" si="0"/>
        <v>0</v>
      </c>
      <c r="K9" s="114">
        <f>'Юнит 9'!K9</f>
        <v>0</v>
      </c>
      <c r="L9" s="114">
        <f>'Юнит 6'!L9+'Юнит 7'!L9+'Юнит 8'!L9+'Юнит 9'!L9</f>
        <v>42</v>
      </c>
      <c r="M9" s="114"/>
      <c r="N9" s="114"/>
      <c r="O9" s="213">
        <f t="shared" si="1"/>
        <v>6</v>
      </c>
      <c r="P9" s="117">
        <f t="shared" si="20"/>
        <v>3.5714285714285716</v>
      </c>
      <c r="Q9" s="114">
        <f>'Юнит 6'!Q9+'Юнит 7'!Q9+'Юнит 8'!Q9+'Юнит 9'!Q9</f>
        <v>25</v>
      </c>
      <c r="R9" s="114">
        <f>'Юнит 6'!R9+'Юнит 7'!R9+'Юнит 8'!R9+'Юнит 9'!R9</f>
        <v>0</v>
      </c>
      <c r="S9" s="117">
        <f t="shared" si="12"/>
        <v>25</v>
      </c>
      <c r="T9" s="114">
        <f>'Юнит 6'!T9+'Юнит 7'!T9+'Юнит 8'!T9+'Юнит 9'!T9</f>
        <v>18968.36</v>
      </c>
      <c r="U9" s="114">
        <f>'Юнит 6'!U9+'Юнит 7'!U9+'Юнит 8'!U9+'Юнит 9'!U9</f>
        <v>0</v>
      </c>
      <c r="V9" s="117">
        <f t="shared" si="23"/>
        <v>18968.36</v>
      </c>
      <c r="W9" s="114">
        <f>'Юнит 6'!W9+'Юнит 7'!W9+'Юнит 8'!W9+'Юнит 9'!W9</f>
        <v>29685.77</v>
      </c>
      <c r="X9" s="114">
        <f>'Юнит 6'!X9+'Юнит 7'!X9+'Юнит 8'!X9+'Юнит 9'!X9</f>
        <v>0</v>
      </c>
      <c r="Y9" s="117">
        <f t="shared" si="24"/>
        <v>29685.77</v>
      </c>
      <c r="Z9" s="117">
        <f t="shared" si="14"/>
        <v>0</v>
      </c>
      <c r="AA9" s="119">
        <f t="shared" si="4"/>
        <v>8.1772972768088897E-2</v>
      </c>
      <c r="AB9" s="117">
        <f t="shared" si="15"/>
        <v>4247.25</v>
      </c>
      <c r="AC9" s="114">
        <f>'Юнит 6'!AC9+'Юнит 7'!AC9+'Юнит 8'!AC9+'Юнит 9'!AC9</f>
        <v>10855.440000000002</v>
      </c>
      <c r="AD9" s="119">
        <f t="shared" si="5"/>
        <v>0.36567823573382136</v>
      </c>
      <c r="AE9" s="114">
        <v>0</v>
      </c>
      <c r="AF9" s="114">
        <v>0</v>
      </c>
      <c r="AG9" s="114">
        <v>0</v>
      </c>
      <c r="AH9" s="114">
        <v>0</v>
      </c>
      <c r="AI9" s="114">
        <v>0</v>
      </c>
      <c r="AJ9" s="114">
        <v>0</v>
      </c>
      <c r="AK9" s="120">
        <f t="shared" si="16"/>
        <v>189.68360000000001</v>
      </c>
      <c r="AL9" s="121">
        <f t="shared" si="25"/>
        <v>14393.396399999998</v>
      </c>
      <c r="AM9" s="122"/>
      <c r="AN9" s="123">
        <f t="shared" si="6"/>
        <v>1187.4308000000001</v>
      </c>
      <c r="AO9" s="124">
        <f t="shared" si="7"/>
        <v>169.89</v>
      </c>
      <c r="AP9" s="124">
        <f t="shared" si="8"/>
        <v>434.21760000000012</v>
      </c>
      <c r="AQ9" s="124">
        <f t="shared" si="18"/>
        <v>0</v>
      </c>
      <c r="AR9" s="124">
        <f t="shared" si="19"/>
        <v>0</v>
      </c>
      <c r="AS9" s="124">
        <f t="array" ref="AS9">_xlfn.IFS(S9=0,AL9,S9&lt;0,AL9/-S9,S9&gt;0,AL9/S9)</f>
        <v>575.7358559999999</v>
      </c>
      <c r="AT9" s="119">
        <f t="shared" si="21"/>
        <v>0.48485844901446035</v>
      </c>
      <c r="AU9" s="119">
        <f t="shared" si="22"/>
        <v>3.3888743069044671</v>
      </c>
      <c r="AV9" s="125"/>
      <c r="AW9" s="120">
        <f t="shared" si="11"/>
        <v>0</v>
      </c>
    </row>
    <row r="10" spans="1:49" outlineLevel="1">
      <c r="A10" s="114"/>
      <c r="B10" s="115">
        <v>497825485</v>
      </c>
      <c r="C10" s="115" t="s">
        <v>100</v>
      </c>
      <c r="D10" s="116" t="s">
        <v>93</v>
      </c>
      <c r="E10" s="117">
        <f>'Юнит 9'!E10</f>
        <v>0</v>
      </c>
      <c r="F10" s="117">
        <f>'Юнит 9'!F10</f>
        <v>0</v>
      </c>
      <c r="G10" s="117">
        <f>'Юнит 9'!G10</f>
        <v>0</v>
      </c>
      <c r="H10" s="117">
        <f>'Юнит 9'!H10</f>
        <v>0</v>
      </c>
      <c r="I10" s="117">
        <v>169.89</v>
      </c>
      <c r="J10" s="117">
        <f t="shared" si="0"/>
        <v>0</v>
      </c>
      <c r="K10" s="114">
        <f>'Юнит 9'!K10</f>
        <v>0</v>
      </c>
      <c r="L10" s="114">
        <f>'Юнит 6'!L10+'Юнит 7'!L10+'Юнит 8'!L10+'Юнит 9'!L10</f>
        <v>19</v>
      </c>
      <c r="M10" s="114"/>
      <c r="N10" s="114"/>
      <c r="O10" s="213">
        <f t="shared" si="1"/>
        <v>2.7142857142857144</v>
      </c>
      <c r="P10" s="117">
        <f t="shared" si="20"/>
        <v>0.7142857142857143</v>
      </c>
      <c r="Q10" s="114">
        <f>'Юнит 6'!Q10+'Юнит 7'!Q10+'Юнит 8'!Q10+'Юнит 9'!Q10</f>
        <v>5</v>
      </c>
      <c r="R10" s="114">
        <f>'Юнит 6'!R10+'Юнит 7'!R10+'Юнит 8'!R10+'Юнит 9'!R10</f>
        <v>0</v>
      </c>
      <c r="S10" s="117">
        <f t="shared" si="12"/>
        <v>5</v>
      </c>
      <c r="T10" s="114">
        <f>'Юнит 6'!T10+'Юнит 7'!T10+'Юнит 8'!T10+'Юнит 9'!T10</f>
        <v>4088.6400000000003</v>
      </c>
      <c r="U10" s="114">
        <f>'Юнит 6'!U10+'Юнит 7'!U10+'Юнит 8'!U10+'Юнит 9'!U10</f>
        <v>0</v>
      </c>
      <c r="V10" s="117">
        <f t="shared" si="23"/>
        <v>4088.6400000000003</v>
      </c>
      <c r="W10" s="114">
        <f>'Юнит 6'!W10+'Юнит 7'!W10+'Юнит 8'!W10+'Юнит 9'!W10</f>
        <v>6104.59</v>
      </c>
      <c r="X10" s="114">
        <f>'Юнит 6'!X10+'Юнит 7'!X10+'Юнит 8'!X10+'Юнит 9'!X10</f>
        <v>0</v>
      </c>
      <c r="Y10" s="117">
        <f t="shared" si="24"/>
        <v>6104.59</v>
      </c>
      <c r="Z10" s="117">
        <f t="shared" si="14"/>
        <v>0</v>
      </c>
      <c r="AA10" s="119">
        <f t="shared" si="4"/>
        <v>1.6815816865466109E-2</v>
      </c>
      <c r="AB10" s="117">
        <f t="shared" si="15"/>
        <v>849.44999999999993</v>
      </c>
      <c r="AC10" s="114">
        <f>'Юнит 6'!AC10+'Юнит 7'!AC10+'Юнит 8'!AC10+'Юнит 9'!AC10</f>
        <v>2234.34</v>
      </c>
      <c r="AD10" s="119">
        <f t="shared" si="5"/>
        <v>0.36600983849857238</v>
      </c>
      <c r="AE10" s="114">
        <v>0</v>
      </c>
      <c r="AF10" s="114">
        <v>0</v>
      </c>
      <c r="AG10" s="114">
        <v>0</v>
      </c>
      <c r="AH10" s="114">
        <v>0</v>
      </c>
      <c r="AI10" s="114">
        <v>0</v>
      </c>
      <c r="AJ10" s="114">
        <v>0</v>
      </c>
      <c r="AK10" s="120">
        <f t="shared" si="16"/>
        <v>40.886400000000002</v>
      </c>
      <c r="AL10" s="121">
        <f t="shared" si="25"/>
        <v>2979.9136000000003</v>
      </c>
      <c r="AM10" s="122"/>
      <c r="AN10" s="123">
        <f t="shared" si="6"/>
        <v>1220.9180000000001</v>
      </c>
      <c r="AO10" s="124">
        <f t="shared" si="7"/>
        <v>169.89</v>
      </c>
      <c r="AP10" s="124">
        <f t="shared" si="8"/>
        <v>446.86800000000005</v>
      </c>
      <c r="AQ10" s="124">
        <f t="shared" si="18"/>
        <v>0</v>
      </c>
      <c r="AR10" s="124">
        <f t="shared" si="19"/>
        <v>0</v>
      </c>
      <c r="AS10" s="124">
        <f t="array" ref="AS10">_xlfn.IFS(S10=0,AL10,S10&lt;0,AL10/-S10,S10&gt;0,AL10/S10)</f>
        <v>595.98272000000009</v>
      </c>
      <c r="AT10" s="119">
        <f t="shared" si="21"/>
        <v>0.48814311853867337</v>
      </c>
      <c r="AU10" s="119">
        <f t="shared" si="22"/>
        <v>3.508050620990053</v>
      </c>
      <c r="AV10" s="125"/>
      <c r="AW10" s="120">
        <f t="shared" si="11"/>
        <v>0</v>
      </c>
    </row>
    <row r="11" spans="1:49" outlineLevel="1">
      <c r="A11" s="114"/>
      <c r="B11" s="115">
        <v>497825962</v>
      </c>
      <c r="C11" s="115" t="s">
        <v>101</v>
      </c>
      <c r="D11" s="116" t="s">
        <v>93</v>
      </c>
      <c r="E11" s="117">
        <f>'Юнит 9'!E11</f>
        <v>0</v>
      </c>
      <c r="F11" s="117">
        <f>'Юнит 9'!F11</f>
        <v>0</v>
      </c>
      <c r="G11" s="117">
        <f>'Юнит 9'!G11</f>
        <v>0</v>
      </c>
      <c r="H11" s="117">
        <f>'Юнит 9'!H11</f>
        <v>0</v>
      </c>
      <c r="I11" s="117">
        <v>169.89</v>
      </c>
      <c r="J11" s="117">
        <f t="shared" si="0"/>
        <v>0</v>
      </c>
      <c r="K11" s="114">
        <f>'Юнит 9'!K11</f>
        <v>0</v>
      </c>
      <c r="L11" s="114">
        <f>'Юнит 6'!L11+'Юнит 7'!L11+'Юнит 8'!L11+'Юнит 9'!L11</f>
        <v>3</v>
      </c>
      <c r="M11" s="114"/>
      <c r="N11" s="114"/>
      <c r="O11" s="213">
        <f t="shared" si="1"/>
        <v>0.42857142857142855</v>
      </c>
      <c r="P11" s="117">
        <f t="shared" si="20"/>
        <v>0.14285714285714285</v>
      </c>
      <c r="Q11" s="114">
        <f>'Юнит 6'!Q11+'Юнит 7'!Q11+'Юнит 8'!Q11+'Юнит 9'!Q11</f>
        <v>1</v>
      </c>
      <c r="R11" s="114">
        <f>'Юнит 6'!R11+'Юнит 7'!R11+'Юнит 8'!R11+'Юнит 9'!R11</f>
        <v>0</v>
      </c>
      <c r="S11" s="117">
        <f t="shared" si="12"/>
        <v>1</v>
      </c>
      <c r="T11" s="114">
        <f>'Юнит 6'!T11+'Юнит 7'!T11+'Юнит 8'!T11+'Юнит 9'!T11</f>
        <v>708</v>
      </c>
      <c r="U11" s="114">
        <f>'Юнит 6'!U11+'Юнит 7'!U11+'Юнит 8'!U11+'Юнит 9'!U11</f>
        <v>0</v>
      </c>
      <c r="V11" s="117">
        <f t="shared" si="23"/>
        <v>708</v>
      </c>
      <c r="W11" s="114">
        <f>'Юнит 6'!W11+'Юнит 7'!W11+'Юнит 8'!W11+'Юнит 9'!W11</f>
        <v>1145</v>
      </c>
      <c r="X11" s="114">
        <f>'Юнит 6'!X11+'Юнит 7'!X11+'Юнит 8'!X11+'Юнит 9'!X11</f>
        <v>0</v>
      </c>
      <c r="Y11" s="117">
        <f t="shared" si="24"/>
        <v>1145</v>
      </c>
      <c r="Z11" s="117">
        <f t="shared" si="14"/>
        <v>0</v>
      </c>
      <c r="AA11" s="119">
        <f t="shared" si="4"/>
        <v>3.1540382418735239E-3</v>
      </c>
      <c r="AB11" s="117">
        <f t="shared" si="15"/>
        <v>169.89</v>
      </c>
      <c r="AC11" s="114">
        <f>'Юнит 6'!AC11+'Юнит 7'!AC11+'Юнит 8'!AC11+'Юнит 9'!AC11</f>
        <v>418.03</v>
      </c>
      <c r="AD11" s="119">
        <f t="shared" si="5"/>
        <v>0.36509170305676852</v>
      </c>
      <c r="AE11" s="114">
        <v>0</v>
      </c>
      <c r="AF11" s="114">
        <v>0</v>
      </c>
      <c r="AG11" s="114">
        <v>0</v>
      </c>
      <c r="AH11" s="114">
        <v>0</v>
      </c>
      <c r="AI11" s="114">
        <v>0</v>
      </c>
      <c r="AJ11" s="114">
        <v>0</v>
      </c>
      <c r="AK11" s="120">
        <f t="shared" si="16"/>
        <v>7.08</v>
      </c>
      <c r="AL11" s="121">
        <f t="shared" si="25"/>
        <v>550</v>
      </c>
      <c r="AM11" s="122"/>
      <c r="AN11" s="123">
        <f t="shared" si="6"/>
        <v>1145</v>
      </c>
      <c r="AO11" s="124">
        <f t="shared" si="7"/>
        <v>169.89</v>
      </c>
      <c r="AP11" s="124">
        <f t="shared" si="8"/>
        <v>418.03</v>
      </c>
      <c r="AQ11" s="124">
        <f t="shared" si="18"/>
        <v>0</v>
      </c>
      <c r="AR11" s="124">
        <f t="shared" si="19"/>
        <v>0</v>
      </c>
      <c r="AS11" s="124">
        <f t="array" ref="AS11">_xlfn.IFS(S11=0,AL11,S11&lt;0,AL11/-S11,S11&gt;0,AL11/S11)</f>
        <v>550</v>
      </c>
      <c r="AT11" s="119">
        <f t="shared" si="21"/>
        <v>0.48034934497816595</v>
      </c>
      <c r="AU11" s="119">
        <f t="shared" si="22"/>
        <v>3.2373888986991584</v>
      </c>
      <c r="AV11" s="125"/>
      <c r="AW11" s="120">
        <f t="shared" si="11"/>
        <v>0</v>
      </c>
    </row>
    <row r="12" spans="1:49" outlineLevel="1">
      <c r="A12" s="114"/>
      <c r="B12" s="115">
        <v>497821775</v>
      </c>
      <c r="C12" s="115" t="s">
        <v>102</v>
      </c>
      <c r="D12" s="116" t="s">
        <v>93</v>
      </c>
      <c r="E12" s="117">
        <f>'Юнит 9'!E12</f>
        <v>0</v>
      </c>
      <c r="F12" s="117">
        <f>'Юнит 9'!F12</f>
        <v>0</v>
      </c>
      <c r="G12" s="117">
        <f>'Юнит 9'!G12</f>
        <v>0</v>
      </c>
      <c r="H12" s="117">
        <f>'Юнит 9'!H12</f>
        <v>0</v>
      </c>
      <c r="I12" s="117">
        <v>169.89</v>
      </c>
      <c r="J12" s="117">
        <f t="shared" si="0"/>
        <v>0</v>
      </c>
      <c r="K12" s="114">
        <f>'Юнит 9'!K12</f>
        <v>0</v>
      </c>
      <c r="L12" s="114">
        <f>'Юнит 6'!L12+'Юнит 7'!L12+'Юнит 8'!L12+'Юнит 9'!L12</f>
        <v>13</v>
      </c>
      <c r="M12" s="114"/>
      <c r="N12" s="114"/>
      <c r="O12" s="213">
        <f t="shared" si="1"/>
        <v>1.8571428571428572</v>
      </c>
      <c r="P12" s="117">
        <f t="shared" si="20"/>
        <v>0.5714285714285714</v>
      </c>
      <c r="Q12" s="114">
        <f>'Юнит 6'!Q12+'Юнит 7'!Q12+'Юнит 8'!Q12+'Юнит 9'!Q12</f>
        <v>4</v>
      </c>
      <c r="R12" s="114">
        <f>'Юнит 6'!R12+'Юнит 7'!R12+'Юнит 8'!R12+'Юнит 9'!R12</f>
        <v>0</v>
      </c>
      <c r="S12" s="117">
        <f t="shared" si="12"/>
        <v>4</v>
      </c>
      <c r="T12" s="114">
        <f>'Юнит 6'!T12+'Юнит 7'!T12+'Юнит 8'!T12+'Юнит 9'!T12</f>
        <v>2911</v>
      </c>
      <c r="U12" s="114">
        <f>'Юнит 6'!U12+'Юнит 7'!U12+'Юнит 8'!U12+'Юнит 9'!U12</f>
        <v>0</v>
      </c>
      <c r="V12" s="117">
        <f t="shared" si="23"/>
        <v>2911</v>
      </c>
      <c r="W12" s="114">
        <f>'Юнит 6'!W12+'Юнит 7'!W12+'Юнит 8'!W12+'Юнит 9'!W12</f>
        <v>4664</v>
      </c>
      <c r="X12" s="114">
        <f>'Юнит 6'!X12+'Юнит 7'!X12+'Юнит 8'!X12+'Юнит 9'!X12</f>
        <v>0</v>
      </c>
      <c r="Y12" s="117">
        <f t="shared" si="24"/>
        <v>4664</v>
      </c>
      <c r="Z12" s="117">
        <f t="shared" si="14"/>
        <v>0</v>
      </c>
      <c r="AA12" s="119">
        <f t="shared" si="4"/>
        <v>1.2847540925849882E-2</v>
      </c>
      <c r="AB12" s="117">
        <f t="shared" si="15"/>
        <v>679.56</v>
      </c>
      <c r="AC12" s="114">
        <f>'Юнит 6'!AC12+'Юнит 7'!AC12+'Юнит 8'!AC12+'Юнит 9'!AC12</f>
        <v>1709.04</v>
      </c>
      <c r="AD12" s="119">
        <f t="shared" si="5"/>
        <v>0.36643224699828475</v>
      </c>
      <c r="AE12" s="114">
        <v>0</v>
      </c>
      <c r="AF12" s="114">
        <v>0</v>
      </c>
      <c r="AG12" s="114">
        <v>0</v>
      </c>
      <c r="AH12" s="114">
        <v>0</v>
      </c>
      <c r="AI12" s="114">
        <v>0</v>
      </c>
      <c r="AJ12" s="114">
        <v>0</v>
      </c>
      <c r="AK12" s="120">
        <f t="shared" si="16"/>
        <v>29.11</v>
      </c>
      <c r="AL12" s="121">
        <f t="shared" si="25"/>
        <v>2246.29</v>
      </c>
      <c r="AM12" s="122"/>
      <c r="AN12" s="123">
        <f t="shared" si="6"/>
        <v>1166</v>
      </c>
      <c r="AO12" s="124">
        <f t="shared" si="7"/>
        <v>169.89</v>
      </c>
      <c r="AP12" s="124">
        <f t="shared" si="8"/>
        <v>427.26</v>
      </c>
      <c r="AQ12" s="124">
        <f t="shared" si="18"/>
        <v>0</v>
      </c>
      <c r="AR12" s="124">
        <f t="shared" si="19"/>
        <v>0</v>
      </c>
      <c r="AS12" s="124">
        <f t="array" ref="AS12">_xlfn.IFS(S12=0,AL12,S12&lt;0,AL12/-S12,S12&gt;0,AL12/S12)</f>
        <v>561.57249999999999</v>
      </c>
      <c r="AT12" s="119">
        <f t="shared" si="21"/>
        <v>0.48162307032590052</v>
      </c>
      <c r="AU12" s="119">
        <f t="shared" si="22"/>
        <v>3.3055065042086058</v>
      </c>
      <c r="AV12" s="125"/>
      <c r="AW12" s="120">
        <f t="shared" si="11"/>
        <v>0</v>
      </c>
    </row>
    <row r="13" spans="1:49" outlineLevel="1">
      <c r="A13" s="114"/>
      <c r="B13" s="115">
        <v>497823770</v>
      </c>
      <c r="C13" s="115" t="s">
        <v>103</v>
      </c>
      <c r="D13" s="116" t="s">
        <v>93</v>
      </c>
      <c r="E13" s="117">
        <f>'Юнит 9'!E13</f>
        <v>0</v>
      </c>
      <c r="F13" s="117">
        <f>'Юнит 9'!F13</f>
        <v>0</v>
      </c>
      <c r="G13" s="117">
        <f>'Юнит 9'!G13</f>
        <v>0</v>
      </c>
      <c r="H13" s="117">
        <f>'Юнит 9'!H13</f>
        <v>0</v>
      </c>
      <c r="I13" s="117">
        <v>169.89</v>
      </c>
      <c r="J13" s="117">
        <f t="shared" si="0"/>
        <v>0</v>
      </c>
      <c r="K13" s="114">
        <f>'Юнит 9'!K13</f>
        <v>0</v>
      </c>
      <c r="L13" s="114">
        <f>'Юнит 6'!L13+'Юнит 7'!L13+'Юнит 8'!L13+'Юнит 9'!L13</f>
        <v>4</v>
      </c>
      <c r="M13" s="114"/>
      <c r="N13" s="114"/>
      <c r="O13" s="213">
        <f t="shared" si="1"/>
        <v>0.5714285714285714</v>
      </c>
      <c r="P13" s="117">
        <f t="shared" si="20"/>
        <v>0.42857142857142855</v>
      </c>
      <c r="Q13" s="114">
        <f>'Юнит 6'!Q13+'Юнит 7'!Q13+'Юнит 8'!Q13+'Юнит 9'!Q13</f>
        <v>3</v>
      </c>
      <c r="R13" s="114">
        <f>'Юнит 6'!R13+'Юнит 7'!R13+'Юнит 8'!R13+'Юнит 9'!R13</f>
        <v>0</v>
      </c>
      <c r="S13" s="117">
        <f t="shared" si="12"/>
        <v>3</v>
      </c>
      <c r="T13" s="114">
        <f>'Юнит 6'!T13+'Юнит 7'!T13+'Юнит 8'!T13+'Юнит 9'!T13</f>
        <v>2222</v>
      </c>
      <c r="U13" s="114">
        <f>'Юнит 6'!U13+'Юнит 7'!U13+'Юнит 8'!U13+'Юнит 9'!U13</f>
        <v>0</v>
      </c>
      <c r="V13" s="117">
        <f t="shared" si="23"/>
        <v>2222</v>
      </c>
      <c r="W13" s="114">
        <f>'Юнит 6'!W13+'Юнит 7'!W13+'Юнит 8'!W13+'Юнит 9'!W13</f>
        <v>3663</v>
      </c>
      <c r="X13" s="114">
        <f>'Юнит 6'!X13+'Юнит 7'!X13+'Юнит 8'!X13+'Юнит 9'!X13</f>
        <v>0</v>
      </c>
      <c r="Y13" s="117">
        <f t="shared" si="24"/>
        <v>3663</v>
      </c>
      <c r="Z13" s="117">
        <f t="shared" si="14"/>
        <v>0</v>
      </c>
      <c r="AA13" s="119">
        <f t="shared" si="4"/>
        <v>1.0090167755443422E-2</v>
      </c>
      <c r="AB13" s="117">
        <f t="shared" si="15"/>
        <v>509.66999999999996</v>
      </c>
      <c r="AC13" s="114">
        <f>'Юнит 6'!AC13+'Юнит 7'!AC13+'Юнит 8'!AC13+'Юнит 9'!AC13</f>
        <v>1335.9299999999998</v>
      </c>
      <c r="AD13" s="119">
        <f t="shared" si="5"/>
        <v>0.36470925470925464</v>
      </c>
      <c r="AE13" s="114">
        <v>0</v>
      </c>
      <c r="AF13" s="114">
        <v>0</v>
      </c>
      <c r="AG13" s="114">
        <v>0</v>
      </c>
      <c r="AH13" s="114">
        <v>0</v>
      </c>
      <c r="AI13" s="114">
        <v>0</v>
      </c>
      <c r="AJ13" s="114">
        <v>0</v>
      </c>
      <c r="AK13" s="120">
        <f t="shared" si="16"/>
        <v>22.22</v>
      </c>
      <c r="AL13" s="121">
        <f t="shared" si="25"/>
        <v>1795.18</v>
      </c>
      <c r="AM13" s="122"/>
      <c r="AN13" s="123">
        <f t="shared" si="6"/>
        <v>1221</v>
      </c>
      <c r="AO13" s="124">
        <f t="shared" si="7"/>
        <v>169.89</v>
      </c>
      <c r="AP13" s="124">
        <f t="shared" si="8"/>
        <v>445.30999999999995</v>
      </c>
      <c r="AQ13" s="124">
        <f t="shared" si="18"/>
        <v>0</v>
      </c>
      <c r="AR13" s="124">
        <f t="shared" si="19"/>
        <v>0</v>
      </c>
      <c r="AS13" s="124">
        <f t="array" ref="AS13">_xlfn.IFS(S13=0,AL13,S13&lt;0,AL13/-S13,S13&gt;0,AL13/S13)</f>
        <v>598.39333333333332</v>
      </c>
      <c r="AT13" s="119">
        <f t="shared" si="21"/>
        <v>0.49008463008463005</v>
      </c>
      <c r="AU13" s="119">
        <f t="shared" si="22"/>
        <v>3.5222398807071245</v>
      </c>
      <c r="AV13" s="125"/>
      <c r="AW13" s="120">
        <f t="shared" si="11"/>
        <v>0</v>
      </c>
    </row>
    <row r="14" spans="1:49" outlineLevel="1">
      <c r="A14" s="114"/>
      <c r="B14" s="115">
        <v>497824253</v>
      </c>
      <c r="C14" s="115" t="s">
        <v>104</v>
      </c>
      <c r="D14" s="116" t="s">
        <v>93</v>
      </c>
      <c r="E14" s="117">
        <f>'Юнит 9'!E14</f>
        <v>0</v>
      </c>
      <c r="F14" s="117">
        <f>'Юнит 9'!F14</f>
        <v>0</v>
      </c>
      <c r="G14" s="117">
        <f>'Юнит 9'!G14</f>
        <v>0</v>
      </c>
      <c r="H14" s="117">
        <f>'Юнит 9'!H14</f>
        <v>0</v>
      </c>
      <c r="I14" s="117">
        <v>169.89</v>
      </c>
      <c r="J14" s="117">
        <f t="shared" si="0"/>
        <v>0</v>
      </c>
      <c r="K14" s="114">
        <f>'Юнит 9'!K14</f>
        <v>0</v>
      </c>
      <c r="L14" s="114">
        <f>'Юнит 6'!L14+'Юнит 7'!L14+'Юнит 8'!L14+'Юнит 9'!L14</f>
        <v>9</v>
      </c>
      <c r="M14" s="114"/>
      <c r="N14" s="114"/>
      <c r="O14" s="213">
        <f t="shared" si="1"/>
        <v>1.2857142857142858</v>
      </c>
      <c r="P14" s="117">
        <f t="shared" si="20"/>
        <v>0.5714285714285714</v>
      </c>
      <c r="Q14" s="114">
        <f>'Юнит 6'!Q14+'Юнит 7'!Q14+'Юнит 8'!Q14+'Юнит 9'!Q14</f>
        <v>4</v>
      </c>
      <c r="R14" s="114">
        <f>'Юнит 6'!R14+'Юнит 7'!R14+'Юнит 8'!R14+'Юнит 9'!R14</f>
        <v>0</v>
      </c>
      <c r="S14" s="117">
        <f t="shared" si="12"/>
        <v>4</v>
      </c>
      <c r="T14" s="114">
        <f>'Юнит 6'!T14+'Юнит 7'!T14+'Юнит 8'!T14+'Юнит 9'!T14</f>
        <v>3142</v>
      </c>
      <c r="U14" s="114">
        <f>'Юнит 6'!U14+'Юнит 7'!U14+'Юнит 8'!U14+'Юнит 9'!U14</f>
        <v>0</v>
      </c>
      <c r="V14" s="117">
        <f t="shared" si="23"/>
        <v>3142</v>
      </c>
      <c r="W14" s="114">
        <f>'Юнит 6'!W14+'Юнит 7'!W14+'Юнит 8'!W14+'Юнит 9'!W14</f>
        <v>5096</v>
      </c>
      <c r="X14" s="114">
        <f>'Юнит 6'!X14+'Юнит 7'!X14+'Юнит 8'!X14+'Юнит 9'!X14</f>
        <v>0</v>
      </c>
      <c r="Y14" s="117">
        <f t="shared" si="24"/>
        <v>5096</v>
      </c>
      <c r="Z14" s="117">
        <f t="shared" si="14"/>
        <v>0</v>
      </c>
      <c r="AA14" s="119">
        <f t="shared" si="4"/>
        <v>1.4037536140251071E-2</v>
      </c>
      <c r="AB14" s="117">
        <f t="shared" si="15"/>
        <v>679.56</v>
      </c>
      <c r="AC14" s="114">
        <f>'Юнит 6'!AC14+'Юнит 7'!AC14+'Юнит 8'!AC14+'Юнит 9'!AC14</f>
        <v>1837.3400000000001</v>
      </c>
      <c r="AD14" s="119">
        <f t="shared" si="5"/>
        <v>0.36054552590266881</v>
      </c>
      <c r="AE14" s="114">
        <v>0</v>
      </c>
      <c r="AF14" s="114">
        <v>0</v>
      </c>
      <c r="AG14" s="114">
        <v>0</v>
      </c>
      <c r="AH14" s="114">
        <v>0</v>
      </c>
      <c r="AI14" s="114">
        <v>0</v>
      </c>
      <c r="AJ14" s="114">
        <v>0</v>
      </c>
      <c r="AK14" s="120">
        <f t="shared" si="16"/>
        <v>31.42</v>
      </c>
      <c r="AL14" s="121">
        <f t="shared" si="25"/>
        <v>2547.6800000000003</v>
      </c>
      <c r="AM14" s="122"/>
      <c r="AN14" s="123">
        <f t="shared" si="6"/>
        <v>1274</v>
      </c>
      <c r="AO14" s="124">
        <f t="shared" si="7"/>
        <v>169.89</v>
      </c>
      <c r="AP14" s="124">
        <f t="shared" si="8"/>
        <v>459.33500000000004</v>
      </c>
      <c r="AQ14" s="124">
        <f t="shared" si="18"/>
        <v>0</v>
      </c>
      <c r="AR14" s="124">
        <f t="shared" si="19"/>
        <v>0</v>
      </c>
      <c r="AS14" s="124">
        <f t="array" ref="AS14">_xlfn.IFS(S14=0,AL14,S14&lt;0,AL14/-S14,S14&gt;0,AL14/S14)</f>
        <v>636.92000000000007</v>
      </c>
      <c r="AT14" s="119">
        <f t="shared" si="21"/>
        <v>0.49993720565149141</v>
      </c>
      <c r="AU14" s="119">
        <f t="shared" si="22"/>
        <v>3.7490140679263062</v>
      </c>
      <c r="AV14" s="125"/>
      <c r="AW14" s="120">
        <f t="shared" si="11"/>
        <v>0</v>
      </c>
    </row>
    <row r="15" spans="1:49" outlineLevel="1">
      <c r="A15" s="114"/>
      <c r="B15" s="115">
        <v>497824944</v>
      </c>
      <c r="C15" s="115" t="s">
        <v>105</v>
      </c>
      <c r="D15" s="116" t="s">
        <v>93</v>
      </c>
      <c r="E15" s="117">
        <f>'Юнит 9'!E15</f>
        <v>0</v>
      </c>
      <c r="F15" s="117">
        <f>'Юнит 9'!F15</f>
        <v>0</v>
      </c>
      <c r="G15" s="117">
        <f>'Юнит 9'!G15</f>
        <v>0</v>
      </c>
      <c r="H15" s="117">
        <f>'Юнит 9'!H15</f>
        <v>0</v>
      </c>
      <c r="I15" s="117">
        <v>169.89</v>
      </c>
      <c r="J15" s="117">
        <f t="shared" si="0"/>
        <v>0</v>
      </c>
      <c r="K15" s="114">
        <f>'Юнит 9'!K15</f>
        <v>0</v>
      </c>
      <c r="L15" s="114">
        <f>'Юнит 6'!L15+'Юнит 7'!L15+'Юнит 8'!L15+'Юнит 9'!L15</f>
        <v>5</v>
      </c>
      <c r="M15" s="114"/>
      <c r="N15" s="114"/>
      <c r="O15" s="213">
        <f t="shared" si="1"/>
        <v>0.7142857142857143</v>
      </c>
      <c r="P15" s="117">
        <f t="shared" si="20"/>
        <v>0.14285714285714285</v>
      </c>
      <c r="Q15" s="114">
        <f>'Юнит 6'!Q15+'Юнит 7'!Q15+'Юнит 8'!Q15+'Юнит 9'!Q15</f>
        <v>1</v>
      </c>
      <c r="R15" s="114">
        <f>'Юнит 6'!R15+'Юнит 7'!R15+'Юнит 8'!R15+'Юнит 9'!R15</f>
        <v>0</v>
      </c>
      <c r="S15" s="117">
        <f t="shared" si="12"/>
        <v>1</v>
      </c>
      <c r="T15" s="114">
        <f>'Юнит 6'!T15+'Юнит 7'!T15+'Юнит 8'!T15+'Юнит 9'!T15</f>
        <v>743</v>
      </c>
      <c r="U15" s="114">
        <f>'Юнит 6'!U15+'Юнит 7'!U15+'Юнит 8'!U15+'Юнит 9'!U15</f>
        <v>0</v>
      </c>
      <c r="V15" s="117">
        <f t="shared" si="23"/>
        <v>743</v>
      </c>
      <c r="W15" s="114">
        <f>'Юнит 6'!W15+'Юнит 7'!W15+'Юнит 8'!W15+'Юнит 9'!W15</f>
        <v>1232</v>
      </c>
      <c r="X15" s="114">
        <f>'Юнит 6'!X15+'Юнит 7'!X15+'Юнит 8'!X15+'Юнит 9'!X15</f>
        <v>0</v>
      </c>
      <c r="Y15" s="117">
        <f t="shared" si="24"/>
        <v>1232</v>
      </c>
      <c r="Z15" s="117">
        <f t="shared" si="14"/>
        <v>0</v>
      </c>
      <c r="AA15" s="119">
        <f t="shared" si="4"/>
        <v>3.3936900558848744E-3</v>
      </c>
      <c r="AB15" s="117">
        <f t="shared" si="15"/>
        <v>169.89</v>
      </c>
      <c r="AC15" s="114">
        <f>'Юнит 6'!AC15+'Юнит 7'!AC15+'Юнит 8'!AC15+'Юнит 9'!AC15</f>
        <v>449.19000000000005</v>
      </c>
      <c r="AD15" s="119">
        <f t="shared" si="5"/>
        <v>0.36460227272727275</v>
      </c>
      <c r="AE15" s="114">
        <v>0</v>
      </c>
      <c r="AF15" s="114">
        <v>0</v>
      </c>
      <c r="AG15" s="114">
        <v>0</v>
      </c>
      <c r="AH15" s="114">
        <v>0</v>
      </c>
      <c r="AI15" s="114">
        <v>0</v>
      </c>
      <c r="AJ15" s="114">
        <v>0</v>
      </c>
      <c r="AK15" s="120">
        <f t="shared" si="16"/>
        <v>7.43</v>
      </c>
      <c r="AL15" s="121">
        <f t="shared" si="25"/>
        <v>605.49000000000012</v>
      </c>
      <c r="AM15" s="122"/>
      <c r="AN15" s="123">
        <f t="shared" si="6"/>
        <v>1232</v>
      </c>
      <c r="AO15" s="124">
        <f t="shared" si="7"/>
        <v>169.89</v>
      </c>
      <c r="AP15" s="124">
        <f t="shared" si="8"/>
        <v>449.19000000000005</v>
      </c>
      <c r="AQ15" s="124">
        <f t="shared" si="18"/>
        <v>0</v>
      </c>
      <c r="AR15" s="124">
        <f t="shared" si="19"/>
        <v>0</v>
      </c>
      <c r="AS15" s="124">
        <f t="array" ref="AS15">_xlfn.IFS(S15=0,AL15,S15&lt;0,AL15/-S15,S15&gt;0,AL15/S15)</f>
        <v>605.49000000000012</v>
      </c>
      <c r="AT15" s="119">
        <f t="shared" si="21"/>
        <v>0.49146915584415596</v>
      </c>
      <c r="AU15" s="119">
        <f t="shared" si="22"/>
        <v>3.5640120077697341</v>
      </c>
      <c r="AV15" s="125"/>
      <c r="AW15" s="120">
        <f t="shared" si="11"/>
        <v>0</v>
      </c>
    </row>
    <row r="16" spans="1:49" outlineLevel="1">
      <c r="A16" s="114"/>
      <c r="B16" s="115">
        <v>806868318</v>
      </c>
      <c r="C16" s="115" t="s">
        <v>174</v>
      </c>
      <c r="D16" s="116" t="s">
        <v>93</v>
      </c>
      <c r="E16" s="117">
        <f>'Юнит 9'!E16</f>
        <v>0</v>
      </c>
      <c r="F16" s="117">
        <f>'Юнит 9'!F16</f>
        <v>0</v>
      </c>
      <c r="G16" s="117">
        <f>'Юнит 9'!G16</f>
        <v>0</v>
      </c>
      <c r="H16" s="117">
        <f>'Юнит 9'!H16</f>
        <v>0</v>
      </c>
      <c r="I16" s="117">
        <v>129.46</v>
      </c>
      <c r="J16" s="117">
        <f t="shared" ref="J16:J33" si="26">E16*I16</f>
        <v>0</v>
      </c>
      <c r="K16" s="114">
        <f>'Юнит 9'!K16</f>
        <v>0</v>
      </c>
      <c r="L16" s="114">
        <f>'Юнит 6'!L16+'Юнит 7'!L16+'Юнит 8'!L16+'Юнит 9'!L16</f>
        <v>0</v>
      </c>
      <c r="M16" s="114"/>
      <c r="N16" s="114"/>
      <c r="O16" s="213">
        <f t="shared" ref="O16:O33" si="27">L16/7</f>
        <v>0</v>
      </c>
      <c r="P16" s="117">
        <f t="shared" ref="P16:P33" si="28">S16/7</f>
        <v>0</v>
      </c>
      <c r="Q16" s="114">
        <f>'Юнит 6'!Q16+'Юнит 7'!Q16+'Юнит 8'!Q16+'Юнит 9'!Q16</f>
        <v>0</v>
      </c>
      <c r="R16" s="114">
        <f>'Юнит 6'!R16+'Юнит 7'!R16+'Юнит 8'!R16+'Юнит 9'!R16</f>
        <v>0</v>
      </c>
      <c r="S16" s="117">
        <f t="shared" ref="S16:S33" si="29">Q16+R16</f>
        <v>0</v>
      </c>
      <c r="T16" s="114">
        <f>'Юнит 6'!T16+'Юнит 7'!T16+'Юнит 8'!T16+'Юнит 9'!T16</f>
        <v>0</v>
      </c>
      <c r="U16" s="114">
        <f>'Юнит 6'!U16+'Юнит 7'!U16+'Юнит 8'!U16+'Юнит 9'!U16</f>
        <v>0</v>
      </c>
      <c r="V16" s="117">
        <f t="shared" ref="V16:V33" si="30">T16+U16</f>
        <v>0</v>
      </c>
      <c r="W16" s="114">
        <f>'Юнит 6'!W16+'Юнит 7'!W16+'Юнит 8'!W16+'Юнит 9'!W16</f>
        <v>0</v>
      </c>
      <c r="X16" s="114">
        <f>'Юнит 6'!X16+'Юнит 7'!X16+'Юнит 8'!X16+'Юнит 9'!X16</f>
        <v>0</v>
      </c>
      <c r="Y16" s="117">
        <f t="shared" ref="Y16:Y33" si="31">W16+X16</f>
        <v>0</v>
      </c>
      <c r="Z16" s="117">
        <f t="shared" ref="Z16:Z33" si="32">L16*M16*N16/100</f>
        <v>0</v>
      </c>
      <c r="AA16" s="119">
        <f t="shared" ref="AA16:AA33" si="33">Y16/$Y$93</f>
        <v>0</v>
      </c>
      <c r="AB16" s="117">
        <f t="shared" ref="AB16:AB33" si="34">S16*I16</f>
        <v>0</v>
      </c>
      <c r="AC16" s="114">
        <f>'Юнит 6'!AC16+'Юнит 7'!AC16+'Юнит 8'!AC16+'Юнит 9'!AC16</f>
        <v>0</v>
      </c>
      <c r="AD16" s="119">
        <f t="shared" ref="AD16:AD33" si="35">IF(Y16=0,0,AC16/Y16)</f>
        <v>0</v>
      </c>
      <c r="AE16" s="114">
        <v>0</v>
      </c>
      <c r="AF16" s="114">
        <v>0</v>
      </c>
      <c r="AG16" s="114">
        <v>0</v>
      </c>
      <c r="AH16" s="114">
        <v>0</v>
      </c>
      <c r="AI16" s="114">
        <v>0</v>
      </c>
      <c r="AJ16" s="114">
        <v>0</v>
      </c>
      <c r="AK16" s="120">
        <f t="shared" ref="AK16:AK33" si="36">V16*1%</f>
        <v>0</v>
      </c>
      <c r="AL16" s="121">
        <f t="shared" ref="AL16:AL33" si="37">Y16-AB16-AC16-AE16-AF16-AG16-AH16-AI16-AK16-AJ16</f>
        <v>0</v>
      </c>
      <c r="AM16" s="122"/>
      <c r="AN16" s="123">
        <f t="shared" ref="AN16:AN33" si="38">IF(S16=0,0,Y16/S16)</f>
        <v>0</v>
      </c>
      <c r="AO16" s="124">
        <f t="shared" ref="AO16:AO33" si="39">I16</f>
        <v>129.46</v>
      </c>
      <c r="AP16" s="124">
        <f t="shared" ref="AP16:AP33" si="40">IF(S16=0,0,AC16/S16)</f>
        <v>0</v>
      </c>
      <c r="AQ16" s="124">
        <f t="shared" ref="AQ16:AQ33" si="41">IF(Q16=0,AE16/1,AE16/Q16)</f>
        <v>0</v>
      </c>
      <c r="AR16" s="124">
        <f t="shared" ref="AR16:AR33" si="42">IF(Q16=0,0,(AF16+AG16)/Q16)</f>
        <v>0</v>
      </c>
      <c r="AS16" s="124">
        <f t="array" ref="AS16">_xlfn.IFS(S16=0,AL16,S16&lt;0,AL16/-S16,S16&gt;0,AL16/S16)</f>
        <v>0</v>
      </c>
      <c r="AT16" s="119">
        <f t="shared" ref="AT16:AT33" si="43">IF(AN16=0,0,AS16/AN16)</f>
        <v>0</v>
      </c>
      <c r="AU16" s="119">
        <f t="shared" ref="AU16:AU33" si="44">IF(AO16=0,0,AS16/AO16)</f>
        <v>0</v>
      </c>
      <c r="AV16" s="125"/>
      <c r="AW16" s="120">
        <f t="shared" ref="AW16:AW33" si="45">AS16*E16</f>
        <v>0</v>
      </c>
    </row>
    <row r="17" spans="1:49" outlineLevel="1">
      <c r="A17" s="114"/>
      <c r="B17" s="115">
        <v>806885508</v>
      </c>
      <c r="C17" s="115" t="s">
        <v>175</v>
      </c>
      <c r="D17" s="116" t="s">
        <v>93</v>
      </c>
      <c r="E17" s="117">
        <f>'Юнит 9'!E17</f>
        <v>0</v>
      </c>
      <c r="F17" s="117">
        <f>'Юнит 9'!F17</f>
        <v>0</v>
      </c>
      <c r="G17" s="117">
        <f>'Юнит 9'!G17</f>
        <v>0</v>
      </c>
      <c r="H17" s="117">
        <f>'Юнит 9'!H17</f>
        <v>0</v>
      </c>
      <c r="I17" s="117">
        <v>117.76</v>
      </c>
      <c r="J17" s="117">
        <f t="shared" si="26"/>
        <v>0</v>
      </c>
      <c r="K17" s="114">
        <f>'Юнит 9'!K17</f>
        <v>0</v>
      </c>
      <c r="L17" s="114">
        <f>'Юнит 6'!L17+'Юнит 7'!L17+'Юнит 8'!L17+'Юнит 9'!L17</f>
        <v>2</v>
      </c>
      <c r="M17" s="114"/>
      <c r="N17" s="114"/>
      <c r="O17" s="213">
        <f t="shared" si="27"/>
        <v>0.2857142857142857</v>
      </c>
      <c r="P17" s="117">
        <f t="shared" si="28"/>
        <v>0</v>
      </c>
      <c r="Q17" s="114">
        <f>'Юнит 6'!Q17+'Юнит 7'!Q17+'Юнит 8'!Q17+'Юнит 9'!Q17</f>
        <v>0</v>
      </c>
      <c r="R17" s="114">
        <f>'Юнит 6'!R17+'Юнит 7'!R17+'Юнит 8'!R17+'Юнит 9'!R17</f>
        <v>0</v>
      </c>
      <c r="S17" s="117">
        <f t="shared" si="29"/>
        <v>0</v>
      </c>
      <c r="T17" s="114">
        <f>'Юнит 6'!T17+'Юнит 7'!T17+'Юнит 8'!T17+'Юнит 9'!T17</f>
        <v>0</v>
      </c>
      <c r="U17" s="114">
        <f>'Юнит 6'!U17+'Юнит 7'!U17+'Юнит 8'!U17+'Юнит 9'!U17</f>
        <v>0</v>
      </c>
      <c r="V17" s="117">
        <f t="shared" si="30"/>
        <v>0</v>
      </c>
      <c r="W17" s="114">
        <f>'Юнит 6'!W17+'Юнит 7'!W17+'Юнит 8'!W17+'Юнит 9'!W17</f>
        <v>0</v>
      </c>
      <c r="X17" s="114">
        <f>'Юнит 6'!X17+'Юнит 7'!X17+'Юнит 8'!X17+'Юнит 9'!X17</f>
        <v>0</v>
      </c>
      <c r="Y17" s="117">
        <f t="shared" si="31"/>
        <v>0</v>
      </c>
      <c r="Z17" s="117">
        <f t="shared" si="32"/>
        <v>0</v>
      </c>
      <c r="AA17" s="119">
        <f t="shared" si="33"/>
        <v>0</v>
      </c>
      <c r="AB17" s="117">
        <f t="shared" si="34"/>
        <v>0</v>
      </c>
      <c r="AC17" s="114">
        <f>'Юнит 6'!AC17+'Юнит 7'!AC17+'Юнит 8'!AC17+'Юнит 9'!AC17</f>
        <v>0</v>
      </c>
      <c r="AD17" s="119">
        <f t="shared" si="35"/>
        <v>0</v>
      </c>
      <c r="AE17" s="114">
        <v>0</v>
      </c>
      <c r="AF17" s="114">
        <v>0</v>
      </c>
      <c r="AG17" s="114">
        <v>0</v>
      </c>
      <c r="AH17" s="114">
        <v>0</v>
      </c>
      <c r="AI17" s="114">
        <v>0</v>
      </c>
      <c r="AJ17" s="114">
        <v>0</v>
      </c>
      <c r="AK17" s="120">
        <f t="shared" si="36"/>
        <v>0</v>
      </c>
      <c r="AL17" s="121">
        <f t="shared" si="37"/>
        <v>0</v>
      </c>
      <c r="AM17" s="122"/>
      <c r="AN17" s="123">
        <f t="shared" si="38"/>
        <v>0</v>
      </c>
      <c r="AO17" s="124">
        <f t="shared" si="39"/>
        <v>117.76</v>
      </c>
      <c r="AP17" s="124">
        <f t="shared" si="40"/>
        <v>0</v>
      </c>
      <c r="AQ17" s="124">
        <f t="shared" si="41"/>
        <v>0</v>
      </c>
      <c r="AR17" s="124">
        <f t="shared" si="42"/>
        <v>0</v>
      </c>
      <c r="AS17" s="124">
        <f t="array" ref="AS17">_xlfn.IFS(S17=0,AL17,S17&lt;0,AL17/-S17,S17&gt;0,AL17/S17)</f>
        <v>0</v>
      </c>
      <c r="AT17" s="119">
        <f t="shared" si="43"/>
        <v>0</v>
      </c>
      <c r="AU17" s="119">
        <f t="shared" si="44"/>
        <v>0</v>
      </c>
      <c r="AV17" s="125"/>
      <c r="AW17" s="120">
        <f t="shared" si="45"/>
        <v>0</v>
      </c>
    </row>
    <row r="18" spans="1:49" outlineLevel="1">
      <c r="A18" s="114"/>
      <c r="B18" s="115">
        <v>807019357</v>
      </c>
      <c r="C18" s="115" t="s">
        <v>176</v>
      </c>
      <c r="D18" s="116" t="s">
        <v>93</v>
      </c>
      <c r="E18" s="117">
        <f>'Юнит 9'!E18</f>
        <v>0</v>
      </c>
      <c r="F18" s="117">
        <f>'Юнит 9'!F18</f>
        <v>0</v>
      </c>
      <c r="G18" s="117">
        <f>'Юнит 9'!G18</f>
        <v>0</v>
      </c>
      <c r="H18" s="117">
        <f>'Юнит 9'!H18</f>
        <v>0</v>
      </c>
      <c r="I18" s="117">
        <v>129.46</v>
      </c>
      <c r="J18" s="117">
        <f t="shared" si="26"/>
        <v>0</v>
      </c>
      <c r="K18" s="114">
        <f>'Юнит 9'!K18</f>
        <v>0</v>
      </c>
      <c r="L18" s="114">
        <f>'Юнит 6'!L18+'Юнит 7'!L18+'Юнит 8'!L18+'Юнит 9'!L18</f>
        <v>0</v>
      </c>
      <c r="M18" s="114"/>
      <c r="N18" s="114"/>
      <c r="O18" s="213">
        <f t="shared" si="27"/>
        <v>0</v>
      </c>
      <c r="P18" s="117">
        <f t="shared" si="28"/>
        <v>0</v>
      </c>
      <c r="Q18" s="114">
        <f>'Юнит 6'!Q18+'Юнит 7'!Q18+'Юнит 8'!Q18+'Юнит 9'!Q18</f>
        <v>0</v>
      </c>
      <c r="R18" s="114">
        <f>'Юнит 6'!R18+'Юнит 7'!R18+'Юнит 8'!R18+'Юнит 9'!R18</f>
        <v>0</v>
      </c>
      <c r="S18" s="117">
        <f t="shared" si="29"/>
        <v>0</v>
      </c>
      <c r="T18" s="114">
        <f>'Юнит 6'!T18+'Юнит 7'!T18+'Юнит 8'!T18+'Юнит 9'!T18</f>
        <v>0</v>
      </c>
      <c r="U18" s="114">
        <f>'Юнит 6'!U18+'Юнит 7'!U18+'Юнит 8'!U18+'Юнит 9'!U18</f>
        <v>0</v>
      </c>
      <c r="V18" s="117">
        <f t="shared" si="30"/>
        <v>0</v>
      </c>
      <c r="W18" s="114">
        <f>'Юнит 6'!W18+'Юнит 7'!W18+'Юнит 8'!W18+'Юнит 9'!W18</f>
        <v>0</v>
      </c>
      <c r="X18" s="114">
        <f>'Юнит 6'!X18+'Юнит 7'!X18+'Юнит 8'!X18+'Юнит 9'!X18</f>
        <v>0</v>
      </c>
      <c r="Y18" s="117">
        <f t="shared" si="31"/>
        <v>0</v>
      </c>
      <c r="Z18" s="117">
        <f t="shared" si="32"/>
        <v>0</v>
      </c>
      <c r="AA18" s="119">
        <f t="shared" si="33"/>
        <v>0</v>
      </c>
      <c r="AB18" s="117">
        <f t="shared" si="34"/>
        <v>0</v>
      </c>
      <c r="AC18" s="114">
        <f>'Юнит 6'!AC18+'Юнит 7'!AC18+'Юнит 8'!AC18+'Юнит 9'!AC18</f>
        <v>0</v>
      </c>
      <c r="AD18" s="119">
        <f t="shared" si="35"/>
        <v>0</v>
      </c>
      <c r="AE18" s="114">
        <v>0</v>
      </c>
      <c r="AF18" s="114">
        <v>0</v>
      </c>
      <c r="AG18" s="114">
        <v>0</v>
      </c>
      <c r="AH18" s="114">
        <v>0</v>
      </c>
      <c r="AI18" s="114">
        <v>0</v>
      </c>
      <c r="AJ18" s="114">
        <v>0</v>
      </c>
      <c r="AK18" s="120">
        <f t="shared" si="36"/>
        <v>0</v>
      </c>
      <c r="AL18" s="121">
        <f t="shared" si="37"/>
        <v>0</v>
      </c>
      <c r="AM18" s="122"/>
      <c r="AN18" s="123">
        <f t="shared" si="38"/>
        <v>0</v>
      </c>
      <c r="AO18" s="124">
        <f t="shared" si="39"/>
        <v>129.46</v>
      </c>
      <c r="AP18" s="124">
        <f t="shared" si="40"/>
        <v>0</v>
      </c>
      <c r="AQ18" s="124">
        <f t="shared" si="41"/>
        <v>0</v>
      </c>
      <c r="AR18" s="124">
        <f t="shared" si="42"/>
        <v>0</v>
      </c>
      <c r="AS18" s="124">
        <f t="array" ref="AS18">_xlfn.IFS(S18=0,AL18,S18&lt;0,AL18/-S18,S18&gt;0,AL18/S18)</f>
        <v>0</v>
      </c>
      <c r="AT18" s="119">
        <f t="shared" si="43"/>
        <v>0</v>
      </c>
      <c r="AU18" s="119">
        <f t="shared" si="44"/>
        <v>0</v>
      </c>
      <c r="AV18" s="125"/>
      <c r="AW18" s="120">
        <f t="shared" si="45"/>
        <v>0</v>
      </c>
    </row>
    <row r="19" spans="1:49" outlineLevel="1">
      <c r="A19" s="114"/>
      <c r="B19" s="115">
        <v>807030321</v>
      </c>
      <c r="C19" s="115" t="s">
        <v>177</v>
      </c>
      <c r="D19" s="116" t="s">
        <v>93</v>
      </c>
      <c r="E19" s="117">
        <f>'Юнит 9'!E19</f>
        <v>0</v>
      </c>
      <c r="F19" s="117">
        <f>'Юнит 9'!F19</f>
        <v>0</v>
      </c>
      <c r="G19" s="117">
        <f>'Юнит 9'!G19</f>
        <v>0</v>
      </c>
      <c r="H19" s="117">
        <f>'Юнит 9'!H19</f>
        <v>0</v>
      </c>
      <c r="I19" s="117">
        <v>129.46</v>
      </c>
      <c r="J19" s="117">
        <f t="shared" si="26"/>
        <v>0</v>
      </c>
      <c r="K19" s="114">
        <f>'Юнит 9'!K19</f>
        <v>0</v>
      </c>
      <c r="L19" s="114">
        <f>'Юнит 6'!L19+'Юнит 7'!L19+'Юнит 8'!L19+'Юнит 9'!L19</f>
        <v>0</v>
      </c>
      <c r="M19" s="114"/>
      <c r="N19" s="114"/>
      <c r="O19" s="213">
        <f t="shared" si="27"/>
        <v>0</v>
      </c>
      <c r="P19" s="117">
        <f t="shared" si="28"/>
        <v>0</v>
      </c>
      <c r="Q19" s="114">
        <f>'Юнит 6'!Q19+'Юнит 7'!Q19+'Юнит 8'!Q19+'Юнит 9'!Q19</f>
        <v>0</v>
      </c>
      <c r="R19" s="114">
        <f>'Юнит 6'!R19+'Юнит 7'!R19+'Юнит 8'!R19+'Юнит 9'!R19</f>
        <v>0</v>
      </c>
      <c r="S19" s="117">
        <f t="shared" si="29"/>
        <v>0</v>
      </c>
      <c r="T19" s="114">
        <f>'Юнит 6'!T19+'Юнит 7'!T19+'Юнит 8'!T19+'Юнит 9'!T19</f>
        <v>0</v>
      </c>
      <c r="U19" s="114">
        <f>'Юнит 6'!U19+'Юнит 7'!U19+'Юнит 8'!U19+'Юнит 9'!U19</f>
        <v>0</v>
      </c>
      <c r="V19" s="117">
        <f t="shared" si="30"/>
        <v>0</v>
      </c>
      <c r="W19" s="114">
        <f>'Юнит 6'!W19+'Юнит 7'!W19+'Юнит 8'!W19+'Юнит 9'!W19</f>
        <v>0</v>
      </c>
      <c r="X19" s="114">
        <f>'Юнит 6'!X19+'Юнит 7'!X19+'Юнит 8'!X19+'Юнит 9'!X19</f>
        <v>0</v>
      </c>
      <c r="Y19" s="117">
        <f t="shared" si="31"/>
        <v>0</v>
      </c>
      <c r="Z19" s="117">
        <f t="shared" si="32"/>
        <v>0</v>
      </c>
      <c r="AA19" s="119">
        <f t="shared" si="33"/>
        <v>0</v>
      </c>
      <c r="AB19" s="117">
        <f t="shared" si="34"/>
        <v>0</v>
      </c>
      <c r="AC19" s="114">
        <f>'Юнит 6'!AC19+'Юнит 7'!AC19+'Юнит 8'!AC19+'Юнит 9'!AC19</f>
        <v>0</v>
      </c>
      <c r="AD19" s="119">
        <f t="shared" si="35"/>
        <v>0</v>
      </c>
      <c r="AE19" s="114">
        <v>0</v>
      </c>
      <c r="AF19" s="114">
        <v>0</v>
      </c>
      <c r="AG19" s="114">
        <v>0</v>
      </c>
      <c r="AH19" s="114">
        <v>0</v>
      </c>
      <c r="AI19" s="114">
        <v>0</v>
      </c>
      <c r="AJ19" s="114">
        <v>0</v>
      </c>
      <c r="AK19" s="120">
        <f t="shared" si="36"/>
        <v>0</v>
      </c>
      <c r="AL19" s="121">
        <f t="shared" si="37"/>
        <v>0</v>
      </c>
      <c r="AM19" s="122"/>
      <c r="AN19" s="123">
        <f t="shared" si="38"/>
        <v>0</v>
      </c>
      <c r="AO19" s="124">
        <f t="shared" si="39"/>
        <v>129.46</v>
      </c>
      <c r="AP19" s="124">
        <f t="shared" si="40"/>
        <v>0</v>
      </c>
      <c r="AQ19" s="124">
        <f t="shared" si="41"/>
        <v>0</v>
      </c>
      <c r="AR19" s="124">
        <f t="shared" si="42"/>
        <v>0</v>
      </c>
      <c r="AS19" s="124">
        <f t="array" ref="AS19">_xlfn.IFS(S19=0,AL19,S19&lt;0,AL19/-S19,S19&gt;0,AL19/S19)</f>
        <v>0</v>
      </c>
      <c r="AT19" s="119">
        <f t="shared" si="43"/>
        <v>0</v>
      </c>
      <c r="AU19" s="119">
        <f t="shared" si="44"/>
        <v>0</v>
      </c>
      <c r="AV19" s="125"/>
      <c r="AW19" s="120">
        <f t="shared" si="45"/>
        <v>0</v>
      </c>
    </row>
    <row r="20" spans="1:49" outlineLevel="1">
      <c r="A20" s="114"/>
      <c r="B20" s="115">
        <v>807031830</v>
      </c>
      <c r="C20" s="115" t="s">
        <v>178</v>
      </c>
      <c r="D20" s="116" t="s">
        <v>93</v>
      </c>
      <c r="E20" s="117">
        <f>'Юнит 9'!E20</f>
        <v>0</v>
      </c>
      <c r="F20" s="117">
        <f>'Юнит 9'!F20</f>
        <v>0</v>
      </c>
      <c r="G20" s="117">
        <f>'Юнит 9'!G20</f>
        <v>0</v>
      </c>
      <c r="H20" s="117">
        <f>'Юнит 9'!H20</f>
        <v>0</v>
      </c>
      <c r="I20" s="117">
        <v>129.46</v>
      </c>
      <c r="J20" s="117">
        <f t="shared" si="26"/>
        <v>0</v>
      </c>
      <c r="K20" s="114">
        <f>'Юнит 9'!K20</f>
        <v>0</v>
      </c>
      <c r="L20" s="114">
        <f>'Юнит 6'!L20+'Юнит 7'!L20+'Юнит 8'!L20+'Юнит 9'!L20</f>
        <v>0</v>
      </c>
      <c r="M20" s="114"/>
      <c r="N20" s="114"/>
      <c r="O20" s="213">
        <f t="shared" si="27"/>
        <v>0</v>
      </c>
      <c r="P20" s="117">
        <f t="shared" si="28"/>
        <v>0</v>
      </c>
      <c r="Q20" s="114">
        <f>'Юнит 6'!Q20+'Юнит 7'!Q20+'Юнит 8'!Q20+'Юнит 9'!Q20</f>
        <v>0</v>
      </c>
      <c r="R20" s="114">
        <f>'Юнит 6'!R20+'Юнит 7'!R20+'Юнит 8'!R20+'Юнит 9'!R20</f>
        <v>0</v>
      </c>
      <c r="S20" s="117">
        <f t="shared" si="29"/>
        <v>0</v>
      </c>
      <c r="T20" s="114">
        <f>'Юнит 6'!T20+'Юнит 7'!T20+'Юнит 8'!T20+'Юнит 9'!T20</f>
        <v>0</v>
      </c>
      <c r="U20" s="114">
        <f>'Юнит 6'!U20+'Юнит 7'!U20+'Юнит 8'!U20+'Юнит 9'!U20</f>
        <v>0</v>
      </c>
      <c r="V20" s="117">
        <f t="shared" si="30"/>
        <v>0</v>
      </c>
      <c r="W20" s="114">
        <f>'Юнит 6'!W20+'Юнит 7'!W20+'Юнит 8'!W20+'Юнит 9'!W20</f>
        <v>0</v>
      </c>
      <c r="X20" s="114">
        <f>'Юнит 6'!X20+'Юнит 7'!X20+'Юнит 8'!X20+'Юнит 9'!X20</f>
        <v>0</v>
      </c>
      <c r="Y20" s="117">
        <f t="shared" si="31"/>
        <v>0</v>
      </c>
      <c r="Z20" s="117">
        <f t="shared" si="32"/>
        <v>0</v>
      </c>
      <c r="AA20" s="119">
        <f t="shared" si="33"/>
        <v>0</v>
      </c>
      <c r="AB20" s="117">
        <f t="shared" si="34"/>
        <v>0</v>
      </c>
      <c r="AC20" s="114">
        <f>'Юнит 6'!AC20+'Юнит 7'!AC20+'Юнит 8'!AC20+'Юнит 9'!AC20</f>
        <v>0</v>
      </c>
      <c r="AD20" s="119">
        <f t="shared" si="35"/>
        <v>0</v>
      </c>
      <c r="AE20" s="114">
        <v>0</v>
      </c>
      <c r="AF20" s="114">
        <v>0</v>
      </c>
      <c r="AG20" s="114">
        <v>0</v>
      </c>
      <c r="AH20" s="114">
        <v>0</v>
      </c>
      <c r="AI20" s="114">
        <v>0</v>
      </c>
      <c r="AJ20" s="114">
        <v>0</v>
      </c>
      <c r="AK20" s="120">
        <f t="shared" si="36"/>
        <v>0</v>
      </c>
      <c r="AL20" s="121">
        <f t="shared" si="37"/>
        <v>0</v>
      </c>
      <c r="AM20" s="122"/>
      <c r="AN20" s="123">
        <f t="shared" si="38"/>
        <v>0</v>
      </c>
      <c r="AO20" s="124">
        <f t="shared" si="39"/>
        <v>129.46</v>
      </c>
      <c r="AP20" s="124">
        <f t="shared" si="40"/>
        <v>0</v>
      </c>
      <c r="AQ20" s="124">
        <f t="shared" si="41"/>
        <v>0</v>
      </c>
      <c r="AR20" s="124">
        <f t="shared" si="42"/>
        <v>0</v>
      </c>
      <c r="AS20" s="124">
        <f t="array" ref="AS20">_xlfn.IFS(S20=0,AL20,S20&lt;0,AL20/-S20,S20&gt;0,AL20/S20)</f>
        <v>0</v>
      </c>
      <c r="AT20" s="119">
        <f t="shared" si="43"/>
        <v>0</v>
      </c>
      <c r="AU20" s="119">
        <f t="shared" si="44"/>
        <v>0</v>
      </c>
      <c r="AV20" s="125"/>
      <c r="AW20" s="120">
        <f t="shared" si="45"/>
        <v>0</v>
      </c>
    </row>
    <row r="21" spans="1:49" outlineLevel="1">
      <c r="A21" s="114"/>
      <c r="B21" s="115">
        <v>806776658</v>
      </c>
      <c r="C21" s="115" t="s">
        <v>179</v>
      </c>
      <c r="D21" s="116" t="s">
        <v>93</v>
      </c>
      <c r="E21" s="117">
        <f>'Юнит 9'!E21</f>
        <v>0</v>
      </c>
      <c r="F21" s="117">
        <f>'Юнит 9'!F21</f>
        <v>0</v>
      </c>
      <c r="G21" s="117">
        <f>'Юнит 9'!G21</f>
        <v>0</v>
      </c>
      <c r="H21" s="117">
        <f>'Юнит 9'!H21</f>
        <v>0</v>
      </c>
      <c r="I21" s="117">
        <v>135.31</v>
      </c>
      <c r="J21" s="117">
        <f t="shared" si="26"/>
        <v>0</v>
      </c>
      <c r="K21" s="114">
        <f>'Юнит 9'!K21</f>
        <v>0</v>
      </c>
      <c r="L21" s="114">
        <f>'Юнит 6'!L21+'Юнит 7'!L21+'Юнит 8'!L21+'Юнит 9'!L21</f>
        <v>1</v>
      </c>
      <c r="M21" s="114"/>
      <c r="N21" s="114"/>
      <c r="O21" s="213">
        <f t="shared" si="27"/>
        <v>0.14285714285714285</v>
      </c>
      <c r="P21" s="117">
        <f t="shared" si="28"/>
        <v>0</v>
      </c>
      <c r="Q21" s="114">
        <f>'Юнит 6'!Q21+'Юнит 7'!Q21+'Юнит 8'!Q21+'Юнит 9'!Q21</f>
        <v>0</v>
      </c>
      <c r="R21" s="114">
        <f>'Юнит 6'!R21+'Юнит 7'!R21+'Юнит 8'!R21+'Юнит 9'!R21</f>
        <v>0</v>
      </c>
      <c r="S21" s="117">
        <f t="shared" si="29"/>
        <v>0</v>
      </c>
      <c r="T21" s="114">
        <f>'Юнит 6'!T21+'Юнит 7'!T21+'Юнит 8'!T21+'Юнит 9'!T21</f>
        <v>0</v>
      </c>
      <c r="U21" s="114">
        <f>'Юнит 6'!U21+'Юнит 7'!U21+'Юнит 8'!U21+'Юнит 9'!U21</f>
        <v>0</v>
      </c>
      <c r="V21" s="117">
        <f t="shared" si="30"/>
        <v>0</v>
      </c>
      <c r="W21" s="114">
        <f>'Юнит 6'!W21+'Юнит 7'!W21+'Юнит 8'!W21+'Юнит 9'!W21</f>
        <v>0</v>
      </c>
      <c r="X21" s="114">
        <f>'Юнит 6'!X21+'Юнит 7'!X21+'Юнит 8'!X21+'Юнит 9'!X21</f>
        <v>0</v>
      </c>
      <c r="Y21" s="117">
        <f t="shared" si="31"/>
        <v>0</v>
      </c>
      <c r="Z21" s="117">
        <f t="shared" si="32"/>
        <v>0</v>
      </c>
      <c r="AA21" s="119">
        <f t="shared" si="33"/>
        <v>0</v>
      </c>
      <c r="AB21" s="117">
        <f t="shared" si="34"/>
        <v>0</v>
      </c>
      <c r="AC21" s="114">
        <f>'Юнит 6'!AC21+'Юнит 7'!AC21+'Юнит 8'!AC21+'Юнит 9'!AC21</f>
        <v>0</v>
      </c>
      <c r="AD21" s="119">
        <f t="shared" si="35"/>
        <v>0</v>
      </c>
      <c r="AE21" s="114">
        <v>0</v>
      </c>
      <c r="AF21" s="114">
        <v>0</v>
      </c>
      <c r="AG21" s="114">
        <v>0</v>
      </c>
      <c r="AH21" s="114">
        <v>0</v>
      </c>
      <c r="AI21" s="114">
        <v>0</v>
      </c>
      <c r="AJ21" s="114">
        <v>0</v>
      </c>
      <c r="AK21" s="120">
        <f t="shared" si="36"/>
        <v>0</v>
      </c>
      <c r="AL21" s="121">
        <f t="shared" si="37"/>
        <v>0</v>
      </c>
      <c r="AM21" s="122"/>
      <c r="AN21" s="123">
        <f t="shared" si="38"/>
        <v>0</v>
      </c>
      <c r="AO21" s="124">
        <f t="shared" si="39"/>
        <v>135.31</v>
      </c>
      <c r="AP21" s="124">
        <f t="shared" si="40"/>
        <v>0</v>
      </c>
      <c r="AQ21" s="124">
        <f t="shared" si="41"/>
        <v>0</v>
      </c>
      <c r="AR21" s="124">
        <f t="shared" si="42"/>
        <v>0</v>
      </c>
      <c r="AS21" s="124">
        <f t="array" ref="AS21">_xlfn.IFS(S21=0,AL21,S21&lt;0,AL21/-S21,S21&gt;0,AL21/S21)</f>
        <v>0</v>
      </c>
      <c r="AT21" s="119">
        <f t="shared" si="43"/>
        <v>0</v>
      </c>
      <c r="AU21" s="119">
        <f t="shared" si="44"/>
        <v>0</v>
      </c>
      <c r="AV21" s="125"/>
      <c r="AW21" s="120">
        <f t="shared" si="45"/>
        <v>0</v>
      </c>
    </row>
    <row r="22" spans="1:49" outlineLevel="1">
      <c r="A22" s="114"/>
      <c r="B22" s="115">
        <v>806769378</v>
      </c>
      <c r="C22" s="115" t="s">
        <v>180</v>
      </c>
      <c r="D22" s="116" t="s">
        <v>93</v>
      </c>
      <c r="E22" s="117">
        <f>'Юнит 9'!E22</f>
        <v>0</v>
      </c>
      <c r="F22" s="117">
        <f>'Юнит 9'!F22</f>
        <v>0</v>
      </c>
      <c r="G22" s="117">
        <f>'Юнит 9'!G22</f>
        <v>0</v>
      </c>
      <c r="H22" s="117">
        <f>'Юнит 9'!H22</f>
        <v>0</v>
      </c>
      <c r="I22" s="117">
        <v>135.31</v>
      </c>
      <c r="J22" s="117">
        <f t="shared" si="26"/>
        <v>0</v>
      </c>
      <c r="K22" s="114">
        <f>'Юнит 9'!K22</f>
        <v>0</v>
      </c>
      <c r="L22" s="114">
        <f>'Юнит 6'!L22+'Юнит 7'!L22+'Юнит 8'!L22+'Юнит 9'!L22</f>
        <v>3</v>
      </c>
      <c r="M22" s="114"/>
      <c r="N22" s="114"/>
      <c r="O22" s="213">
        <f t="shared" si="27"/>
        <v>0.42857142857142855</v>
      </c>
      <c r="P22" s="117">
        <f t="shared" si="28"/>
        <v>0</v>
      </c>
      <c r="Q22" s="114">
        <f>'Юнит 6'!Q22+'Юнит 7'!Q22+'Юнит 8'!Q22+'Юнит 9'!Q22</f>
        <v>0</v>
      </c>
      <c r="R22" s="114">
        <f>'Юнит 6'!R22+'Юнит 7'!R22+'Юнит 8'!R22+'Юнит 9'!R22</f>
        <v>0</v>
      </c>
      <c r="S22" s="117">
        <f t="shared" si="29"/>
        <v>0</v>
      </c>
      <c r="T22" s="114">
        <f>'Юнит 6'!T22+'Юнит 7'!T22+'Юнит 8'!T22+'Юнит 9'!T22</f>
        <v>0</v>
      </c>
      <c r="U22" s="114">
        <f>'Юнит 6'!U22+'Юнит 7'!U22+'Юнит 8'!U22+'Юнит 9'!U22</f>
        <v>0</v>
      </c>
      <c r="V22" s="117">
        <f t="shared" si="30"/>
        <v>0</v>
      </c>
      <c r="W22" s="114">
        <f>'Юнит 6'!W22+'Юнит 7'!W22+'Юнит 8'!W22+'Юнит 9'!W22</f>
        <v>0</v>
      </c>
      <c r="X22" s="114">
        <f>'Юнит 6'!X22+'Юнит 7'!X22+'Юнит 8'!X22+'Юнит 9'!X22</f>
        <v>0</v>
      </c>
      <c r="Y22" s="117">
        <f t="shared" si="31"/>
        <v>0</v>
      </c>
      <c r="Z22" s="117">
        <f t="shared" si="32"/>
        <v>0</v>
      </c>
      <c r="AA22" s="119">
        <f t="shared" si="33"/>
        <v>0</v>
      </c>
      <c r="AB22" s="117">
        <f t="shared" si="34"/>
        <v>0</v>
      </c>
      <c r="AC22" s="114">
        <f>'Юнит 6'!AC22+'Юнит 7'!AC22+'Юнит 8'!AC22+'Юнит 9'!AC22</f>
        <v>0</v>
      </c>
      <c r="AD22" s="119">
        <f t="shared" si="35"/>
        <v>0</v>
      </c>
      <c r="AE22" s="114">
        <v>0</v>
      </c>
      <c r="AF22" s="114">
        <v>0</v>
      </c>
      <c r="AG22" s="114">
        <v>0</v>
      </c>
      <c r="AH22" s="114">
        <v>0</v>
      </c>
      <c r="AI22" s="114">
        <v>0</v>
      </c>
      <c r="AJ22" s="114">
        <v>0</v>
      </c>
      <c r="AK22" s="120">
        <f t="shared" si="36"/>
        <v>0</v>
      </c>
      <c r="AL22" s="121">
        <f t="shared" si="37"/>
        <v>0</v>
      </c>
      <c r="AM22" s="122"/>
      <c r="AN22" s="123">
        <f t="shared" si="38"/>
        <v>0</v>
      </c>
      <c r="AO22" s="124">
        <f t="shared" si="39"/>
        <v>135.31</v>
      </c>
      <c r="AP22" s="124">
        <f t="shared" si="40"/>
        <v>0</v>
      </c>
      <c r="AQ22" s="124">
        <f t="shared" si="41"/>
        <v>0</v>
      </c>
      <c r="AR22" s="124">
        <f t="shared" si="42"/>
        <v>0</v>
      </c>
      <c r="AS22" s="124">
        <f t="array" ref="AS22">_xlfn.IFS(S22=0,AL22,S22&lt;0,AL22/-S22,S22&gt;0,AL22/S22)</f>
        <v>0</v>
      </c>
      <c r="AT22" s="119">
        <f t="shared" si="43"/>
        <v>0</v>
      </c>
      <c r="AU22" s="119">
        <f t="shared" si="44"/>
        <v>0</v>
      </c>
      <c r="AV22" s="125"/>
      <c r="AW22" s="120">
        <f t="shared" si="45"/>
        <v>0</v>
      </c>
    </row>
    <row r="23" spans="1:49" outlineLevel="1">
      <c r="A23" s="114"/>
      <c r="B23" s="115">
        <v>806737023</v>
      </c>
      <c r="C23" s="115" t="s">
        <v>181</v>
      </c>
      <c r="D23" s="116" t="s">
        <v>93</v>
      </c>
      <c r="E23" s="117">
        <f>'Юнит 9'!E23</f>
        <v>0</v>
      </c>
      <c r="F23" s="117">
        <f>'Юнит 9'!F23</f>
        <v>0</v>
      </c>
      <c r="G23" s="117">
        <f>'Юнит 9'!G23</f>
        <v>0</v>
      </c>
      <c r="H23" s="117">
        <f>'Юнит 9'!H23</f>
        <v>0</v>
      </c>
      <c r="I23" s="117">
        <v>135.31</v>
      </c>
      <c r="J23" s="117">
        <f t="shared" si="26"/>
        <v>0</v>
      </c>
      <c r="K23" s="114">
        <f>'Юнит 9'!K23</f>
        <v>0</v>
      </c>
      <c r="L23" s="114">
        <f>'Юнит 6'!L23+'Юнит 7'!L23+'Юнит 8'!L23+'Юнит 9'!L23</f>
        <v>3</v>
      </c>
      <c r="M23" s="114"/>
      <c r="N23" s="114"/>
      <c r="O23" s="213">
        <f t="shared" si="27"/>
        <v>0.42857142857142855</v>
      </c>
      <c r="P23" s="117">
        <f t="shared" si="28"/>
        <v>0</v>
      </c>
      <c r="Q23" s="114">
        <f>'Юнит 6'!Q23+'Юнит 7'!Q23+'Юнит 8'!Q23+'Юнит 9'!Q23</f>
        <v>0</v>
      </c>
      <c r="R23" s="114">
        <f>'Юнит 6'!R23+'Юнит 7'!R23+'Юнит 8'!R23+'Юнит 9'!R23</f>
        <v>0</v>
      </c>
      <c r="S23" s="117">
        <f t="shared" si="29"/>
        <v>0</v>
      </c>
      <c r="T23" s="114">
        <f>'Юнит 6'!T23+'Юнит 7'!T23+'Юнит 8'!T23+'Юнит 9'!T23</f>
        <v>0</v>
      </c>
      <c r="U23" s="114">
        <f>'Юнит 6'!U23+'Юнит 7'!U23+'Юнит 8'!U23+'Юнит 9'!U23</f>
        <v>0</v>
      </c>
      <c r="V23" s="117">
        <f t="shared" si="30"/>
        <v>0</v>
      </c>
      <c r="W23" s="114">
        <f>'Юнит 6'!W23+'Юнит 7'!W23+'Юнит 8'!W23+'Юнит 9'!W23</f>
        <v>0</v>
      </c>
      <c r="X23" s="114">
        <f>'Юнит 6'!X23+'Юнит 7'!X23+'Юнит 8'!X23+'Юнит 9'!X23</f>
        <v>0</v>
      </c>
      <c r="Y23" s="117">
        <f t="shared" si="31"/>
        <v>0</v>
      </c>
      <c r="Z23" s="117">
        <f t="shared" si="32"/>
        <v>0</v>
      </c>
      <c r="AA23" s="119">
        <f t="shared" si="33"/>
        <v>0</v>
      </c>
      <c r="AB23" s="117">
        <f t="shared" si="34"/>
        <v>0</v>
      </c>
      <c r="AC23" s="114">
        <f>'Юнит 6'!AC23+'Юнит 7'!AC23+'Юнит 8'!AC23+'Юнит 9'!AC23</f>
        <v>0</v>
      </c>
      <c r="AD23" s="119">
        <f t="shared" si="35"/>
        <v>0</v>
      </c>
      <c r="AE23" s="114">
        <v>0</v>
      </c>
      <c r="AF23" s="114">
        <v>0</v>
      </c>
      <c r="AG23" s="114">
        <v>0</v>
      </c>
      <c r="AH23" s="114">
        <v>0</v>
      </c>
      <c r="AI23" s="114">
        <v>0</v>
      </c>
      <c r="AJ23" s="114">
        <v>0</v>
      </c>
      <c r="AK23" s="120">
        <f t="shared" si="36"/>
        <v>0</v>
      </c>
      <c r="AL23" s="121">
        <f t="shared" si="37"/>
        <v>0</v>
      </c>
      <c r="AM23" s="122"/>
      <c r="AN23" s="123">
        <f t="shared" si="38"/>
        <v>0</v>
      </c>
      <c r="AO23" s="124">
        <f t="shared" si="39"/>
        <v>135.31</v>
      </c>
      <c r="AP23" s="124">
        <f t="shared" si="40"/>
        <v>0</v>
      </c>
      <c r="AQ23" s="124">
        <f t="shared" si="41"/>
        <v>0</v>
      </c>
      <c r="AR23" s="124">
        <f t="shared" si="42"/>
        <v>0</v>
      </c>
      <c r="AS23" s="124">
        <f t="array" ref="AS23">_xlfn.IFS(S23=0,AL23,S23&lt;0,AL23/-S23,S23&gt;0,AL23/S23)</f>
        <v>0</v>
      </c>
      <c r="AT23" s="119">
        <f t="shared" si="43"/>
        <v>0</v>
      </c>
      <c r="AU23" s="119">
        <f t="shared" si="44"/>
        <v>0</v>
      </c>
      <c r="AV23" s="125"/>
      <c r="AW23" s="120">
        <f t="shared" si="45"/>
        <v>0</v>
      </c>
    </row>
    <row r="24" spans="1:49" outlineLevel="1">
      <c r="A24" s="114"/>
      <c r="B24" s="115">
        <v>815383690</v>
      </c>
      <c r="C24" s="115" t="s">
        <v>182</v>
      </c>
      <c r="D24" s="116" t="s">
        <v>93</v>
      </c>
      <c r="E24" s="117">
        <f>'Юнит 9'!E24</f>
        <v>0</v>
      </c>
      <c r="F24" s="117">
        <f>'Юнит 9'!F24</f>
        <v>0</v>
      </c>
      <c r="G24" s="117">
        <f>'Юнит 9'!G24</f>
        <v>0</v>
      </c>
      <c r="H24" s="117">
        <f>'Юнит 9'!H24</f>
        <v>0</v>
      </c>
      <c r="I24" s="117">
        <v>129.46</v>
      </c>
      <c r="J24" s="117">
        <f t="shared" si="26"/>
        <v>0</v>
      </c>
      <c r="K24" s="114">
        <f>'Юнит 9'!K24</f>
        <v>0</v>
      </c>
      <c r="L24" s="114">
        <f>'Юнит 6'!L24+'Юнит 7'!L24+'Юнит 8'!L24+'Юнит 9'!L24</f>
        <v>2</v>
      </c>
      <c r="M24" s="114"/>
      <c r="N24" s="114"/>
      <c r="O24" s="213">
        <f t="shared" si="27"/>
        <v>0.2857142857142857</v>
      </c>
      <c r="P24" s="117">
        <f t="shared" si="28"/>
        <v>0</v>
      </c>
      <c r="Q24" s="114">
        <f>'Юнит 6'!Q24+'Юнит 7'!Q24+'Юнит 8'!Q24+'Юнит 9'!Q24</f>
        <v>0</v>
      </c>
      <c r="R24" s="114">
        <f>'Юнит 6'!R24+'Юнит 7'!R24+'Юнит 8'!R24+'Юнит 9'!R24</f>
        <v>0</v>
      </c>
      <c r="S24" s="117">
        <f t="shared" si="29"/>
        <v>0</v>
      </c>
      <c r="T24" s="114">
        <f>'Юнит 6'!T24+'Юнит 7'!T24+'Юнит 8'!T24+'Юнит 9'!T24</f>
        <v>0</v>
      </c>
      <c r="U24" s="114">
        <f>'Юнит 6'!U24+'Юнит 7'!U24+'Юнит 8'!U24+'Юнит 9'!U24</f>
        <v>0</v>
      </c>
      <c r="V24" s="117">
        <f t="shared" si="30"/>
        <v>0</v>
      </c>
      <c r="W24" s="114">
        <f>'Юнит 6'!W24+'Юнит 7'!W24+'Юнит 8'!W24+'Юнит 9'!W24</f>
        <v>0</v>
      </c>
      <c r="X24" s="114">
        <f>'Юнит 6'!X24+'Юнит 7'!X24+'Юнит 8'!X24+'Юнит 9'!X24</f>
        <v>0</v>
      </c>
      <c r="Y24" s="117">
        <f t="shared" si="31"/>
        <v>0</v>
      </c>
      <c r="Z24" s="117">
        <f t="shared" si="32"/>
        <v>0</v>
      </c>
      <c r="AA24" s="119">
        <f t="shared" si="33"/>
        <v>0</v>
      </c>
      <c r="AB24" s="117">
        <f t="shared" si="34"/>
        <v>0</v>
      </c>
      <c r="AC24" s="114">
        <f>'Юнит 6'!AC24+'Юнит 7'!AC24+'Юнит 8'!AC24+'Юнит 9'!AC24</f>
        <v>0</v>
      </c>
      <c r="AD24" s="119">
        <f t="shared" si="35"/>
        <v>0</v>
      </c>
      <c r="AE24" s="114">
        <v>0</v>
      </c>
      <c r="AF24" s="114">
        <v>0</v>
      </c>
      <c r="AG24" s="114">
        <v>0</v>
      </c>
      <c r="AH24" s="114">
        <v>0</v>
      </c>
      <c r="AI24" s="114">
        <v>0</v>
      </c>
      <c r="AJ24" s="114">
        <v>0</v>
      </c>
      <c r="AK24" s="120">
        <f t="shared" si="36"/>
        <v>0</v>
      </c>
      <c r="AL24" s="121">
        <f t="shared" si="37"/>
        <v>0</v>
      </c>
      <c r="AM24" s="122"/>
      <c r="AN24" s="123">
        <f t="shared" si="38"/>
        <v>0</v>
      </c>
      <c r="AO24" s="124">
        <f t="shared" si="39"/>
        <v>129.46</v>
      </c>
      <c r="AP24" s="124">
        <f t="shared" si="40"/>
        <v>0</v>
      </c>
      <c r="AQ24" s="124">
        <f t="shared" si="41"/>
        <v>0</v>
      </c>
      <c r="AR24" s="124">
        <f t="shared" si="42"/>
        <v>0</v>
      </c>
      <c r="AS24" s="124">
        <f t="array" ref="AS24">_xlfn.IFS(S24=0,AL24,S24&lt;0,AL24/-S24,S24&gt;0,AL24/S24)</f>
        <v>0</v>
      </c>
      <c r="AT24" s="119">
        <f t="shared" si="43"/>
        <v>0</v>
      </c>
      <c r="AU24" s="119">
        <f t="shared" si="44"/>
        <v>0</v>
      </c>
      <c r="AV24" s="125"/>
      <c r="AW24" s="120">
        <f t="shared" si="45"/>
        <v>0</v>
      </c>
    </row>
    <row r="25" spans="1:49" outlineLevel="1">
      <c r="A25" s="114"/>
      <c r="B25" s="115">
        <v>807104173</v>
      </c>
      <c r="C25" s="115" t="s">
        <v>183</v>
      </c>
      <c r="D25" s="116" t="s">
        <v>93</v>
      </c>
      <c r="E25" s="117">
        <f>'Юнит 9'!E25</f>
        <v>0</v>
      </c>
      <c r="F25" s="117">
        <f>'Юнит 9'!F25</f>
        <v>0</v>
      </c>
      <c r="G25" s="117">
        <f>'Юнит 9'!G25</f>
        <v>0</v>
      </c>
      <c r="H25" s="117">
        <f>'Юнит 9'!H25</f>
        <v>0</v>
      </c>
      <c r="I25" s="117">
        <v>117.76</v>
      </c>
      <c r="J25" s="117">
        <f t="shared" si="26"/>
        <v>0</v>
      </c>
      <c r="K25" s="114">
        <f>'Юнит 9'!K25</f>
        <v>0</v>
      </c>
      <c r="L25" s="114">
        <f>'Юнит 6'!L25+'Юнит 7'!L25+'Юнит 8'!L25+'Юнит 9'!L25</f>
        <v>2</v>
      </c>
      <c r="M25" s="114"/>
      <c r="N25" s="114"/>
      <c r="O25" s="213">
        <f t="shared" si="27"/>
        <v>0.2857142857142857</v>
      </c>
      <c r="P25" s="117">
        <f t="shared" si="28"/>
        <v>0</v>
      </c>
      <c r="Q25" s="114">
        <f>'Юнит 6'!Q25+'Юнит 7'!Q25+'Юнит 8'!Q25+'Юнит 9'!Q25</f>
        <v>0</v>
      </c>
      <c r="R25" s="114">
        <f>'Юнит 6'!R25+'Юнит 7'!R25+'Юнит 8'!R25+'Юнит 9'!R25</f>
        <v>0</v>
      </c>
      <c r="S25" s="117">
        <f t="shared" si="29"/>
        <v>0</v>
      </c>
      <c r="T25" s="114">
        <f>'Юнит 6'!T25+'Юнит 7'!T25+'Юнит 8'!T25+'Юнит 9'!T25</f>
        <v>0</v>
      </c>
      <c r="U25" s="114">
        <f>'Юнит 6'!U25+'Юнит 7'!U25+'Юнит 8'!U25+'Юнит 9'!U25</f>
        <v>0</v>
      </c>
      <c r="V25" s="117">
        <f t="shared" si="30"/>
        <v>0</v>
      </c>
      <c r="W25" s="114">
        <f>'Юнит 6'!W25+'Юнит 7'!W25+'Юнит 8'!W25+'Юнит 9'!W25</f>
        <v>0</v>
      </c>
      <c r="X25" s="114">
        <f>'Юнит 6'!X25+'Юнит 7'!X25+'Юнит 8'!X25+'Юнит 9'!X25</f>
        <v>0</v>
      </c>
      <c r="Y25" s="117">
        <f t="shared" si="31"/>
        <v>0</v>
      </c>
      <c r="Z25" s="117">
        <f t="shared" si="32"/>
        <v>0</v>
      </c>
      <c r="AA25" s="119">
        <f t="shared" si="33"/>
        <v>0</v>
      </c>
      <c r="AB25" s="117">
        <f t="shared" si="34"/>
        <v>0</v>
      </c>
      <c r="AC25" s="114">
        <f>'Юнит 6'!AC25+'Юнит 7'!AC25+'Юнит 8'!AC25+'Юнит 9'!AC25</f>
        <v>0</v>
      </c>
      <c r="AD25" s="119">
        <f t="shared" si="35"/>
        <v>0</v>
      </c>
      <c r="AE25" s="114">
        <v>0</v>
      </c>
      <c r="AF25" s="114">
        <v>0</v>
      </c>
      <c r="AG25" s="114">
        <v>0</v>
      </c>
      <c r="AH25" s="114">
        <v>0</v>
      </c>
      <c r="AI25" s="114">
        <v>0</v>
      </c>
      <c r="AJ25" s="114">
        <v>0</v>
      </c>
      <c r="AK25" s="120">
        <f t="shared" si="36"/>
        <v>0</v>
      </c>
      <c r="AL25" s="121">
        <f t="shared" si="37"/>
        <v>0</v>
      </c>
      <c r="AM25" s="122"/>
      <c r="AN25" s="123">
        <f t="shared" si="38"/>
        <v>0</v>
      </c>
      <c r="AO25" s="124">
        <f t="shared" si="39"/>
        <v>117.76</v>
      </c>
      <c r="AP25" s="124">
        <f t="shared" si="40"/>
        <v>0</v>
      </c>
      <c r="AQ25" s="124">
        <f t="shared" si="41"/>
        <v>0</v>
      </c>
      <c r="AR25" s="124">
        <f t="shared" si="42"/>
        <v>0</v>
      </c>
      <c r="AS25" s="124">
        <f t="array" ref="AS25">_xlfn.IFS(S25=0,AL25,S25&lt;0,AL25/-S25,S25&gt;0,AL25/S25)</f>
        <v>0</v>
      </c>
      <c r="AT25" s="119">
        <f t="shared" si="43"/>
        <v>0</v>
      </c>
      <c r="AU25" s="119">
        <f t="shared" si="44"/>
        <v>0</v>
      </c>
      <c r="AV25" s="125"/>
      <c r="AW25" s="120">
        <f t="shared" si="45"/>
        <v>0</v>
      </c>
    </row>
    <row r="26" spans="1:49" outlineLevel="1">
      <c r="A26" s="114"/>
      <c r="B26" s="115">
        <v>807130690</v>
      </c>
      <c r="C26" s="115" t="s">
        <v>184</v>
      </c>
      <c r="D26" s="116" t="s">
        <v>93</v>
      </c>
      <c r="E26" s="117">
        <f>'Юнит 9'!E26</f>
        <v>0</v>
      </c>
      <c r="F26" s="117">
        <f>'Юнит 9'!F26</f>
        <v>0</v>
      </c>
      <c r="G26" s="117">
        <f>'Юнит 9'!G26</f>
        <v>0</v>
      </c>
      <c r="H26" s="117">
        <f>'Юнит 9'!H26</f>
        <v>0</v>
      </c>
      <c r="I26" s="117">
        <v>117.76</v>
      </c>
      <c r="J26" s="117">
        <f t="shared" si="26"/>
        <v>0</v>
      </c>
      <c r="K26" s="114">
        <f>'Юнит 9'!K26</f>
        <v>0</v>
      </c>
      <c r="L26" s="114">
        <f>'Юнит 6'!L26+'Юнит 7'!L26+'Юнит 8'!L26+'Юнит 9'!L26</f>
        <v>0</v>
      </c>
      <c r="M26" s="114"/>
      <c r="N26" s="114"/>
      <c r="O26" s="213">
        <f t="shared" si="27"/>
        <v>0</v>
      </c>
      <c r="P26" s="117">
        <f t="shared" si="28"/>
        <v>0</v>
      </c>
      <c r="Q26" s="114">
        <f>'Юнит 6'!Q26+'Юнит 7'!Q26+'Юнит 8'!Q26+'Юнит 9'!Q26</f>
        <v>0</v>
      </c>
      <c r="R26" s="114">
        <f>'Юнит 6'!R26+'Юнит 7'!R26+'Юнит 8'!R26+'Юнит 9'!R26</f>
        <v>0</v>
      </c>
      <c r="S26" s="117">
        <f t="shared" si="29"/>
        <v>0</v>
      </c>
      <c r="T26" s="114">
        <f>'Юнит 6'!T26+'Юнит 7'!T26+'Юнит 8'!T26+'Юнит 9'!T26</f>
        <v>0</v>
      </c>
      <c r="U26" s="114">
        <f>'Юнит 6'!U26+'Юнит 7'!U26+'Юнит 8'!U26+'Юнит 9'!U26</f>
        <v>0</v>
      </c>
      <c r="V26" s="117">
        <f t="shared" si="30"/>
        <v>0</v>
      </c>
      <c r="W26" s="114">
        <f>'Юнит 6'!W26+'Юнит 7'!W26+'Юнит 8'!W26+'Юнит 9'!W26</f>
        <v>0</v>
      </c>
      <c r="X26" s="114">
        <f>'Юнит 6'!X26+'Юнит 7'!X26+'Юнит 8'!X26+'Юнит 9'!X26</f>
        <v>0</v>
      </c>
      <c r="Y26" s="117">
        <f t="shared" si="31"/>
        <v>0</v>
      </c>
      <c r="Z26" s="117">
        <f t="shared" si="32"/>
        <v>0</v>
      </c>
      <c r="AA26" s="119">
        <f t="shared" si="33"/>
        <v>0</v>
      </c>
      <c r="AB26" s="117">
        <f t="shared" si="34"/>
        <v>0</v>
      </c>
      <c r="AC26" s="114">
        <f>'Юнит 6'!AC26+'Юнит 7'!AC26+'Юнит 8'!AC26+'Юнит 9'!AC26</f>
        <v>0</v>
      </c>
      <c r="AD26" s="119">
        <f t="shared" si="35"/>
        <v>0</v>
      </c>
      <c r="AE26" s="114">
        <v>0</v>
      </c>
      <c r="AF26" s="114">
        <v>0</v>
      </c>
      <c r="AG26" s="114">
        <v>0</v>
      </c>
      <c r="AH26" s="114">
        <v>0</v>
      </c>
      <c r="AI26" s="114">
        <v>0</v>
      </c>
      <c r="AJ26" s="114">
        <v>0</v>
      </c>
      <c r="AK26" s="120">
        <f t="shared" si="36"/>
        <v>0</v>
      </c>
      <c r="AL26" s="121">
        <f t="shared" si="37"/>
        <v>0</v>
      </c>
      <c r="AM26" s="122"/>
      <c r="AN26" s="123">
        <f t="shared" si="38"/>
        <v>0</v>
      </c>
      <c r="AO26" s="124">
        <f t="shared" si="39"/>
        <v>117.76</v>
      </c>
      <c r="AP26" s="124">
        <f t="shared" si="40"/>
        <v>0</v>
      </c>
      <c r="AQ26" s="124">
        <f t="shared" si="41"/>
        <v>0</v>
      </c>
      <c r="AR26" s="124">
        <f t="shared" si="42"/>
        <v>0</v>
      </c>
      <c r="AS26" s="124">
        <f t="array" ref="AS26">_xlfn.IFS(S26=0,AL26,S26&lt;0,AL26/-S26,S26&gt;0,AL26/S26)</f>
        <v>0</v>
      </c>
      <c r="AT26" s="119">
        <f t="shared" si="43"/>
        <v>0</v>
      </c>
      <c r="AU26" s="119">
        <f t="shared" si="44"/>
        <v>0</v>
      </c>
      <c r="AV26" s="125"/>
      <c r="AW26" s="120">
        <f t="shared" si="45"/>
        <v>0</v>
      </c>
    </row>
    <row r="27" spans="1:49" outlineLevel="1">
      <c r="A27" s="114"/>
      <c r="B27" s="115">
        <v>807111184</v>
      </c>
      <c r="C27" s="115" t="s">
        <v>185</v>
      </c>
      <c r="D27" s="116" t="s">
        <v>93</v>
      </c>
      <c r="E27" s="117">
        <f>'Юнит 9'!E27</f>
        <v>0</v>
      </c>
      <c r="F27" s="117">
        <f>'Юнит 9'!F27</f>
        <v>0</v>
      </c>
      <c r="G27" s="117">
        <f>'Юнит 9'!G27</f>
        <v>0</v>
      </c>
      <c r="H27" s="117">
        <f>'Юнит 9'!H27</f>
        <v>0</v>
      </c>
      <c r="I27" s="117">
        <v>117.76</v>
      </c>
      <c r="J27" s="117">
        <f t="shared" si="26"/>
        <v>0</v>
      </c>
      <c r="K27" s="114">
        <f>'Юнит 9'!K27</f>
        <v>0</v>
      </c>
      <c r="L27" s="114">
        <f>'Юнит 6'!L27+'Юнит 7'!L27+'Юнит 8'!L27+'Юнит 9'!L27</f>
        <v>0</v>
      </c>
      <c r="M27" s="114"/>
      <c r="N27" s="114"/>
      <c r="O27" s="213">
        <f t="shared" si="27"/>
        <v>0</v>
      </c>
      <c r="P27" s="117">
        <f t="shared" si="28"/>
        <v>0</v>
      </c>
      <c r="Q27" s="114">
        <f>'Юнит 6'!Q27+'Юнит 7'!Q27+'Юнит 8'!Q27+'Юнит 9'!Q27</f>
        <v>0</v>
      </c>
      <c r="R27" s="114">
        <f>'Юнит 6'!R27+'Юнит 7'!R27+'Юнит 8'!R27+'Юнит 9'!R27</f>
        <v>0</v>
      </c>
      <c r="S27" s="117">
        <f t="shared" si="29"/>
        <v>0</v>
      </c>
      <c r="T27" s="114">
        <f>'Юнит 6'!T27+'Юнит 7'!T27+'Юнит 8'!T27+'Юнит 9'!T27</f>
        <v>0</v>
      </c>
      <c r="U27" s="114">
        <f>'Юнит 6'!U27+'Юнит 7'!U27+'Юнит 8'!U27+'Юнит 9'!U27</f>
        <v>0</v>
      </c>
      <c r="V27" s="117">
        <f t="shared" si="30"/>
        <v>0</v>
      </c>
      <c r="W27" s="114">
        <f>'Юнит 6'!W27+'Юнит 7'!W27+'Юнит 8'!W27+'Юнит 9'!W27</f>
        <v>0</v>
      </c>
      <c r="X27" s="114">
        <f>'Юнит 6'!X27+'Юнит 7'!X27+'Юнит 8'!X27+'Юнит 9'!X27</f>
        <v>0</v>
      </c>
      <c r="Y27" s="117">
        <f t="shared" si="31"/>
        <v>0</v>
      </c>
      <c r="Z27" s="117">
        <f t="shared" si="32"/>
        <v>0</v>
      </c>
      <c r="AA27" s="119">
        <f t="shared" si="33"/>
        <v>0</v>
      </c>
      <c r="AB27" s="117">
        <f t="shared" si="34"/>
        <v>0</v>
      </c>
      <c r="AC27" s="114">
        <f>'Юнит 6'!AC27+'Юнит 7'!AC27+'Юнит 8'!AC27+'Юнит 9'!AC27</f>
        <v>0</v>
      </c>
      <c r="AD27" s="119">
        <f t="shared" si="35"/>
        <v>0</v>
      </c>
      <c r="AE27" s="114">
        <v>0</v>
      </c>
      <c r="AF27" s="114">
        <v>0</v>
      </c>
      <c r="AG27" s="114">
        <v>0</v>
      </c>
      <c r="AH27" s="114">
        <v>0</v>
      </c>
      <c r="AI27" s="114">
        <v>0</v>
      </c>
      <c r="AJ27" s="114">
        <v>0</v>
      </c>
      <c r="AK27" s="120">
        <f t="shared" si="36"/>
        <v>0</v>
      </c>
      <c r="AL27" s="121">
        <f t="shared" si="37"/>
        <v>0</v>
      </c>
      <c r="AM27" s="122"/>
      <c r="AN27" s="123">
        <f t="shared" si="38"/>
        <v>0</v>
      </c>
      <c r="AO27" s="124">
        <f t="shared" si="39"/>
        <v>117.76</v>
      </c>
      <c r="AP27" s="124">
        <f t="shared" si="40"/>
        <v>0</v>
      </c>
      <c r="AQ27" s="124">
        <f t="shared" si="41"/>
        <v>0</v>
      </c>
      <c r="AR27" s="124">
        <f t="shared" si="42"/>
        <v>0</v>
      </c>
      <c r="AS27" s="124">
        <f t="array" ref="AS27">_xlfn.IFS(S27=0,AL27,S27&lt;0,AL27/-S27,S27&gt;0,AL27/S27)</f>
        <v>0</v>
      </c>
      <c r="AT27" s="119">
        <f t="shared" si="43"/>
        <v>0</v>
      </c>
      <c r="AU27" s="119">
        <f t="shared" si="44"/>
        <v>0</v>
      </c>
      <c r="AV27" s="125"/>
      <c r="AW27" s="120">
        <f t="shared" si="45"/>
        <v>0</v>
      </c>
    </row>
    <row r="28" spans="1:49" outlineLevel="1">
      <c r="A28" s="114"/>
      <c r="B28" s="115">
        <v>804632035</v>
      </c>
      <c r="C28" s="115" t="s">
        <v>186</v>
      </c>
      <c r="D28" s="116" t="s">
        <v>93</v>
      </c>
      <c r="E28" s="117">
        <f>'Юнит 9'!E28</f>
        <v>0</v>
      </c>
      <c r="F28" s="117">
        <f>'Юнит 9'!F28</f>
        <v>0</v>
      </c>
      <c r="G28" s="117">
        <f>'Юнит 9'!G28</f>
        <v>0</v>
      </c>
      <c r="H28" s="117">
        <f>'Юнит 9'!H28</f>
        <v>0</v>
      </c>
      <c r="I28" s="117">
        <v>218.89</v>
      </c>
      <c r="J28" s="117">
        <f t="shared" si="26"/>
        <v>0</v>
      </c>
      <c r="K28" s="114">
        <f>'Юнит 9'!K28</f>
        <v>0</v>
      </c>
      <c r="L28" s="114">
        <f>'Юнит 6'!L28+'Юнит 7'!L28+'Юнит 8'!L28+'Юнит 9'!L28</f>
        <v>2</v>
      </c>
      <c r="M28" s="114"/>
      <c r="N28" s="114"/>
      <c r="O28" s="213">
        <f t="shared" si="27"/>
        <v>0.2857142857142857</v>
      </c>
      <c r="P28" s="117">
        <f t="shared" si="28"/>
        <v>0</v>
      </c>
      <c r="Q28" s="114">
        <f>'Юнит 6'!Q28+'Юнит 7'!Q28+'Юнит 8'!Q28+'Юнит 9'!Q28</f>
        <v>0</v>
      </c>
      <c r="R28" s="114">
        <f>'Юнит 6'!R28+'Юнит 7'!R28+'Юнит 8'!R28+'Юнит 9'!R28</f>
        <v>0</v>
      </c>
      <c r="S28" s="117">
        <f t="shared" si="29"/>
        <v>0</v>
      </c>
      <c r="T28" s="114">
        <f>'Юнит 6'!T28+'Юнит 7'!T28+'Юнит 8'!T28+'Юнит 9'!T28</f>
        <v>0</v>
      </c>
      <c r="U28" s="114">
        <f>'Юнит 6'!U28+'Юнит 7'!U28+'Юнит 8'!U28+'Юнит 9'!U28</f>
        <v>0</v>
      </c>
      <c r="V28" s="117">
        <f t="shared" si="30"/>
        <v>0</v>
      </c>
      <c r="W28" s="114">
        <f>'Юнит 6'!W28+'Юнит 7'!W28+'Юнит 8'!W28+'Юнит 9'!W28</f>
        <v>0</v>
      </c>
      <c r="X28" s="114">
        <f>'Юнит 6'!X28+'Юнит 7'!X28+'Юнит 8'!X28+'Юнит 9'!X28</f>
        <v>0</v>
      </c>
      <c r="Y28" s="117">
        <f t="shared" si="31"/>
        <v>0</v>
      </c>
      <c r="Z28" s="117">
        <f t="shared" si="32"/>
        <v>0</v>
      </c>
      <c r="AA28" s="119">
        <f t="shared" si="33"/>
        <v>0</v>
      </c>
      <c r="AB28" s="117">
        <f t="shared" si="34"/>
        <v>0</v>
      </c>
      <c r="AC28" s="114">
        <f>'Юнит 6'!AC28+'Юнит 7'!AC28+'Юнит 8'!AC28+'Юнит 9'!AC28</f>
        <v>0</v>
      </c>
      <c r="AD28" s="119">
        <f t="shared" si="35"/>
        <v>0</v>
      </c>
      <c r="AE28" s="114">
        <v>0</v>
      </c>
      <c r="AF28" s="114">
        <v>0</v>
      </c>
      <c r="AG28" s="114">
        <v>0</v>
      </c>
      <c r="AH28" s="114">
        <v>0</v>
      </c>
      <c r="AI28" s="114">
        <v>0</v>
      </c>
      <c r="AJ28" s="114">
        <v>0</v>
      </c>
      <c r="AK28" s="120">
        <f t="shared" si="36"/>
        <v>0</v>
      </c>
      <c r="AL28" s="121">
        <f t="shared" si="37"/>
        <v>0</v>
      </c>
      <c r="AM28" s="122"/>
      <c r="AN28" s="123">
        <f t="shared" si="38"/>
        <v>0</v>
      </c>
      <c r="AO28" s="124">
        <f t="shared" si="39"/>
        <v>218.89</v>
      </c>
      <c r="AP28" s="124">
        <f t="shared" si="40"/>
        <v>0</v>
      </c>
      <c r="AQ28" s="124">
        <f t="shared" si="41"/>
        <v>0</v>
      </c>
      <c r="AR28" s="124">
        <f t="shared" si="42"/>
        <v>0</v>
      </c>
      <c r="AS28" s="124">
        <f t="array" ref="AS28">_xlfn.IFS(S28=0,AL28,S28&lt;0,AL28/-S28,S28&gt;0,AL28/S28)</f>
        <v>0</v>
      </c>
      <c r="AT28" s="119">
        <f t="shared" si="43"/>
        <v>0</v>
      </c>
      <c r="AU28" s="119">
        <f t="shared" si="44"/>
        <v>0</v>
      </c>
      <c r="AV28" s="125"/>
      <c r="AW28" s="120">
        <f t="shared" si="45"/>
        <v>0</v>
      </c>
    </row>
    <row r="29" spans="1:49" outlineLevel="1">
      <c r="A29" s="114"/>
      <c r="B29" s="115">
        <v>804647664</v>
      </c>
      <c r="C29" s="115" t="s">
        <v>187</v>
      </c>
      <c r="D29" s="116" t="s">
        <v>93</v>
      </c>
      <c r="E29" s="117">
        <f>'Юнит 9'!E29</f>
        <v>0</v>
      </c>
      <c r="F29" s="117">
        <f>'Юнит 9'!F29</f>
        <v>0</v>
      </c>
      <c r="G29" s="117">
        <f>'Юнит 9'!G29</f>
        <v>0</v>
      </c>
      <c r="H29" s="117">
        <f>'Юнит 9'!H29</f>
        <v>0</v>
      </c>
      <c r="I29" s="117">
        <v>218.89</v>
      </c>
      <c r="J29" s="117">
        <f t="shared" si="26"/>
        <v>0</v>
      </c>
      <c r="K29" s="114">
        <f>'Юнит 9'!K29</f>
        <v>0</v>
      </c>
      <c r="L29" s="114">
        <f>'Юнит 6'!L29+'Юнит 7'!L29+'Юнит 8'!L29+'Юнит 9'!L29</f>
        <v>3</v>
      </c>
      <c r="M29" s="114"/>
      <c r="N29" s="114"/>
      <c r="O29" s="213">
        <f t="shared" si="27"/>
        <v>0.42857142857142855</v>
      </c>
      <c r="P29" s="117">
        <f t="shared" si="28"/>
        <v>0</v>
      </c>
      <c r="Q29" s="114">
        <f>'Юнит 6'!Q29+'Юнит 7'!Q29+'Юнит 8'!Q29+'Юнит 9'!Q29</f>
        <v>0</v>
      </c>
      <c r="R29" s="114">
        <f>'Юнит 6'!R29+'Юнит 7'!R29+'Юнит 8'!R29+'Юнит 9'!R29</f>
        <v>0</v>
      </c>
      <c r="S29" s="117">
        <f t="shared" si="29"/>
        <v>0</v>
      </c>
      <c r="T29" s="114">
        <f>'Юнит 6'!T29+'Юнит 7'!T29+'Юнит 8'!T29+'Юнит 9'!T29</f>
        <v>0</v>
      </c>
      <c r="U29" s="114">
        <f>'Юнит 6'!U29+'Юнит 7'!U29+'Юнит 8'!U29+'Юнит 9'!U29</f>
        <v>0</v>
      </c>
      <c r="V29" s="117">
        <f t="shared" si="30"/>
        <v>0</v>
      </c>
      <c r="W29" s="114">
        <f>'Юнит 6'!W29+'Юнит 7'!W29+'Юнит 8'!W29+'Юнит 9'!W29</f>
        <v>0</v>
      </c>
      <c r="X29" s="114">
        <f>'Юнит 6'!X29+'Юнит 7'!X29+'Юнит 8'!X29+'Юнит 9'!X29</f>
        <v>0</v>
      </c>
      <c r="Y29" s="117">
        <f t="shared" si="31"/>
        <v>0</v>
      </c>
      <c r="Z29" s="117">
        <f t="shared" si="32"/>
        <v>0</v>
      </c>
      <c r="AA29" s="119">
        <f t="shared" si="33"/>
        <v>0</v>
      </c>
      <c r="AB29" s="117">
        <f t="shared" si="34"/>
        <v>0</v>
      </c>
      <c r="AC29" s="114">
        <f>'Юнит 6'!AC29+'Юнит 7'!AC29+'Юнит 8'!AC29+'Юнит 9'!AC29</f>
        <v>0</v>
      </c>
      <c r="AD29" s="119">
        <f t="shared" si="35"/>
        <v>0</v>
      </c>
      <c r="AE29" s="114">
        <v>0</v>
      </c>
      <c r="AF29" s="114">
        <v>0</v>
      </c>
      <c r="AG29" s="114">
        <v>0</v>
      </c>
      <c r="AH29" s="114">
        <v>0</v>
      </c>
      <c r="AI29" s="114">
        <v>0</v>
      </c>
      <c r="AJ29" s="114">
        <v>0</v>
      </c>
      <c r="AK29" s="120">
        <f t="shared" si="36"/>
        <v>0</v>
      </c>
      <c r="AL29" s="121">
        <f t="shared" si="37"/>
        <v>0</v>
      </c>
      <c r="AM29" s="122"/>
      <c r="AN29" s="123">
        <f t="shared" si="38"/>
        <v>0</v>
      </c>
      <c r="AO29" s="124">
        <f t="shared" si="39"/>
        <v>218.89</v>
      </c>
      <c r="AP29" s="124">
        <f t="shared" si="40"/>
        <v>0</v>
      </c>
      <c r="AQ29" s="124">
        <f t="shared" si="41"/>
        <v>0</v>
      </c>
      <c r="AR29" s="124">
        <f t="shared" si="42"/>
        <v>0</v>
      </c>
      <c r="AS29" s="124">
        <f t="array" ref="AS29">_xlfn.IFS(S29=0,AL29,S29&lt;0,AL29/-S29,S29&gt;0,AL29/S29)</f>
        <v>0</v>
      </c>
      <c r="AT29" s="119">
        <f t="shared" si="43"/>
        <v>0</v>
      </c>
      <c r="AU29" s="119">
        <f t="shared" si="44"/>
        <v>0</v>
      </c>
      <c r="AV29" s="125"/>
      <c r="AW29" s="120">
        <f t="shared" si="45"/>
        <v>0</v>
      </c>
    </row>
    <row r="30" spans="1:49" outlineLevel="1">
      <c r="A30" s="114"/>
      <c r="B30" s="115">
        <v>804587637</v>
      </c>
      <c r="C30" s="115" t="s">
        <v>188</v>
      </c>
      <c r="D30" s="116" t="s">
        <v>93</v>
      </c>
      <c r="E30" s="117">
        <f>'Юнит 9'!E30</f>
        <v>0</v>
      </c>
      <c r="F30" s="117">
        <f>'Юнит 9'!F30</f>
        <v>0</v>
      </c>
      <c r="G30" s="117">
        <f>'Юнит 9'!G30</f>
        <v>0</v>
      </c>
      <c r="H30" s="117">
        <f>'Юнит 9'!H30</f>
        <v>0</v>
      </c>
      <c r="I30" s="117">
        <v>178.89</v>
      </c>
      <c r="J30" s="117">
        <f t="shared" si="26"/>
        <v>0</v>
      </c>
      <c r="K30" s="114">
        <f>'Юнит 9'!K30</f>
        <v>0</v>
      </c>
      <c r="L30" s="114">
        <f>'Юнит 6'!L30+'Юнит 7'!L30+'Юнит 8'!L30+'Юнит 9'!L30</f>
        <v>0</v>
      </c>
      <c r="M30" s="114"/>
      <c r="N30" s="114"/>
      <c r="O30" s="213">
        <f t="shared" si="27"/>
        <v>0</v>
      </c>
      <c r="P30" s="117">
        <f t="shared" si="28"/>
        <v>0</v>
      </c>
      <c r="Q30" s="114">
        <f>'Юнит 6'!Q30+'Юнит 7'!Q30+'Юнит 8'!Q30+'Юнит 9'!Q30</f>
        <v>0</v>
      </c>
      <c r="R30" s="114">
        <f>'Юнит 6'!R30+'Юнит 7'!R30+'Юнит 8'!R30+'Юнит 9'!R30</f>
        <v>0</v>
      </c>
      <c r="S30" s="117">
        <f t="shared" si="29"/>
        <v>0</v>
      </c>
      <c r="T30" s="114">
        <f>'Юнит 6'!T30+'Юнит 7'!T30+'Юнит 8'!T30+'Юнит 9'!T30</f>
        <v>0</v>
      </c>
      <c r="U30" s="114">
        <f>'Юнит 6'!U30+'Юнит 7'!U30+'Юнит 8'!U30+'Юнит 9'!U30</f>
        <v>0</v>
      </c>
      <c r="V30" s="117">
        <f t="shared" si="30"/>
        <v>0</v>
      </c>
      <c r="W30" s="114">
        <f>'Юнит 6'!W30+'Юнит 7'!W30+'Юнит 8'!W30+'Юнит 9'!W30</f>
        <v>0</v>
      </c>
      <c r="X30" s="114">
        <f>'Юнит 6'!X30+'Юнит 7'!X30+'Юнит 8'!X30+'Юнит 9'!X30</f>
        <v>0</v>
      </c>
      <c r="Y30" s="117">
        <f t="shared" si="31"/>
        <v>0</v>
      </c>
      <c r="Z30" s="117">
        <f t="shared" si="32"/>
        <v>0</v>
      </c>
      <c r="AA30" s="119">
        <f t="shared" si="33"/>
        <v>0</v>
      </c>
      <c r="AB30" s="117">
        <f t="shared" si="34"/>
        <v>0</v>
      </c>
      <c r="AC30" s="114">
        <f>'Юнит 6'!AC30+'Юнит 7'!AC30+'Юнит 8'!AC30+'Юнит 9'!AC30</f>
        <v>0</v>
      </c>
      <c r="AD30" s="119">
        <f t="shared" si="35"/>
        <v>0</v>
      </c>
      <c r="AE30" s="114">
        <v>0</v>
      </c>
      <c r="AF30" s="114">
        <v>0</v>
      </c>
      <c r="AG30" s="114">
        <v>0</v>
      </c>
      <c r="AH30" s="114">
        <v>0</v>
      </c>
      <c r="AI30" s="114">
        <v>0</v>
      </c>
      <c r="AJ30" s="114">
        <v>0</v>
      </c>
      <c r="AK30" s="120">
        <f t="shared" si="36"/>
        <v>0</v>
      </c>
      <c r="AL30" s="121">
        <f t="shared" si="37"/>
        <v>0</v>
      </c>
      <c r="AM30" s="122"/>
      <c r="AN30" s="123">
        <f t="shared" si="38"/>
        <v>0</v>
      </c>
      <c r="AO30" s="124">
        <f t="shared" si="39"/>
        <v>178.89</v>
      </c>
      <c r="AP30" s="124">
        <f t="shared" si="40"/>
        <v>0</v>
      </c>
      <c r="AQ30" s="124">
        <f t="shared" si="41"/>
        <v>0</v>
      </c>
      <c r="AR30" s="124">
        <f t="shared" si="42"/>
        <v>0</v>
      </c>
      <c r="AS30" s="124">
        <f t="array" ref="AS30">_xlfn.IFS(S30=0,AL30,S30&lt;0,AL30/-S30,S30&gt;0,AL30/S30)</f>
        <v>0</v>
      </c>
      <c r="AT30" s="119">
        <f t="shared" si="43"/>
        <v>0</v>
      </c>
      <c r="AU30" s="119">
        <f t="shared" si="44"/>
        <v>0</v>
      </c>
      <c r="AV30" s="125"/>
      <c r="AW30" s="120">
        <f t="shared" si="45"/>
        <v>0</v>
      </c>
    </row>
    <row r="31" spans="1:49" outlineLevel="1">
      <c r="A31" s="114"/>
      <c r="B31" s="115">
        <v>804573581</v>
      </c>
      <c r="C31" s="115" t="s">
        <v>189</v>
      </c>
      <c r="D31" s="116" t="s">
        <v>93</v>
      </c>
      <c r="E31" s="117">
        <f>'Юнит 9'!E31</f>
        <v>0</v>
      </c>
      <c r="F31" s="117">
        <f>'Юнит 9'!F31</f>
        <v>0</v>
      </c>
      <c r="G31" s="117">
        <f>'Юнит 9'!G31</f>
        <v>0</v>
      </c>
      <c r="H31" s="117">
        <f>'Юнит 9'!H31</f>
        <v>0</v>
      </c>
      <c r="I31" s="117">
        <v>178.89</v>
      </c>
      <c r="J31" s="117">
        <f t="shared" si="26"/>
        <v>0</v>
      </c>
      <c r="K31" s="114">
        <f>'Юнит 9'!K31</f>
        <v>0</v>
      </c>
      <c r="L31" s="114">
        <f>'Юнит 6'!L31+'Юнит 7'!L31+'Юнит 8'!L31+'Юнит 9'!L31</f>
        <v>3</v>
      </c>
      <c r="M31" s="114"/>
      <c r="N31" s="114"/>
      <c r="O31" s="213">
        <f t="shared" si="27"/>
        <v>0.42857142857142855</v>
      </c>
      <c r="P31" s="117">
        <f t="shared" si="28"/>
        <v>0</v>
      </c>
      <c r="Q31" s="114">
        <f>'Юнит 6'!Q31+'Юнит 7'!Q31+'Юнит 8'!Q31+'Юнит 9'!Q31</f>
        <v>0</v>
      </c>
      <c r="R31" s="114">
        <f>'Юнит 6'!R31+'Юнит 7'!R31+'Юнит 8'!R31+'Юнит 9'!R31</f>
        <v>0</v>
      </c>
      <c r="S31" s="117">
        <f t="shared" si="29"/>
        <v>0</v>
      </c>
      <c r="T31" s="114">
        <f>'Юнит 6'!T31+'Юнит 7'!T31+'Юнит 8'!T31+'Юнит 9'!T31</f>
        <v>0</v>
      </c>
      <c r="U31" s="114">
        <f>'Юнит 6'!U31+'Юнит 7'!U31+'Юнит 8'!U31+'Юнит 9'!U31</f>
        <v>0</v>
      </c>
      <c r="V31" s="117">
        <f t="shared" si="30"/>
        <v>0</v>
      </c>
      <c r="W31" s="114">
        <f>'Юнит 6'!W31+'Юнит 7'!W31+'Юнит 8'!W31+'Юнит 9'!W31</f>
        <v>0</v>
      </c>
      <c r="X31" s="114">
        <f>'Юнит 6'!X31+'Юнит 7'!X31+'Юнит 8'!X31+'Юнит 9'!X31</f>
        <v>0</v>
      </c>
      <c r="Y31" s="117">
        <f t="shared" si="31"/>
        <v>0</v>
      </c>
      <c r="Z31" s="117">
        <f t="shared" si="32"/>
        <v>0</v>
      </c>
      <c r="AA31" s="119">
        <f t="shared" si="33"/>
        <v>0</v>
      </c>
      <c r="AB31" s="117">
        <f t="shared" si="34"/>
        <v>0</v>
      </c>
      <c r="AC31" s="114">
        <f>'Юнит 6'!AC31+'Юнит 7'!AC31+'Юнит 8'!AC31+'Юнит 9'!AC31</f>
        <v>0</v>
      </c>
      <c r="AD31" s="119">
        <f t="shared" si="35"/>
        <v>0</v>
      </c>
      <c r="AE31" s="114">
        <v>0</v>
      </c>
      <c r="AF31" s="114">
        <v>0</v>
      </c>
      <c r="AG31" s="114">
        <v>0</v>
      </c>
      <c r="AH31" s="114">
        <v>0</v>
      </c>
      <c r="AI31" s="114">
        <v>0</v>
      </c>
      <c r="AJ31" s="114">
        <v>0</v>
      </c>
      <c r="AK31" s="120">
        <f t="shared" si="36"/>
        <v>0</v>
      </c>
      <c r="AL31" s="121">
        <f t="shared" si="37"/>
        <v>0</v>
      </c>
      <c r="AM31" s="122"/>
      <c r="AN31" s="123">
        <f t="shared" si="38"/>
        <v>0</v>
      </c>
      <c r="AO31" s="124">
        <f t="shared" si="39"/>
        <v>178.89</v>
      </c>
      <c r="AP31" s="124">
        <f t="shared" si="40"/>
        <v>0</v>
      </c>
      <c r="AQ31" s="124">
        <f t="shared" si="41"/>
        <v>0</v>
      </c>
      <c r="AR31" s="124">
        <f t="shared" si="42"/>
        <v>0</v>
      </c>
      <c r="AS31" s="124">
        <f t="array" ref="AS31">_xlfn.IFS(S31=0,AL31,S31&lt;0,AL31/-S31,S31&gt;0,AL31/S31)</f>
        <v>0</v>
      </c>
      <c r="AT31" s="119">
        <f t="shared" si="43"/>
        <v>0</v>
      </c>
      <c r="AU31" s="119">
        <f t="shared" si="44"/>
        <v>0</v>
      </c>
      <c r="AV31" s="125"/>
      <c r="AW31" s="120">
        <f t="shared" si="45"/>
        <v>0</v>
      </c>
    </row>
    <row r="32" spans="1:49" outlineLevel="1">
      <c r="A32" s="114"/>
      <c r="B32" s="115">
        <v>804546783</v>
      </c>
      <c r="C32" s="115" t="s">
        <v>190</v>
      </c>
      <c r="D32" s="116" t="s">
        <v>93</v>
      </c>
      <c r="E32" s="117">
        <f>'Юнит 9'!E32</f>
        <v>0</v>
      </c>
      <c r="F32" s="117">
        <f>'Юнит 9'!F32</f>
        <v>0</v>
      </c>
      <c r="G32" s="117">
        <f>'Юнит 9'!G32</f>
        <v>0</v>
      </c>
      <c r="H32" s="117">
        <f>'Юнит 9'!H32</f>
        <v>0</v>
      </c>
      <c r="I32" s="117">
        <v>178.89</v>
      </c>
      <c r="J32" s="117">
        <f t="shared" si="26"/>
        <v>0</v>
      </c>
      <c r="K32" s="114">
        <f>'Юнит 9'!K32</f>
        <v>0</v>
      </c>
      <c r="L32" s="114">
        <f>'Юнит 6'!L32+'Юнит 7'!L32+'Юнит 8'!L32+'Юнит 9'!L32</f>
        <v>5</v>
      </c>
      <c r="M32" s="114"/>
      <c r="N32" s="114"/>
      <c r="O32" s="213">
        <f t="shared" si="27"/>
        <v>0.7142857142857143</v>
      </c>
      <c r="P32" s="117">
        <f t="shared" si="28"/>
        <v>0</v>
      </c>
      <c r="Q32" s="114">
        <f>'Юнит 6'!Q32+'Юнит 7'!Q32+'Юнит 8'!Q32+'Юнит 9'!Q32</f>
        <v>0</v>
      </c>
      <c r="R32" s="114">
        <f>'Юнит 6'!R32+'Юнит 7'!R32+'Юнит 8'!R32+'Юнит 9'!R32</f>
        <v>0</v>
      </c>
      <c r="S32" s="117">
        <f t="shared" si="29"/>
        <v>0</v>
      </c>
      <c r="T32" s="114">
        <f>'Юнит 6'!T32+'Юнит 7'!T32+'Юнит 8'!T32+'Юнит 9'!T32</f>
        <v>0</v>
      </c>
      <c r="U32" s="114">
        <f>'Юнит 6'!U32+'Юнит 7'!U32+'Юнит 8'!U32+'Юнит 9'!U32</f>
        <v>0</v>
      </c>
      <c r="V32" s="117">
        <f t="shared" si="30"/>
        <v>0</v>
      </c>
      <c r="W32" s="114">
        <f>'Юнит 6'!W32+'Юнит 7'!W32+'Юнит 8'!W32+'Юнит 9'!W32</f>
        <v>0</v>
      </c>
      <c r="X32" s="114">
        <f>'Юнит 6'!X32+'Юнит 7'!X32+'Юнит 8'!X32+'Юнит 9'!X32</f>
        <v>0</v>
      </c>
      <c r="Y32" s="117">
        <f t="shared" si="31"/>
        <v>0</v>
      </c>
      <c r="Z32" s="117">
        <f t="shared" si="32"/>
        <v>0</v>
      </c>
      <c r="AA32" s="119">
        <f t="shared" si="33"/>
        <v>0</v>
      </c>
      <c r="AB32" s="117">
        <f t="shared" si="34"/>
        <v>0</v>
      </c>
      <c r="AC32" s="114">
        <f>'Юнит 6'!AC32+'Юнит 7'!AC32+'Юнит 8'!AC32+'Юнит 9'!AC32</f>
        <v>0</v>
      </c>
      <c r="AD32" s="119">
        <f t="shared" si="35"/>
        <v>0</v>
      </c>
      <c r="AE32" s="114">
        <v>0</v>
      </c>
      <c r="AF32" s="114">
        <v>0</v>
      </c>
      <c r="AG32" s="114">
        <v>0</v>
      </c>
      <c r="AH32" s="114">
        <v>0</v>
      </c>
      <c r="AI32" s="114">
        <v>0</v>
      </c>
      <c r="AJ32" s="114">
        <v>0</v>
      </c>
      <c r="AK32" s="120">
        <f t="shared" si="36"/>
        <v>0</v>
      </c>
      <c r="AL32" s="121">
        <f t="shared" si="37"/>
        <v>0</v>
      </c>
      <c r="AM32" s="122"/>
      <c r="AN32" s="123">
        <f t="shared" si="38"/>
        <v>0</v>
      </c>
      <c r="AO32" s="124">
        <f t="shared" si="39"/>
        <v>178.89</v>
      </c>
      <c r="AP32" s="124">
        <f t="shared" si="40"/>
        <v>0</v>
      </c>
      <c r="AQ32" s="124">
        <f t="shared" si="41"/>
        <v>0</v>
      </c>
      <c r="AR32" s="124">
        <f t="shared" si="42"/>
        <v>0</v>
      </c>
      <c r="AS32" s="124">
        <f t="array" ref="AS32">_xlfn.IFS(S32=0,AL32,S32&lt;0,AL32/-S32,S32&gt;0,AL32/S32)</f>
        <v>0</v>
      </c>
      <c r="AT32" s="119">
        <f t="shared" si="43"/>
        <v>0</v>
      </c>
      <c r="AU32" s="119">
        <f t="shared" si="44"/>
        <v>0</v>
      </c>
      <c r="AV32" s="125"/>
      <c r="AW32" s="120">
        <f t="shared" si="45"/>
        <v>0</v>
      </c>
    </row>
    <row r="33" spans="1:49" outlineLevel="1">
      <c r="A33" s="114"/>
      <c r="B33" s="115">
        <v>804671683</v>
      </c>
      <c r="C33" s="115" t="s">
        <v>191</v>
      </c>
      <c r="D33" s="116" t="s">
        <v>93</v>
      </c>
      <c r="E33" s="117">
        <f>'Юнит 9'!E33</f>
        <v>0</v>
      </c>
      <c r="F33" s="117">
        <f>'Юнит 9'!F33</f>
        <v>0</v>
      </c>
      <c r="G33" s="117">
        <f>'Юнит 9'!G33</f>
        <v>0</v>
      </c>
      <c r="H33" s="117">
        <f>'Юнит 9'!H33</f>
        <v>0</v>
      </c>
      <c r="I33" s="117">
        <v>178.89</v>
      </c>
      <c r="J33" s="117">
        <f t="shared" si="26"/>
        <v>0</v>
      </c>
      <c r="K33" s="114">
        <f>'Юнит 9'!K33</f>
        <v>0</v>
      </c>
      <c r="L33" s="114">
        <f>'Юнит 6'!L33+'Юнит 7'!L33+'Юнит 8'!L33+'Юнит 9'!L33</f>
        <v>3</v>
      </c>
      <c r="M33" s="114"/>
      <c r="N33" s="114"/>
      <c r="O33" s="213">
        <f t="shared" si="27"/>
        <v>0.42857142857142855</v>
      </c>
      <c r="P33" s="117">
        <f t="shared" si="28"/>
        <v>0</v>
      </c>
      <c r="Q33" s="114">
        <f>'Юнит 6'!Q33+'Юнит 7'!Q33+'Юнит 8'!Q33+'Юнит 9'!Q33</f>
        <v>0</v>
      </c>
      <c r="R33" s="114">
        <f>'Юнит 6'!R33+'Юнит 7'!R33+'Юнит 8'!R33+'Юнит 9'!R33</f>
        <v>0</v>
      </c>
      <c r="S33" s="117">
        <f t="shared" si="29"/>
        <v>0</v>
      </c>
      <c r="T33" s="114">
        <f>'Юнит 6'!T33+'Юнит 7'!T33+'Юнит 8'!T33+'Юнит 9'!T33</f>
        <v>0</v>
      </c>
      <c r="U33" s="114">
        <f>'Юнит 6'!U33+'Юнит 7'!U33+'Юнит 8'!U33+'Юнит 9'!U33</f>
        <v>0</v>
      </c>
      <c r="V33" s="117">
        <f t="shared" si="30"/>
        <v>0</v>
      </c>
      <c r="W33" s="114">
        <f>'Юнит 6'!W33+'Юнит 7'!W33+'Юнит 8'!W33+'Юнит 9'!W33</f>
        <v>0</v>
      </c>
      <c r="X33" s="114">
        <f>'Юнит 6'!X33+'Юнит 7'!X33+'Юнит 8'!X33+'Юнит 9'!X33</f>
        <v>0</v>
      </c>
      <c r="Y33" s="117">
        <f t="shared" si="31"/>
        <v>0</v>
      </c>
      <c r="Z33" s="117">
        <f t="shared" si="32"/>
        <v>0</v>
      </c>
      <c r="AA33" s="119">
        <f t="shared" si="33"/>
        <v>0</v>
      </c>
      <c r="AB33" s="117">
        <f t="shared" si="34"/>
        <v>0</v>
      </c>
      <c r="AC33" s="114">
        <f>'Юнит 6'!AC33+'Юнит 7'!AC33+'Юнит 8'!AC33+'Юнит 9'!AC33</f>
        <v>0</v>
      </c>
      <c r="AD33" s="119">
        <f t="shared" si="35"/>
        <v>0</v>
      </c>
      <c r="AE33" s="114">
        <v>0</v>
      </c>
      <c r="AF33" s="114">
        <v>0</v>
      </c>
      <c r="AG33" s="114">
        <v>0</v>
      </c>
      <c r="AH33" s="114">
        <v>0</v>
      </c>
      <c r="AI33" s="114">
        <v>0</v>
      </c>
      <c r="AJ33" s="114">
        <v>0</v>
      </c>
      <c r="AK33" s="120">
        <f t="shared" si="36"/>
        <v>0</v>
      </c>
      <c r="AL33" s="121">
        <f t="shared" si="37"/>
        <v>0</v>
      </c>
      <c r="AM33" s="122"/>
      <c r="AN33" s="123">
        <f t="shared" si="38"/>
        <v>0</v>
      </c>
      <c r="AO33" s="124">
        <f t="shared" si="39"/>
        <v>178.89</v>
      </c>
      <c r="AP33" s="124">
        <f t="shared" si="40"/>
        <v>0</v>
      </c>
      <c r="AQ33" s="124">
        <f t="shared" si="41"/>
        <v>0</v>
      </c>
      <c r="AR33" s="124">
        <f t="shared" si="42"/>
        <v>0</v>
      </c>
      <c r="AS33" s="124">
        <f t="array" ref="AS33">_xlfn.IFS(S33=0,AL33,S33&lt;0,AL33/-S33,S33&gt;0,AL33/S33)</f>
        <v>0</v>
      </c>
      <c r="AT33" s="119">
        <f t="shared" si="43"/>
        <v>0</v>
      </c>
      <c r="AU33" s="119">
        <f t="shared" si="44"/>
        <v>0</v>
      </c>
      <c r="AV33" s="125"/>
      <c r="AW33" s="120">
        <f t="shared" si="45"/>
        <v>0</v>
      </c>
    </row>
    <row r="34" spans="1:49" outlineLevel="1">
      <c r="A34" s="114"/>
      <c r="B34" s="115">
        <v>804691336</v>
      </c>
      <c r="C34" s="115" t="s">
        <v>192</v>
      </c>
      <c r="D34" s="116" t="s">
        <v>93</v>
      </c>
      <c r="E34" s="117">
        <f>'Юнит 9'!E34</f>
        <v>0</v>
      </c>
      <c r="F34" s="117">
        <f>'Юнит 9'!F34</f>
        <v>0</v>
      </c>
      <c r="G34" s="117">
        <f>'Юнит 9'!G34</f>
        <v>0</v>
      </c>
      <c r="H34" s="117">
        <f>'Юнит 9'!H34</f>
        <v>0</v>
      </c>
      <c r="I34" s="117">
        <v>178.89</v>
      </c>
      <c r="J34" s="117">
        <f t="shared" ref="J34" si="46">E34*I34</f>
        <v>0</v>
      </c>
      <c r="K34" s="114">
        <f>'Юнит 9'!K34</f>
        <v>0</v>
      </c>
      <c r="L34" s="114">
        <f>'Юнит 6'!L34+'Юнит 7'!L34+'Юнит 8'!L34+'Юнит 9'!L34</f>
        <v>0</v>
      </c>
      <c r="M34" s="114"/>
      <c r="N34" s="114"/>
      <c r="O34" s="213">
        <f t="shared" ref="O34" si="47">L34/7</f>
        <v>0</v>
      </c>
      <c r="P34" s="117">
        <f t="shared" ref="P34" si="48">S34/7</f>
        <v>0</v>
      </c>
      <c r="Q34" s="114">
        <f>'Юнит 6'!Q34+'Юнит 7'!Q34+'Юнит 8'!Q34+'Юнит 9'!Q34</f>
        <v>0</v>
      </c>
      <c r="R34" s="114">
        <f>'Юнит 6'!R34+'Юнит 7'!R34+'Юнит 8'!R34+'Юнит 9'!R34</f>
        <v>0</v>
      </c>
      <c r="S34" s="117">
        <f t="shared" ref="S34" si="49">Q34+R34</f>
        <v>0</v>
      </c>
      <c r="T34" s="114">
        <f>'Юнит 6'!T34+'Юнит 7'!T34+'Юнит 8'!T34+'Юнит 9'!T34</f>
        <v>0</v>
      </c>
      <c r="U34" s="114">
        <f>'Юнит 6'!U34+'Юнит 7'!U34+'Юнит 8'!U34+'Юнит 9'!U34</f>
        <v>0</v>
      </c>
      <c r="V34" s="117">
        <f t="shared" ref="V34" si="50">T34+U34</f>
        <v>0</v>
      </c>
      <c r="W34" s="114">
        <f>'Юнит 6'!W34+'Юнит 7'!W34+'Юнит 8'!W34+'Юнит 9'!W34</f>
        <v>0</v>
      </c>
      <c r="X34" s="114">
        <f>'Юнит 6'!X34+'Юнит 7'!X34+'Юнит 8'!X34+'Юнит 9'!X34</f>
        <v>0</v>
      </c>
      <c r="Y34" s="117">
        <f t="shared" ref="Y34" si="51">W34+X34</f>
        <v>0</v>
      </c>
      <c r="Z34" s="117">
        <f t="shared" ref="Z34" si="52">L34*M34*N34/100</f>
        <v>0</v>
      </c>
      <c r="AA34" s="119">
        <f t="shared" ref="AA34" si="53">Y34/$Y$93</f>
        <v>0</v>
      </c>
      <c r="AB34" s="117">
        <f t="shared" ref="AB34" si="54">S34*I34</f>
        <v>0</v>
      </c>
      <c r="AC34" s="114">
        <f>'Юнит 6'!AC34+'Юнит 7'!AC34+'Юнит 8'!AC34+'Юнит 9'!AC34</f>
        <v>0</v>
      </c>
      <c r="AD34" s="119">
        <f t="shared" ref="AD34" si="55">IF(Y34=0,0,AC34/Y34)</f>
        <v>0</v>
      </c>
      <c r="AE34" s="114">
        <v>0</v>
      </c>
      <c r="AF34" s="114">
        <v>0</v>
      </c>
      <c r="AG34" s="114">
        <v>0</v>
      </c>
      <c r="AH34" s="114">
        <v>0</v>
      </c>
      <c r="AI34" s="114">
        <v>0</v>
      </c>
      <c r="AJ34" s="114">
        <v>0</v>
      </c>
      <c r="AK34" s="120">
        <f t="shared" ref="AK34" si="56">V34*1%</f>
        <v>0</v>
      </c>
      <c r="AL34" s="121">
        <f t="shared" ref="AL34" si="57">Y34-AB34-AC34-AE34-AF34-AG34-AH34-AI34-AK34-AJ34</f>
        <v>0</v>
      </c>
      <c r="AM34" s="122"/>
      <c r="AN34" s="123">
        <f t="shared" ref="AN34" si="58">IF(S34=0,0,Y34/S34)</f>
        <v>0</v>
      </c>
      <c r="AO34" s="124">
        <f t="shared" ref="AO34" si="59">I34</f>
        <v>178.89</v>
      </c>
      <c r="AP34" s="124">
        <f t="shared" ref="AP34" si="60">IF(S34=0,0,AC34/S34)</f>
        <v>0</v>
      </c>
      <c r="AQ34" s="124">
        <f t="shared" ref="AQ34" si="61">IF(Q34=0,AE34/1,AE34/Q34)</f>
        <v>0</v>
      </c>
      <c r="AR34" s="124">
        <f t="shared" ref="AR34" si="62">IF(Q34=0,0,(AF34+AG34)/Q34)</f>
        <v>0</v>
      </c>
      <c r="AS34" s="124">
        <f t="array" ref="AS34">_xlfn.IFS(S34=0,AL34,S34&lt;0,AL34/-S34,S34&gt;0,AL34/S34)</f>
        <v>0</v>
      </c>
      <c r="AT34" s="119">
        <f t="shared" ref="AT34" si="63">IF(AN34=0,0,AS34/AN34)</f>
        <v>0</v>
      </c>
      <c r="AU34" s="119">
        <f t="shared" ref="AU34" si="64">IF(AO34=0,0,AS34/AO34)</f>
        <v>0</v>
      </c>
      <c r="AV34" s="125"/>
      <c r="AW34" s="120">
        <f t="shared" ref="AW34" si="65">AS34*E34</f>
        <v>0</v>
      </c>
    </row>
    <row r="35" spans="1:49" s="140" customFormat="1" outlineLevel="1">
      <c r="A35" s="127"/>
      <c r="B35" s="128"/>
      <c r="C35" s="129"/>
      <c r="D35" s="130"/>
      <c r="E35" s="131"/>
      <c r="F35" s="131"/>
      <c r="G35" s="131"/>
      <c r="H35" s="131"/>
      <c r="I35" s="131"/>
      <c r="J35" s="131"/>
      <c r="K35" s="129"/>
      <c r="L35" s="129"/>
      <c r="M35" s="129"/>
      <c r="N35" s="129"/>
      <c r="O35" s="131"/>
      <c r="P35" s="131"/>
      <c r="Q35" s="132"/>
      <c r="R35" s="132"/>
      <c r="S35" s="131"/>
      <c r="T35" s="118"/>
      <c r="U35" s="118"/>
      <c r="V35" s="131"/>
      <c r="W35" s="132"/>
      <c r="X35" s="132"/>
      <c r="Y35" s="131"/>
      <c r="Z35" s="131"/>
      <c r="AA35" s="133"/>
      <c r="AB35" s="131"/>
      <c r="AC35" s="132"/>
      <c r="AD35" s="133"/>
      <c r="AE35" s="132"/>
      <c r="AF35" s="132"/>
      <c r="AG35" s="132"/>
      <c r="AH35" s="132"/>
      <c r="AI35" s="134"/>
      <c r="AJ35" s="132"/>
      <c r="AK35" s="135"/>
      <c r="AL35" s="136"/>
      <c r="AM35" s="137"/>
      <c r="AN35" s="138">
        <f t="shared" ref="AN35:AU35" si="66">AVERAGE(AN3:AN6)</f>
        <v>1105.5546175584457</v>
      </c>
      <c r="AO35" s="138">
        <f t="shared" si="66"/>
        <v>128.0625</v>
      </c>
      <c r="AP35" s="138">
        <f t="shared" si="66"/>
        <v>402.03630879072233</v>
      </c>
      <c r="AQ35" s="138">
        <f t="shared" si="66"/>
        <v>0</v>
      </c>
      <c r="AR35" s="138">
        <f t="shared" si="66"/>
        <v>0</v>
      </c>
      <c r="AS35" s="138">
        <f t="shared" si="66"/>
        <v>568.45750771811504</v>
      </c>
      <c r="AT35" s="139">
        <f t="shared" si="66"/>
        <v>0.51334017435163837</v>
      </c>
      <c r="AU35" s="138">
        <f t="shared" si="66"/>
        <v>4.4379434485285838</v>
      </c>
      <c r="AV35" s="125"/>
      <c r="AW35" s="135"/>
    </row>
    <row r="36" spans="1:49" s="148" customFormat="1">
      <c r="A36" s="141" t="s">
        <v>106</v>
      </c>
      <c r="B36" s="142"/>
      <c r="C36" s="143"/>
      <c r="D36" s="143"/>
      <c r="E36" s="143">
        <f>SUM(E3:E34)</f>
        <v>0</v>
      </c>
      <c r="F36" s="143">
        <f>SUM(F3:F34)</f>
        <v>0</v>
      </c>
      <c r="G36" s="143">
        <f>SUM(G3:G34)</f>
        <v>0</v>
      </c>
      <c r="H36" s="143">
        <f>SUM(H3:H34)</f>
        <v>0</v>
      </c>
      <c r="I36" s="143"/>
      <c r="J36" s="143">
        <f>SUM(J3:J34)</f>
        <v>0</v>
      </c>
      <c r="K36" s="143"/>
      <c r="L36" s="143">
        <f>SUM(L3:L34)</f>
        <v>674</v>
      </c>
      <c r="M36" s="143"/>
      <c r="N36" s="143"/>
      <c r="O36" s="143"/>
      <c r="P36" s="143"/>
      <c r="Q36" s="143">
        <f t="shared" ref="Q36:AC36" si="67">SUM(Q3:Q34)</f>
        <v>330</v>
      </c>
      <c r="R36" s="143">
        <f t="shared" si="67"/>
        <v>-3</v>
      </c>
      <c r="S36" s="143">
        <f t="shared" si="67"/>
        <v>327</v>
      </c>
      <c r="T36" s="143">
        <f t="shared" si="67"/>
        <v>235366.16000000003</v>
      </c>
      <c r="U36" s="143">
        <f t="shared" si="67"/>
        <v>-2235</v>
      </c>
      <c r="V36" s="143">
        <f t="shared" si="67"/>
        <v>233131.16000000003</v>
      </c>
      <c r="W36" s="143">
        <f t="shared" si="67"/>
        <v>366652.67000000004</v>
      </c>
      <c r="X36" s="143">
        <f t="shared" si="67"/>
        <v>-3626</v>
      </c>
      <c r="Y36" s="143">
        <f t="shared" si="67"/>
        <v>363026.67000000004</v>
      </c>
      <c r="Z36" s="143">
        <f t="shared" si="67"/>
        <v>0</v>
      </c>
      <c r="AA36" s="144">
        <f t="shared" si="67"/>
        <v>0.99999999999999989</v>
      </c>
      <c r="AB36" s="145">
        <f t="shared" si="67"/>
        <v>43893.80999999999</v>
      </c>
      <c r="AC36" s="145">
        <f t="shared" si="67"/>
        <v>132170.15000000002</v>
      </c>
      <c r="AD36" s="144">
        <f>AC36/Y36</f>
        <v>0.36407834719140608</v>
      </c>
      <c r="AE36" s="143">
        <f t="shared" ref="AE36:AL36" si="68">SUM(AE3:AE34)</f>
        <v>0</v>
      </c>
      <c r="AF36" s="143">
        <f t="shared" si="68"/>
        <v>0</v>
      </c>
      <c r="AG36" s="143">
        <f t="shared" si="68"/>
        <v>0</v>
      </c>
      <c r="AH36" s="143">
        <f t="shared" si="68"/>
        <v>0</v>
      </c>
      <c r="AI36" s="143">
        <f t="shared" si="68"/>
        <v>0</v>
      </c>
      <c r="AJ36" s="143">
        <f t="shared" si="68"/>
        <v>0</v>
      </c>
      <c r="AK36" s="143">
        <f t="shared" si="68"/>
        <v>2331.3115999999991</v>
      </c>
      <c r="AL36" s="143">
        <f t="shared" si="68"/>
        <v>184631.39839999998</v>
      </c>
      <c r="AM36" s="146"/>
      <c r="AN36" s="143"/>
      <c r="AO36" s="143"/>
      <c r="AP36" s="143"/>
      <c r="AQ36" s="143"/>
      <c r="AR36" s="143">
        <f>(AF36+AG36)/Q36</f>
        <v>0</v>
      </c>
      <c r="AS36" s="143"/>
      <c r="AT36" s="143"/>
      <c r="AU36" s="143"/>
      <c r="AV36" s="147"/>
      <c r="AW36" s="143">
        <f>SUM(AW3:AW6)</f>
        <v>0</v>
      </c>
    </row>
    <row r="37" spans="1:49">
      <c r="A37" s="114"/>
      <c r="B37" s="115"/>
      <c r="C37" s="115"/>
      <c r="D37" s="149"/>
      <c r="E37" s="118"/>
      <c r="F37" s="118"/>
      <c r="G37" s="118"/>
      <c r="H37" s="118"/>
      <c r="I37" s="118"/>
      <c r="J37" s="118"/>
      <c r="K37" s="114"/>
      <c r="L37" s="114"/>
      <c r="M37" s="114"/>
      <c r="N37" s="114"/>
      <c r="O37" s="118"/>
      <c r="P37" s="118"/>
      <c r="Q37" s="118"/>
      <c r="R37" s="118"/>
      <c r="S37" s="118"/>
      <c r="T37" s="118"/>
      <c r="U37" s="118"/>
      <c r="V37" s="118"/>
      <c r="W37" s="118"/>
      <c r="X37" s="118"/>
      <c r="Y37" s="118"/>
      <c r="Z37" s="118"/>
      <c r="AA37" s="150"/>
      <c r="AB37" s="118"/>
      <c r="AC37" s="118"/>
      <c r="AD37" s="150"/>
      <c r="AE37" s="118"/>
      <c r="AF37" s="346"/>
      <c r="AG37" s="346"/>
      <c r="AH37" s="256"/>
      <c r="AI37" s="152"/>
      <c r="AJ37" s="118"/>
      <c r="AK37" s="153"/>
      <c r="AL37" s="154"/>
      <c r="AM37" s="122"/>
      <c r="AN37" s="155"/>
      <c r="AO37" s="156"/>
      <c r="AP37" s="156"/>
      <c r="AQ37" s="156"/>
      <c r="AR37" s="156"/>
      <c r="AS37" s="156"/>
      <c r="AT37" s="157"/>
      <c r="AU37" s="157"/>
      <c r="AV37" s="125"/>
      <c r="AW37" s="153"/>
    </row>
    <row r="38" spans="1:49" hidden="1" outlineLevel="1">
      <c r="A38" s="114"/>
      <c r="B38" s="115"/>
      <c r="C38" s="115"/>
      <c r="D38" s="116"/>
      <c r="E38" s="117">
        <f t="shared" ref="E38:E69" si="69">SUM(F38:H38)</f>
        <v>0</v>
      </c>
      <c r="F38" s="117"/>
      <c r="G38" s="117"/>
      <c r="H38" s="117"/>
      <c r="I38" s="117"/>
      <c r="J38" s="117">
        <f t="shared" ref="J38:J89" si="70">E38*I38</f>
        <v>0</v>
      </c>
      <c r="K38" s="114"/>
      <c r="L38" s="114"/>
      <c r="M38" s="114"/>
      <c r="N38" s="114"/>
      <c r="O38" s="117">
        <f t="shared" ref="O38:O89" si="71">L38/7</f>
        <v>0</v>
      </c>
      <c r="P38" s="117">
        <f t="shared" ref="P38:P89" si="72">S38/7</f>
        <v>0</v>
      </c>
      <c r="Q38" s="118"/>
      <c r="R38" s="118"/>
      <c r="S38" s="117">
        <f t="shared" ref="S38:S89" si="73">Q38+R38</f>
        <v>0</v>
      </c>
      <c r="T38" s="117"/>
      <c r="U38" s="117"/>
      <c r="V38" s="117">
        <f t="shared" ref="V38:V89" si="74">T38+U38</f>
        <v>0</v>
      </c>
      <c r="W38" s="118"/>
      <c r="X38" s="118"/>
      <c r="Y38" s="117">
        <f t="shared" ref="Y38:Y89" si="75">W38+X38</f>
        <v>0</v>
      </c>
      <c r="Z38" s="117">
        <f t="shared" ref="Z38:Z84" si="76">L38*M38*N38/100</f>
        <v>0</v>
      </c>
      <c r="AA38" s="119">
        <f>Y38/$Y$93</f>
        <v>0</v>
      </c>
      <c r="AB38" s="117">
        <f t="shared" ref="AB38:AB89" si="77">S38*I38</f>
        <v>0</v>
      </c>
      <c r="AC38" s="118"/>
      <c r="AD38" s="119">
        <f t="shared" ref="AD38:AD89" si="78">IF(Y38=0,0,AC38/Y38)</f>
        <v>0</v>
      </c>
      <c r="AE38" s="118"/>
      <c r="AF38" s="118"/>
      <c r="AG38" s="118"/>
      <c r="AH38" s="118"/>
      <c r="AI38" s="241"/>
      <c r="AJ38" s="118"/>
      <c r="AK38" s="120">
        <f t="shared" ref="AK38:AK89" si="79">V38*1%</f>
        <v>0</v>
      </c>
      <c r="AL38" s="121">
        <f t="shared" ref="AL38:AL89" si="80">Y38-AB38-AC38-AE38-AF38-AG38-AH38-AI38-AK38-AJ38</f>
        <v>0</v>
      </c>
      <c r="AM38" s="122"/>
      <c r="AN38" s="123">
        <f t="shared" ref="AN38:AN89" si="81">IF(S38=0,0,Y38/S38)</f>
        <v>0</v>
      </c>
      <c r="AO38" s="124">
        <f t="shared" ref="AO38:AO89" si="82">I38</f>
        <v>0</v>
      </c>
      <c r="AP38" s="124">
        <f t="shared" ref="AP38:AP89" si="83">IF(S38=0,0,AC38/S38)</f>
        <v>0</v>
      </c>
      <c r="AQ38" s="124">
        <f t="shared" ref="AQ38:AQ89" si="84">IF(Q38=0,AE38/1,AE38/Q38)</f>
        <v>0</v>
      </c>
      <c r="AR38" s="124">
        <f t="shared" ref="AR38:AR89" si="85">IF(Q38=0,0,(AF38+AG38)/Q38)</f>
        <v>0</v>
      </c>
      <c r="AS38" s="124">
        <f t="array" ref="AS38">_xlfn.IFS(S38=0,AL38,S38&lt;0,AL38/-S38,S38&gt;0,AL38/S38)</f>
        <v>0</v>
      </c>
      <c r="AT38" s="119">
        <f t="shared" ref="AT38:AT89" si="86">IF(AN38=0,0,AS38/AN38)</f>
        <v>0</v>
      </c>
      <c r="AU38" s="119">
        <f t="shared" ref="AU38:AU89" si="87">IF(AO38=0,0,AS38/AO38)</f>
        <v>0</v>
      </c>
      <c r="AV38" s="125"/>
      <c r="AW38" s="120">
        <f t="shared" ref="AW38:AW89" si="88">AS38*E38</f>
        <v>0</v>
      </c>
    </row>
    <row r="39" spans="1:49" hidden="1" outlineLevel="1">
      <c r="A39" s="114"/>
      <c r="B39" s="115"/>
      <c r="C39" s="115"/>
      <c r="D39" s="116"/>
      <c r="E39" s="117">
        <f t="shared" si="69"/>
        <v>0</v>
      </c>
      <c r="F39" s="117"/>
      <c r="G39" s="117"/>
      <c r="H39" s="117"/>
      <c r="I39" s="117"/>
      <c r="J39" s="117">
        <f t="shared" si="70"/>
        <v>0</v>
      </c>
      <c r="K39" s="114"/>
      <c r="L39" s="114"/>
      <c r="M39" s="114"/>
      <c r="N39" s="114"/>
      <c r="O39" s="117">
        <f t="shared" si="71"/>
        <v>0</v>
      </c>
      <c r="P39" s="117">
        <f t="shared" si="72"/>
        <v>0</v>
      </c>
      <c r="Q39" s="118"/>
      <c r="R39" s="118"/>
      <c r="S39" s="117">
        <f t="shared" si="73"/>
        <v>0</v>
      </c>
      <c r="T39" s="117"/>
      <c r="U39" s="117"/>
      <c r="V39" s="117">
        <f t="shared" si="74"/>
        <v>0</v>
      </c>
      <c r="W39" s="118"/>
      <c r="X39" s="118"/>
      <c r="Y39" s="117">
        <f t="shared" si="75"/>
        <v>0</v>
      </c>
      <c r="Z39" s="117">
        <f t="shared" si="76"/>
        <v>0</v>
      </c>
      <c r="AA39" s="119">
        <f t="shared" ref="AA39:AA89" si="89">Y39/$Y$93</f>
        <v>0</v>
      </c>
      <c r="AB39" s="117">
        <f t="shared" si="77"/>
        <v>0</v>
      </c>
      <c r="AC39" s="118"/>
      <c r="AD39" s="119">
        <f t="shared" si="78"/>
        <v>0</v>
      </c>
      <c r="AE39" s="118"/>
      <c r="AF39" s="118"/>
      <c r="AG39" s="118"/>
      <c r="AH39" s="118"/>
      <c r="AI39" s="241"/>
      <c r="AJ39" s="118"/>
      <c r="AK39" s="120">
        <f t="shared" si="79"/>
        <v>0</v>
      </c>
      <c r="AL39" s="121">
        <f t="shared" si="80"/>
        <v>0</v>
      </c>
      <c r="AM39" s="122"/>
      <c r="AN39" s="123">
        <f t="shared" si="81"/>
        <v>0</v>
      </c>
      <c r="AO39" s="124">
        <f t="shared" si="82"/>
        <v>0</v>
      </c>
      <c r="AP39" s="124">
        <f t="shared" si="83"/>
        <v>0</v>
      </c>
      <c r="AQ39" s="124">
        <f t="shared" si="84"/>
        <v>0</v>
      </c>
      <c r="AR39" s="124">
        <f t="shared" si="85"/>
        <v>0</v>
      </c>
      <c r="AS39" s="124">
        <f t="array" ref="AS39">_xlfn.IFS(S39=0,AL39,S39&lt;0,AL39/-S39,S39&gt;0,AL39/S39)</f>
        <v>0</v>
      </c>
      <c r="AT39" s="119">
        <f t="shared" si="86"/>
        <v>0</v>
      </c>
      <c r="AU39" s="119">
        <f t="shared" si="87"/>
        <v>0</v>
      </c>
      <c r="AV39" s="125"/>
      <c r="AW39" s="120">
        <f t="shared" si="88"/>
        <v>0</v>
      </c>
    </row>
    <row r="40" spans="1:49" hidden="1" outlineLevel="1">
      <c r="A40" s="114"/>
      <c r="B40" s="115"/>
      <c r="C40" s="115"/>
      <c r="D40" s="116"/>
      <c r="E40" s="117">
        <f t="shared" si="69"/>
        <v>0</v>
      </c>
      <c r="F40" s="117"/>
      <c r="G40" s="117"/>
      <c r="H40" s="117"/>
      <c r="I40" s="117"/>
      <c r="J40" s="117">
        <f t="shared" si="70"/>
        <v>0</v>
      </c>
      <c r="K40" s="114"/>
      <c r="L40" s="114"/>
      <c r="M40" s="114"/>
      <c r="N40" s="114"/>
      <c r="O40" s="117">
        <f t="shared" si="71"/>
        <v>0</v>
      </c>
      <c r="P40" s="117">
        <f t="shared" si="72"/>
        <v>0</v>
      </c>
      <c r="Q40" s="118"/>
      <c r="R40" s="118"/>
      <c r="S40" s="117">
        <f t="shared" si="73"/>
        <v>0</v>
      </c>
      <c r="T40" s="117"/>
      <c r="U40" s="117"/>
      <c r="V40" s="117">
        <f t="shared" si="74"/>
        <v>0</v>
      </c>
      <c r="W40" s="118"/>
      <c r="X40" s="118"/>
      <c r="Y40" s="117">
        <f t="shared" si="75"/>
        <v>0</v>
      </c>
      <c r="Z40" s="117">
        <f t="shared" si="76"/>
        <v>0</v>
      </c>
      <c r="AA40" s="119">
        <f t="shared" si="89"/>
        <v>0</v>
      </c>
      <c r="AB40" s="117">
        <f t="shared" si="77"/>
        <v>0</v>
      </c>
      <c r="AC40" s="118"/>
      <c r="AD40" s="119">
        <f t="shared" si="78"/>
        <v>0</v>
      </c>
      <c r="AE40" s="118"/>
      <c r="AF40" s="118"/>
      <c r="AG40" s="118"/>
      <c r="AH40" s="118"/>
      <c r="AI40" s="241"/>
      <c r="AJ40" s="118"/>
      <c r="AK40" s="120">
        <f t="shared" si="79"/>
        <v>0</v>
      </c>
      <c r="AL40" s="121">
        <f t="shared" si="80"/>
        <v>0</v>
      </c>
      <c r="AM40" s="122"/>
      <c r="AN40" s="123">
        <f t="shared" si="81"/>
        <v>0</v>
      </c>
      <c r="AO40" s="124">
        <f t="shared" si="82"/>
        <v>0</v>
      </c>
      <c r="AP40" s="124">
        <f t="shared" si="83"/>
        <v>0</v>
      </c>
      <c r="AQ40" s="124">
        <f t="shared" si="84"/>
        <v>0</v>
      </c>
      <c r="AR40" s="124">
        <f t="shared" si="85"/>
        <v>0</v>
      </c>
      <c r="AS40" s="124">
        <f t="array" ref="AS40">_xlfn.IFS(S40=0,AL40,S40&lt;0,AL40/-S40,S40&gt;0,AL40/S40)</f>
        <v>0</v>
      </c>
      <c r="AT40" s="119">
        <f t="shared" si="86"/>
        <v>0</v>
      </c>
      <c r="AU40" s="119">
        <f t="shared" si="87"/>
        <v>0</v>
      </c>
      <c r="AV40" s="125"/>
      <c r="AW40" s="120">
        <f t="shared" si="88"/>
        <v>0</v>
      </c>
    </row>
    <row r="41" spans="1:49" hidden="1" outlineLevel="1">
      <c r="A41" s="114"/>
      <c r="B41" s="115"/>
      <c r="C41" s="115"/>
      <c r="D41" s="116"/>
      <c r="E41" s="117">
        <f t="shared" si="69"/>
        <v>0</v>
      </c>
      <c r="F41" s="117"/>
      <c r="G41" s="117"/>
      <c r="H41" s="117"/>
      <c r="I41" s="117"/>
      <c r="J41" s="117">
        <f t="shared" si="70"/>
        <v>0</v>
      </c>
      <c r="K41" s="114"/>
      <c r="L41" s="114"/>
      <c r="M41" s="114"/>
      <c r="N41" s="114"/>
      <c r="O41" s="117">
        <f t="shared" si="71"/>
        <v>0</v>
      </c>
      <c r="P41" s="117">
        <f t="shared" si="72"/>
        <v>0</v>
      </c>
      <c r="Q41" s="118"/>
      <c r="R41" s="118"/>
      <c r="S41" s="117">
        <f t="shared" si="73"/>
        <v>0</v>
      </c>
      <c r="T41" s="117"/>
      <c r="U41" s="117"/>
      <c r="V41" s="117">
        <f t="shared" si="74"/>
        <v>0</v>
      </c>
      <c r="W41" s="118"/>
      <c r="X41" s="118"/>
      <c r="Y41" s="117">
        <f t="shared" si="75"/>
        <v>0</v>
      </c>
      <c r="Z41" s="117">
        <f t="shared" si="76"/>
        <v>0</v>
      </c>
      <c r="AA41" s="119">
        <f t="shared" si="89"/>
        <v>0</v>
      </c>
      <c r="AB41" s="117">
        <f t="shared" si="77"/>
        <v>0</v>
      </c>
      <c r="AC41" s="118"/>
      <c r="AD41" s="119">
        <f t="shared" si="78"/>
        <v>0</v>
      </c>
      <c r="AE41" s="118"/>
      <c r="AF41" s="118"/>
      <c r="AG41" s="118"/>
      <c r="AH41" s="118"/>
      <c r="AI41" s="241"/>
      <c r="AJ41" s="118"/>
      <c r="AK41" s="120">
        <f t="shared" si="79"/>
        <v>0</v>
      </c>
      <c r="AL41" s="121">
        <f t="shared" si="80"/>
        <v>0</v>
      </c>
      <c r="AM41" s="122"/>
      <c r="AN41" s="123">
        <f t="shared" si="81"/>
        <v>0</v>
      </c>
      <c r="AO41" s="124">
        <f t="shared" si="82"/>
        <v>0</v>
      </c>
      <c r="AP41" s="124">
        <f t="shared" si="83"/>
        <v>0</v>
      </c>
      <c r="AQ41" s="124">
        <f t="shared" si="84"/>
        <v>0</v>
      </c>
      <c r="AR41" s="124">
        <f t="shared" si="85"/>
        <v>0</v>
      </c>
      <c r="AS41" s="124">
        <f t="array" ref="AS41">_xlfn.IFS(S41=0,AL41,S41&lt;0,AL41/-S41,S41&gt;0,AL41/S41)</f>
        <v>0</v>
      </c>
      <c r="AT41" s="119">
        <f t="shared" si="86"/>
        <v>0</v>
      </c>
      <c r="AU41" s="119">
        <f t="shared" si="87"/>
        <v>0</v>
      </c>
      <c r="AV41" s="125"/>
      <c r="AW41" s="120">
        <f t="shared" si="88"/>
        <v>0</v>
      </c>
    </row>
    <row r="42" spans="1:49" hidden="1" outlineLevel="1">
      <c r="A42" s="114"/>
      <c r="B42" s="115"/>
      <c r="C42" s="115"/>
      <c r="D42" s="116"/>
      <c r="E42" s="117">
        <f t="shared" si="69"/>
        <v>0</v>
      </c>
      <c r="F42" s="117"/>
      <c r="G42" s="117"/>
      <c r="H42" s="117"/>
      <c r="I42" s="117"/>
      <c r="J42" s="117">
        <f t="shared" si="70"/>
        <v>0</v>
      </c>
      <c r="K42" s="114"/>
      <c r="L42" s="114"/>
      <c r="M42" s="114"/>
      <c r="N42" s="114"/>
      <c r="O42" s="117">
        <f t="shared" si="71"/>
        <v>0</v>
      </c>
      <c r="P42" s="117">
        <f t="shared" si="72"/>
        <v>0</v>
      </c>
      <c r="Q42" s="118"/>
      <c r="R42" s="118"/>
      <c r="S42" s="117">
        <f t="shared" si="73"/>
        <v>0</v>
      </c>
      <c r="T42" s="117"/>
      <c r="U42" s="117"/>
      <c r="V42" s="117">
        <f t="shared" si="74"/>
        <v>0</v>
      </c>
      <c r="W42" s="118"/>
      <c r="X42" s="118"/>
      <c r="Y42" s="117">
        <f t="shared" si="75"/>
        <v>0</v>
      </c>
      <c r="Z42" s="117">
        <f t="shared" si="76"/>
        <v>0</v>
      </c>
      <c r="AA42" s="119">
        <f t="shared" si="89"/>
        <v>0</v>
      </c>
      <c r="AB42" s="117">
        <f t="shared" si="77"/>
        <v>0</v>
      </c>
      <c r="AC42" s="118"/>
      <c r="AD42" s="119">
        <f t="shared" si="78"/>
        <v>0</v>
      </c>
      <c r="AE42" s="118"/>
      <c r="AF42" s="118"/>
      <c r="AG42" s="118"/>
      <c r="AH42" s="118"/>
      <c r="AI42" s="241"/>
      <c r="AJ42" s="118"/>
      <c r="AK42" s="120">
        <f t="shared" si="79"/>
        <v>0</v>
      </c>
      <c r="AL42" s="121">
        <f t="shared" si="80"/>
        <v>0</v>
      </c>
      <c r="AM42" s="122"/>
      <c r="AN42" s="123">
        <f t="shared" si="81"/>
        <v>0</v>
      </c>
      <c r="AO42" s="124">
        <f t="shared" si="82"/>
        <v>0</v>
      </c>
      <c r="AP42" s="124">
        <f t="shared" si="83"/>
        <v>0</v>
      </c>
      <c r="AQ42" s="124">
        <f t="shared" si="84"/>
        <v>0</v>
      </c>
      <c r="AR42" s="124">
        <f t="shared" si="85"/>
        <v>0</v>
      </c>
      <c r="AS42" s="124">
        <f t="array" ref="AS42">_xlfn.IFS(S42=0,AL42,S42&lt;0,AL42/-S42,S42&gt;0,AL42/S42)</f>
        <v>0</v>
      </c>
      <c r="AT42" s="119">
        <f t="shared" si="86"/>
        <v>0</v>
      </c>
      <c r="AU42" s="119">
        <f t="shared" si="87"/>
        <v>0</v>
      </c>
      <c r="AV42" s="125"/>
      <c r="AW42" s="120">
        <f t="shared" si="88"/>
        <v>0</v>
      </c>
    </row>
    <row r="43" spans="1:49" hidden="1" outlineLevel="1">
      <c r="A43" s="114"/>
      <c r="B43" s="115"/>
      <c r="C43" s="115"/>
      <c r="D43" s="116"/>
      <c r="E43" s="117">
        <f t="shared" si="69"/>
        <v>0</v>
      </c>
      <c r="F43" s="117"/>
      <c r="G43" s="117"/>
      <c r="H43" s="117"/>
      <c r="I43" s="117"/>
      <c r="J43" s="117">
        <f t="shared" si="70"/>
        <v>0</v>
      </c>
      <c r="K43" s="114"/>
      <c r="L43" s="114"/>
      <c r="M43" s="114"/>
      <c r="N43" s="114"/>
      <c r="O43" s="117">
        <f t="shared" si="71"/>
        <v>0</v>
      </c>
      <c r="P43" s="117">
        <f t="shared" si="72"/>
        <v>0</v>
      </c>
      <c r="Q43" s="118"/>
      <c r="R43" s="118"/>
      <c r="S43" s="117">
        <f t="shared" si="73"/>
        <v>0</v>
      </c>
      <c r="T43" s="117"/>
      <c r="U43" s="117"/>
      <c r="V43" s="117">
        <f t="shared" si="74"/>
        <v>0</v>
      </c>
      <c r="W43" s="118"/>
      <c r="X43" s="118"/>
      <c r="Y43" s="117">
        <f t="shared" si="75"/>
        <v>0</v>
      </c>
      <c r="Z43" s="117">
        <f t="shared" si="76"/>
        <v>0</v>
      </c>
      <c r="AA43" s="119">
        <f t="shared" si="89"/>
        <v>0</v>
      </c>
      <c r="AB43" s="117">
        <f t="shared" si="77"/>
        <v>0</v>
      </c>
      <c r="AC43" s="118"/>
      <c r="AD43" s="119">
        <f t="shared" si="78"/>
        <v>0</v>
      </c>
      <c r="AE43" s="118"/>
      <c r="AF43" s="118"/>
      <c r="AG43" s="118"/>
      <c r="AH43" s="118"/>
      <c r="AI43" s="241"/>
      <c r="AJ43" s="118"/>
      <c r="AK43" s="120">
        <f t="shared" si="79"/>
        <v>0</v>
      </c>
      <c r="AL43" s="121">
        <f t="shared" si="80"/>
        <v>0</v>
      </c>
      <c r="AM43" s="122"/>
      <c r="AN43" s="123">
        <f t="shared" si="81"/>
        <v>0</v>
      </c>
      <c r="AO43" s="124">
        <f t="shared" si="82"/>
        <v>0</v>
      </c>
      <c r="AP43" s="124">
        <f t="shared" si="83"/>
        <v>0</v>
      </c>
      <c r="AQ43" s="124">
        <f t="shared" si="84"/>
        <v>0</v>
      </c>
      <c r="AR43" s="124">
        <f t="shared" si="85"/>
        <v>0</v>
      </c>
      <c r="AS43" s="124">
        <f t="array" ref="AS43">_xlfn.IFS(S43=0,AL43,S43&lt;0,AL43/-S43,S43&gt;0,AL43/S43)</f>
        <v>0</v>
      </c>
      <c r="AT43" s="119">
        <f t="shared" si="86"/>
        <v>0</v>
      </c>
      <c r="AU43" s="119">
        <f t="shared" si="87"/>
        <v>0</v>
      </c>
      <c r="AV43" s="125"/>
      <c r="AW43" s="120">
        <f t="shared" si="88"/>
        <v>0</v>
      </c>
    </row>
    <row r="44" spans="1:49" hidden="1" outlineLevel="1">
      <c r="A44" s="114"/>
      <c r="B44" s="115"/>
      <c r="C44" s="115"/>
      <c r="D44" s="116"/>
      <c r="E44" s="117">
        <f t="shared" si="69"/>
        <v>0</v>
      </c>
      <c r="F44" s="117"/>
      <c r="G44" s="117"/>
      <c r="H44" s="117"/>
      <c r="I44" s="117"/>
      <c r="J44" s="117">
        <f t="shared" si="70"/>
        <v>0</v>
      </c>
      <c r="K44" s="114"/>
      <c r="L44" s="114"/>
      <c r="M44" s="114"/>
      <c r="N44" s="114"/>
      <c r="O44" s="117">
        <f t="shared" si="71"/>
        <v>0</v>
      </c>
      <c r="P44" s="117">
        <f t="shared" si="72"/>
        <v>0</v>
      </c>
      <c r="Q44" s="118"/>
      <c r="R44" s="118"/>
      <c r="S44" s="117">
        <f t="shared" si="73"/>
        <v>0</v>
      </c>
      <c r="T44" s="117"/>
      <c r="U44" s="117"/>
      <c r="V44" s="117">
        <f t="shared" si="74"/>
        <v>0</v>
      </c>
      <c r="W44" s="118"/>
      <c r="X44" s="118"/>
      <c r="Y44" s="117">
        <f t="shared" si="75"/>
        <v>0</v>
      </c>
      <c r="Z44" s="117">
        <f t="shared" si="76"/>
        <v>0</v>
      </c>
      <c r="AA44" s="119">
        <f t="shared" si="89"/>
        <v>0</v>
      </c>
      <c r="AB44" s="117">
        <f t="shared" si="77"/>
        <v>0</v>
      </c>
      <c r="AC44" s="118"/>
      <c r="AD44" s="119">
        <f t="shared" si="78"/>
        <v>0</v>
      </c>
      <c r="AE44" s="118"/>
      <c r="AF44" s="118"/>
      <c r="AG44" s="118"/>
      <c r="AH44" s="118"/>
      <c r="AI44" s="241"/>
      <c r="AJ44" s="118"/>
      <c r="AK44" s="120">
        <f t="shared" si="79"/>
        <v>0</v>
      </c>
      <c r="AL44" s="121">
        <f t="shared" si="80"/>
        <v>0</v>
      </c>
      <c r="AM44" s="122"/>
      <c r="AN44" s="123">
        <f t="shared" si="81"/>
        <v>0</v>
      </c>
      <c r="AO44" s="124">
        <f t="shared" si="82"/>
        <v>0</v>
      </c>
      <c r="AP44" s="124">
        <f t="shared" si="83"/>
        <v>0</v>
      </c>
      <c r="AQ44" s="124">
        <f t="shared" si="84"/>
        <v>0</v>
      </c>
      <c r="AR44" s="124">
        <f t="shared" si="85"/>
        <v>0</v>
      </c>
      <c r="AS44" s="124">
        <f t="array" ref="AS44">_xlfn.IFS(S44=0,AL44,S44&lt;0,AL44/-S44,S44&gt;0,AL44/S44)</f>
        <v>0</v>
      </c>
      <c r="AT44" s="119">
        <f t="shared" si="86"/>
        <v>0</v>
      </c>
      <c r="AU44" s="119">
        <f t="shared" si="87"/>
        <v>0</v>
      </c>
      <c r="AV44" s="125"/>
      <c r="AW44" s="120">
        <f t="shared" si="88"/>
        <v>0</v>
      </c>
    </row>
    <row r="45" spans="1:49" hidden="1" outlineLevel="1">
      <c r="A45" s="114"/>
      <c r="B45" s="115"/>
      <c r="C45" s="115"/>
      <c r="D45" s="116"/>
      <c r="E45" s="117">
        <f t="shared" si="69"/>
        <v>0</v>
      </c>
      <c r="F45" s="117"/>
      <c r="G45" s="117"/>
      <c r="H45" s="117"/>
      <c r="I45" s="117"/>
      <c r="J45" s="117">
        <f t="shared" si="70"/>
        <v>0</v>
      </c>
      <c r="K45" s="114"/>
      <c r="L45" s="114"/>
      <c r="M45" s="114"/>
      <c r="N45" s="114"/>
      <c r="O45" s="117">
        <f t="shared" si="71"/>
        <v>0</v>
      </c>
      <c r="P45" s="117">
        <f t="shared" si="72"/>
        <v>0</v>
      </c>
      <c r="Q45" s="118"/>
      <c r="R45" s="118"/>
      <c r="S45" s="117">
        <f t="shared" si="73"/>
        <v>0</v>
      </c>
      <c r="T45" s="117"/>
      <c r="U45" s="117"/>
      <c r="V45" s="117">
        <f t="shared" si="74"/>
        <v>0</v>
      </c>
      <c r="W45" s="118"/>
      <c r="X45" s="118"/>
      <c r="Y45" s="117">
        <f t="shared" si="75"/>
        <v>0</v>
      </c>
      <c r="Z45" s="117">
        <f t="shared" si="76"/>
        <v>0</v>
      </c>
      <c r="AA45" s="119">
        <f t="shared" si="89"/>
        <v>0</v>
      </c>
      <c r="AB45" s="117">
        <f t="shared" si="77"/>
        <v>0</v>
      </c>
      <c r="AC45" s="118"/>
      <c r="AD45" s="119">
        <f t="shared" si="78"/>
        <v>0</v>
      </c>
      <c r="AE45" s="118"/>
      <c r="AF45" s="118"/>
      <c r="AG45" s="118"/>
      <c r="AH45" s="118"/>
      <c r="AI45" s="241"/>
      <c r="AJ45" s="118"/>
      <c r="AK45" s="120">
        <f t="shared" si="79"/>
        <v>0</v>
      </c>
      <c r="AL45" s="121">
        <f t="shared" si="80"/>
        <v>0</v>
      </c>
      <c r="AM45" s="122"/>
      <c r="AN45" s="123">
        <f t="shared" si="81"/>
        <v>0</v>
      </c>
      <c r="AO45" s="124">
        <f t="shared" si="82"/>
        <v>0</v>
      </c>
      <c r="AP45" s="124">
        <f t="shared" si="83"/>
        <v>0</v>
      </c>
      <c r="AQ45" s="124">
        <f t="shared" si="84"/>
        <v>0</v>
      </c>
      <c r="AR45" s="124">
        <f t="shared" si="85"/>
        <v>0</v>
      </c>
      <c r="AS45" s="124">
        <f t="array" ref="AS45">_xlfn.IFS(S45=0,AL45,S45&lt;0,AL45/-S45,S45&gt;0,AL45/S45)</f>
        <v>0</v>
      </c>
      <c r="AT45" s="119">
        <f t="shared" si="86"/>
        <v>0</v>
      </c>
      <c r="AU45" s="119">
        <f t="shared" si="87"/>
        <v>0</v>
      </c>
      <c r="AV45" s="125"/>
      <c r="AW45" s="120">
        <f t="shared" si="88"/>
        <v>0</v>
      </c>
    </row>
    <row r="46" spans="1:49" hidden="1" outlineLevel="1">
      <c r="A46" s="114"/>
      <c r="B46" s="115"/>
      <c r="C46" s="115"/>
      <c r="D46" s="116"/>
      <c r="E46" s="117">
        <f t="shared" si="69"/>
        <v>0</v>
      </c>
      <c r="F46" s="117"/>
      <c r="G46" s="117"/>
      <c r="H46" s="117"/>
      <c r="I46" s="117"/>
      <c r="J46" s="117">
        <f t="shared" si="70"/>
        <v>0</v>
      </c>
      <c r="K46" s="114"/>
      <c r="L46" s="114"/>
      <c r="M46" s="114"/>
      <c r="N46" s="114"/>
      <c r="O46" s="117">
        <f t="shared" si="71"/>
        <v>0</v>
      </c>
      <c r="P46" s="117">
        <f t="shared" si="72"/>
        <v>0</v>
      </c>
      <c r="Q46" s="118"/>
      <c r="R46" s="118"/>
      <c r="S46" s="117">
        <f t="shared" si="73"/>
        <v>0</v>
      </c>
      <c r="T46" s="117"/>
      <c r="U46" s="117"/>
      <c r="V46" s="117">
        <f t="shared" si="74"/>
        <v>0</v>
      </c>
      <c r="W46" s="118"/>
      <c r="X46" s="118"/>
      <c r="Y46" s="117">
        <f t="shared" si="75"/>
        <v>0</v>
      </c>
      <c r="Z46" s="117">
        <f t="shared" si="76"/>
        <v>0</v>
      </c>
      <c r="AA46" s="119">
        <f t="shared" si="89"/>
        <v>0</v>
      </c>
      <c r="AB46" s="117">
        <f t="shared" si="77"/>
        <v>0</v>
      </c>
      <c r="AC46" s="118"/>
      <c r="AD46" s="119">
        <f t="shared" si="78"/>
        <v>0</v>
      </c>
      <c r="AE46" s="118"/>
      <c r="AF46" s="118"/>
      <c r="AG46" s="118"/>
      <c r="AH46" s="118"/>
      <c r="AI46" s="241"/>
      <c r="AJ46" s="118"/>
      <c r="AK46" s="120">
        <f t="shared" si="79"/>
        <v>0</v>
      </c>
      <c r="AL46" s="121">
        <f t="shared" si="80"/>
        <v>0</v>
      </c>
      <c r="AM46" s="122"/>
      <c r="AN46" s="123">
        <f t="shared" si="81"/>
        <v>0</v>
      </c>
      <c r="AO46" s="124">
        <f t="shared" si="82"/>
        <v>0</v>
      </c>
      <c r="AP46" s="124">
        <f t="shared" si="83"/>
        <v>0</v>
      </c>
      <c r="AQ46" s="124">
        <f t="shared" si="84"/>
        <v>0</v>
      </c>
      <c r="AR46" s="124">
        <f t="shared" si="85"/>
        <v>0</v>
      </c>
      <c r="AS46" s="124">
        <f t="array" ref="AS46">_xlfn.IFS(S46=0,AL46,S46&lt;0,AL46/-S46,S46&gt;0,AL46/S46)</f>
        <v>0</v>
      </c>
      <c r="AT46" s="119">
        <f t="shared" si="86"/>
        <v>0</v>
      </c>
      <c r="AU46" s="119">
        <f t="shared" si="87"/>
        <v>0</v>
      </c>
      <c r="AV46" s="125"/>
      <c r="AW46" s="120">
        <f t="shared" si="88"/>
        <v>0</v>
      </c>
    </row>
    <row r="47" spans="1:49" hidden="1" outlineLevel="1">
      <c r="A47" s="114"/>
      <c r="B47" s="115"/>
      <c r="C47" s="115"/>
      <c r="D47" s="116"/>
      <c r="E47" s="117">
        <f t="shared" si="69"/>
        <v>0</v>
      </c>
      <c r="F47" s="117"/>
      <c r="G47" s="117"/>
      <c r="H47" s="117"/>
      <c r="I47" s="117"/>
      <c r="J47" s="117">
        <f t="shared" si="70"/>
        <v>0</v>
      </c>
      <c r="K47" s="114"/>
      <c r="L47" s="114"/>
      <c r="M47" s="114"/>
      <c r="N47" s="114"/>
      <c r="O47" s="117">
        <f t="shared" si="71"/>
        <v>0</v>
      </c>
      <c r="P47" s="117">
        <f t="shared" si="72"/>
        <v>0</v>
      </c>
      <c r="Q47" s="118"/>
      <c r="R47" s="118"/>
      <c r="S47" s="117">
        <f t="shared" si="73"/>
        <v>0</v>
      </c>
      <c r="T47" s="117"/>
      <c r="U47" s="117"/>
      <c r="V47" s="117">
        <f t="shared" si="74"/>
        <v>0</v>
      </c>
      <c r="W47" s="118"/>
      <c r="X47" s="118"/>
      <c r="Y47" s="117">
        <f t="shared" si="75"/>
        <v>0</v>
      </c>
      <c r="Z47" s="117">
        <f t="shared" si="76"/>
        <v>0</v>
      </c>
      <c r="AA47" s="119">
        <f t="shared" si="89"/>
        <v>0</v>
      </c>
      <c r="AB47" s="117">
        <f t="shared" si="77"/>
        <v>0</v>
      </c>
      <c r="AC47" s="118"/>
      <c r="AD47" s="119">
        <f t="shared" si="78"/>
        <v>0</v>
      </c>
      <c r="AE47" s="118"/>
      <c r="AF47" s="118"/>
      <c r="AG47" s="118"/>
      <c r="AH47" s="118"/>
      <c r="AI47" s="241"/>
      <c r="AJ47" s="118"/>
      <c r="AK47" s="120">
        <f t="shared" si="79"/>
        <v>0</v>
      </c>
      <c r="AL47" s="121">
        <f t="shared" si="80"/>
        <v>0</v>
      </c>
      <c r="AM47" s="122"/>
      <c r="AN47" s="123">
        <f t="shared" si="81"/>
        <v>0</v>
      </c>
      <c r="AO47" s="124">
        <f t="shared" si="82"/>
        <v>0</v>
      </c>
      <c r="AP47" s="124">
        <f t="shared" si="83"/>
        <v>0</v>
      </c>
      <c r="AQ47" s="124">
        <f t="shared" si="84"/>
        <v>0</v>
      </c>
      <c r="AR47" s="124">
        <f t="shared" si="85"/>
        <v>0</v>
      </c>
      <c r="AS47" s="124">
        <f t="array" ref="AS47">_xlfn.IFS(S47=0,AL47,S47&lt;0,AL47/-S47,S47&gt;0,AL47/S47)</f>
        <v>0</v>
      </c>
      <c r="AT47" s="119">
        <f t="shared" si="86"/>
        <v>0</v>
      </c>
      <c r="AU47" s="119">
        <f t="shared" si="87"/>
        <v>0</v>
      </c>
      <c r="AV47" s="125"/>
      <c r="AW47" s="120">
        <f t="shared" si="88"/>
        <v>0</v>
      </c>
    </row>
    <row r="48" spans="1:49" hidden="1" outlineLevel="1">
      <c r="A48" s="114"/>
      <c r="B48" s="115"/>
      <c r="C48" s="115"/>
      <c r="D48" s="116"/>
      <c r="E48" s="117">
        <f t="shared" si="69"/>
        <v>0</v>
      </c>
      <c r="F48" s="117"/>
      <c r="G48" s="117"/>
      <c r="H48" s="117"/>
      <c r="I48" s="117"/>
      <c r="J48" s="117">
        <f t="shared" si="70"/>
        <v>0</v>
      </c>
      <c r="K48" s="114"/>
      <c r="L48" s="114"/>
      <c r="M48" s="114"/>
      <c r="N48" s="114"/>
      <c r="O48" s="117">
        <f t="shared" si="71"/>
        <v>0</v>
      </c>
      <c r="P48" s="117">
        <f t="shared" si="72"/>
        <v>0</v>
      </c>
      <c r="Q48" s="118"/>
      <c r="R48" s="118"/>
      <c r="S48" s="117">
        <f t="shared" si="73"/>
        <v>0</v>
      </c>
      <c r="T48" s="117"/>
      <c r="U48" s="117"/>
      <c r="V48" s="117">
        <f t="shared" si="74"/>
        <v>0</v>
      </c>
      <c r="W48" s="118"/>
      <c r="X48" s="118"/>
      <c r="Y48" s="117">
        <f t="shared" si="75"/>
        <v>0</v>
      </c>
      <c r="Z48" s="117">
        <f t="shared" si="76"/>
        <v>0</v>
      </c>
      <c r="AA48" s="119">
        <f t="shared" si="89"/>
        <v>0</v>
      </c>
      <c r="AB48" s="117">
        <f t="shared" si="77"/>
        <v>0</v>
      </c>
      <c r="AC48" s="118"/>
      <c r="AD48" s="119">
        <f t="shared" si="78"/>
        <v>0</v>
      </c>
      <c r="AE48" s="118"/>
      <c r="AF48" s="118"/>
      <c r="AG48" s="118"/>
      <c r="AH48" s="118"/>
      <c r="AI48" s="241"/>
      <c r="AJ48" s="118"/>
      <c r="AK48" s="120">
        <f t="shared" si="79"/>
        <v>0</v>
      </c>
      <c r="AL48" s="121">
        <f t="shared" si="80"/>
        <v>0</v>
      </c>
      <c r="AM48" s="122"/>
      <c r="AN48" s="123">
        <f t="shared" si="81"/>
        <v>0</v>
      </c>
      <c r="AO48" s="124">
        <f t="shared" si="82"/>
        <v>0</v>
      </c>
      <c r="AP48" s="124">
        <f t="shared" si="83"/>
        <v>0</v>
      </c>
      <c r="AQ48" s="124">
        <f t="shared" si="84"/>
        <v>0</v>
      </c>
      <c r="AR48" s="124">
        <f t="shared" si="85"/>
        <v>0</v>
      </c>
      <c r="AS48" s="124">
        <f t="array" ref="AS48">_xlfn.IFS(S48=0,AL48,S48&lt;0,AL48/-S48,S48&gt;0,AL48/S48)</f>
        <v>0</v>
      </c>
      <c r="AT48" s="119">
        <f t="shared" si="86"/>
        <v>0</v>
      </c>
      <c r="AU48" s="119">
        <f t="shared" si="87"/>
        <v>0</v>
      </c>
      <c r="AV48" s="125"/>
      <c r="AW48" s="120">
        <f t="shared" si="88"/>
        <v>0</v>
      </c>
    </row>
    <row r="49" spans="1:49" hidden="1" outlineLevel="1">
      <c r="A49" s="114"/>
      <c r="B49" s="115"/>
      <c r="C49" s="115"/>
      <c r="D49" s="116"/>
      <c r="E49" s="117">
        <f t="shared" si="69"/>
        <v>0</v>
      </c>
      <c r="F49" s="117"/>
      <c r="G49" s="117"/>
      <c r="H49" s="117"/>
      <c r="I49" s="117"/>
      <c r="J49" s="117">
        <f t="shared" si="70"/>
        <v>0</v>
      </c>
      <c r="K49" s="114"/>
      <c r="L49" s="114"/>
      <c r="M49" s="114"/>
      <c r="N49" s="114"/>
      <c r="O49" s="117">
        <f t="shared" si="71"/>
        <v>0</v>
      </c>
      <c r="P49" s="117">
        <f t="shared" si="72"/>
        <v>0</v>
      </c>
      <c r="Q49" s="118"/>
      <c r="R49" s="118"/>
      <c r="S49" s="117">
        <f t="shared" si="73"/>
        <v>0</v>
      </c>
      <c r="T49" s="117"/>
      <c r="U49" s="117"/>
      <c r="V49" s="117">
        <f t="shared" si="74"/>
        <v>0</v>
      </c>
      <c r="W49" s="118"/>
      <c r="X49" s="118"/>
      <c r="Y49" s="117">
        <f t="shared" si="75"/>
        <v>0</v>
      </c>
      <c r="Z49" s="117">
        <f t="shared" si="76"/>
        <v>0</v>
      </c>
      <c r="AA49" s="119">
        <f t="shared" si="89"/>
        <v>0</v>
      </c>
      <c r="AB49" s="117">
        <f t="shared" si="77"/>
        <v>0</v>
      </c>
      <c r="AC49" s="118"/>
      <c r="AD49" s="119">
        <f t="shared" si="78"/>
        <v>0</v>
      </c>
      <c r="AE49" s="118"/>
      <c r="AF49" s="118"/>
      <c r="AG49" s="118"/>
      <c r="AH49" s="118"/>
      <c r="AI49" s="241"/>
      <c r="AJ49" s="118"/>
      <c r="AK49" s="120">
        <f t="shared" si="79"/>
        <v>0</v>
      </c>
      <c r="AL49" s="121">
        <f t="shared" si="80"/>
        <v>0</v>
      </c>
      <c r="AM49" s="122"/>
      <c r="AN49" s="123">
        <f t="shared" si="81"/>
        <v>0</v>
      </c>
      <c r="AO49" s="124">
        <f t="shared" si="82"/>
        <v>0</v>
      </c>
      <c r="AP49" s="124">
        <f t="shared" si="83"/>
        <v>0</v>
      </c>
      <c r="AQ49" s="124">
        <f t="shared" si="84"/>
        <v>0</v>
      </c>
      <c r="AR49" s="124">
        <f t="shared" si="85"/>
        <v>0</v>
      </c>
      <c r="AS49" s="124">
        <f t="array" ref="AS49">_xlfn.IFS(S49=0,AL49,S49&lt;0,AL49/-S49,S49&gt;0,AL49/S49)</f>
        <v>0</v>
      </c>
      <c r="AT49" s="119">
        <f t="shared" si="86"/>
        <v>0</v>
      </c>
      <c r="AU49" s="119">
        <f t="shared" si="87"/>
        <v>0</v>
      </c>
      <c r="AV49" s="125"/>
      <c r="AW49" s="120">
        <f t="shared" si="88"/>
        <v>0</v>
      </c>
    </row>
    <row r="50" spans="1:49" hidden="1" outlineLevel="1">
      <c r="A50" s="114"/>
      <c r="B50" s="115"/>
      <c r="C50" s="115"/>
      <c r="D50" s="116"/>
      <c r="E50" s="117">
        <f t="shared" si="69"/>
        <v>0</v>
      </c>
      <c r="F50" s="117"/>
      <c r="G50" s="117"/>
      <c r="H50" s="117"/>
      <c r="I50" s="117"/>
      <c r="J50" s="117">
        <f t="shared" si="70"/>
        <v>0</v>
      </c>
      <c r="K50" s="114"/>
      <c r="L50" s="114"/>
      <c r="M50" s="114"/>
      <c r="N50" s="114"/>
      <c r="O50" s="117">
        <f t="shared" si="71"/>
        <v>0</v>
      </c>
      <c r="P50" s="117">
        <f t="shared" si="72"/>
        <v>0</v>
      </c>
      <c r="Q50" s="118"/>
      <c r="R50" s="118"/>
      <c r="S50" s="117">
        <f t="shared" si="73"/>
        <v>0</v>
      </c>
      <c r="T50" s="117"/>
      <c r="U50" s="117"/>
      <c r="V50" s="117">
        <f t="shared" si="74"/>
        <v>0</v>
      </c>
      <c r="W50" s="118"/>
      <c r="X50" s="118"/>
      <c r="Y50" s="117">
        <f t="shared" si="75"/>
        <v>0</v>
      </c>
      <c r="Z50" s="117">
        <f t="shared" si="76"/>
        <v>0</v>
      </c>
      <c r="AA50" s="119">
        <f t="shared" si="89"/>
        <v>0</v>
      </c>
      <c r="AB50" s="117">
        <f t="shared" si="77"/>
        <v>0</v>
      </c>
      <c r="AC50" s="118"/>
      <c r="AD50" s="119">
        <f t="shared" si="78"/>
        <v>0</v>
      </c>
      <c r="AE50" s="118"/>
      <c r="AF50" s="118"/>
      <c r="AG50" s="118"/>
      <c r="AH50" s="118"/>
      <c r="AI50" s="241"/>
      <c r="AJ50" s="118"/>
      <c r="AK50" s="120">
        <f t="shared" si="79"/>
        <v>0</v>
      </c>
      <c r="AL50" s="121">
        <f t="shared" si="80"/>
        <v>0</v>
      </c>
      <c r="AM50" s="122"/>
      <c r="AN50" s="123">
        <f t="shared" si="81"/>
        <v>0</v>
      </c>
      <c r="AO50" s="124">
        <f t="shared" si="82"/>
        <v>0</v>
      </c>
      <c r="AP50" s="124">
        <f t="shared" si="83"/>
        <v>0</v>
      </c>
      <c r="AQ50" s="124">
        <f t="shared" si="84"/>
        <v>0</v>
      </c>
      <c r="AR50" s="124">
        <f t="shared" si="85"/>
        <v>0</v>
      </c>
      <c r="AS50" s="124">
        <f t="array" ref="AS50">_xlfn.IFS(S50=0,AL50,S50&lt;0,AL50/-S50,S50&gt;0,AL50/S50)</f>
        <v>0</v>
      </c>
      <c r="AT50" s="119">
        <f t="shared" si="86"/>
        <v>0</v>
      </c>
      <c r="AU50" s="119">
        <f t="shared" si="87"/>
        <v>0</v>
      </c>
      <c r="AV50" s="125"/>
      <c r="AW50" s="120">
        <f t="shared" si="88"/>
        <v>0</v>
      </c>
    </row>
    <row r="51" spans="1:49" hidden="1" outlineLevel="1">
      <c r="A51" s="114"/>
      <c r="B51" s="115"/>
      <c r="C51" s="115"/>
      <c r="D51" s="116"/>
      <c r="E51" s="117">
        <f t="shared" si="69"/>
        <v>0</v>
      </c>
      <c r="F51" s="117"/>
      <c r="G51" s="117"/>
      <c r="H51" s="117"/>
      <c r="I51" s="117"/>
      <c r="J51" s="117">
        <f t="shared" si="70"/>
        <v>0</v>
      </c>
      <c r="K51" s="114"/>
      <c r="L51" s="114"/>
      <c r="M51" s="114"/>
      <c r="N51" s="114"/>
      <c r="O51" s="117">
        <f t="shared" si="71"/>
        <v>0</v>
      </c>
      <c r="P51" s="117">
        <f t="shared" si="72"/>
        <v>0</v>
      </c>
      <c r="Q51" s="118"/>
      <c r="R51" s="118"/>
      <c r="S51" s="117">
        <f t="shared" si="73"/>
        <v>0</v>
      </c>
      <c r="T51" s="117"/>
      <c r="U51" s="117"/>
      <c r="V51" s="117">
        <f t="shared" si="74"/>
        <v>0</v>
      </c>
      <c r="W51" s="118"/>
      <c r="X51" s="118"/>
      <c r="Y51" s="117">
        <f t="shared" si="75"/>
        <v>0</v>
      </c>
      <c r="Z51" s="117">
        <f t="shared" si="76"/>
        <v>0</v>
      </c>
      <c r="AA51" s="119">
        <f t="shared" si="89"/>
        <v>0</v>
      </c>
      <c r="AB51" s="117">
        <f t="shared" si="77"/>
        <v>0</v>
      </c>
      <c r="AC51" s="118"/>
      <c r="AD51" s="119">
        <f t="shared" si="78"/>
        <v>0</v>
      </c>
      <c r="AE51" s="118"/>
      <c r="AF51" s="118"/>
      <c r="AG51" s="118"/>
      <c r="AH51" s="118"/>
      <c r="AI51" s="241"/>
      <c r="AJ51" s="118"/>
      <c r="AK51" s="120">
        <f t="shared" si="79"/>
        <v>0</v>
      </c>
      <c r="AL51" s="121">
        <f t="shared" si="80"/>
        <v>0</v>
      </c>
      <c r="AM51" s="122"/>
      <c r="AN51" s="123">
        <f t="shared" si="81"/>
        <v>0</v>
      </c>
      <c r="AO51" s="124">
        <f t="shared" si="82"/>
        <v>0</v>
      </c>
      <c r="AP51" s="124">
        <f t="shared" si="83"/>
        <v>0</v>
      </c>
      <c r="AQ51" s="124">
        <f t="shared" si="84"/>
        <v>0</v>
      </c>
      <c r="AR51" s="124">
        <f t="shared" si="85"/>
        <v>0</v>
      </c>
      <c r="AS51" s="124">
        <f t="array" ref="AS51">_xlfn.IFS(S51=0,AL51,S51&lt;0,AL51/-S51,S51&gt;0,AL51/S51)</f>
        <v>0</v>
      </c>
      <c r="AT51" s="119">
        <f t="shared" si="86"/>
        <v>0</v>
      </c>
      <c r="AU51" s="119">
        <f t="shared" si="87"/>
        <v>0</v>
      </c>
      <c r="AV51" s="125"/>
      <c r="AW51" s="120">
        <f t="shared" si="88"/>
        <v>0</v>
      </c>
    </row>
    <row r="52" spans="1:49" hidden="1" outlineLevel="1">
      <c r="A52" s="114"/>
      <c r="B52" s="115"/>
      <c r="C52" s="115"/>
      <c r="D52" s="116"/>
      <c r="E52" s="117">
        <f t="shared" si="69"/>
        <v>0</v>
      </c>
      <c r="F52" s="117"/>
      <c r="G52" s="117"/>
      <c r="H52" s="117"/>
      <c r="I52" s="117"/>
      <c r="J52" s="117">
        <f t="shared" si="70"/>
        <v>0</v>
      </c>
      <c r="K52" s="114"/>
      <c r="L52" s="114"/>
      <c r="M52" s="114"/>
      <c r="N52" s="114"/>
      <c r="O52" s="117">
        <f t="shared" si="71"/>
        <v>0</v>
      </c>
      <c r="P52" s="117">
        <f t="shared" si="72"/>
        <v>0</v>
      </c>
      <c r="Q52" s="118"/>
      <c r="R52" s="118"/>
      <c r="S52" s="117">
        <f t="shared" si="73"/>
        <v>0</v>
      </c>
      <c r="T52" s="117"/>
      <c r="U52" s="117"/>
      <c r="V52" s="117">
        <f t="shared" si="74"/>
        <v>0</v>
      </c>
      <c r="W52" s="118"/>
      <c r="X52" s="118"/>
      <c r="Y52" s="117">
        <f t="shared" si="75"/>
        <v>0</v>
      </c>
      <c r="Z52" s="117">
        <f t="shared" si="76"/>
        <v>0</v>
      </c>
      <c r="AA52" s="119">
        <f t="shared" si="89"/>
        <v>0</v>
      </c>
      <c r="AB52" s="117">
        <f t="shared" si="77"/>
        <v>0</v>
      </c>
      <c r="AC52" s="118"/>
      <c r="AD52" s="119">
        <f t="shared" si="78"/>
        <v>0</v>
      </c>
      <c r="AE52" s="118"/>
      <c r="AF52" s="118"/>
      <c r="AG52" s="118"/>
      <c r="AH52" s="118"/>
      <c r="AI52" s="241"/>
      <c r="AJ52" s="118"/>
      <c r="AK52" s="120">
        <f t="shared" si="79"/>
        <v>0</v>
      </c>
      <c r="AL52" s="121">
        <f t="shared" si="80"/>
        <v>0</v>
      </c>
      <c r="AM52" s="122"/>
      <c r="AN52" s="123">
        <f t="shared" si="81"/>
        <v>0</v>
      </c>
      <c r="AO52" s="124">
        <f t="shared" si="82"/>
        <v>0</v>
      </c>
      <c r="AP52" s="124">
        <f t="shared" si="83"/>
        <v>0</v>
      </c>
      <c r="AQ52" s="124">
        <f t="shared" si="84"/>
        <v>0</v>
      </c>
      <c r="AR52" s="124">
        <f t="shared" si="85"/>
        <v>0</v>
      </c>
      <c r="AS52" s="124">
        <f t="array" ref="AS52">_xlfn.IFS(S52=0,AL52,S52&lt;0,AL52/-S52,S52&gt;0,AL52/S52)</f>
        <v>0</v>
      </c>
      <c r="AT52" s="119">
        <f t="shared" si="86"/>
        <v>0</v>
      </c>
      <c r="AU52" s="119">
        <f t="shared" si="87"/>
        <v>0</v>
      </c>
      <c r="AV52" s="125"/>
      <c r="AW52" s="120">
        <f t="shared" si="88"/>
        <v>0</v>
      </c>
    </row>
    <row r="53" spans="1:49" hidden="1" outlineLevel="1">
      <c r="A53" s="114"/>
      <c r="B53" s="115"/>
      <c r="C53" s="115"/>
      <c r="D53" s="116"/>
      <c r="E53" s="117">
        <f t="shared" si="69"/>
        <v>0</v>
      </c>
      <c r="F53" s="117"/>
      <c r="G53" s="117"/>
      <c r="H53" s="117"/>
      <c r="I53" s="117"/>
      <c r="J53" s="117">
        <f t="shared" si="70"/>
        <v>0</v>
      </c>
      <c r="K53" s="114"/>
      <c r="L53" s="114"/>
      <c r="M53" s="114"/>
      <c r="N53" s="114"/>
      <c r="O53" s="117">
        <f t="shared" si="71"/>
        <v>0</v>
      </c>
      <c r="P53" s="117">
        <f t="shared" si="72"/>
        <v>0</v>
      </c>
      <c r="Q53" s="118"/>
      <c r="R53" s="118"/>
      <c r="S53" s="117">
        <f t="shared" si="73"/>
        <v>0</v>
      </c>
      <c r="T53" s="117"/>
      <c r="U53" s="117"/>
      <c r="V53" s="117">
        <f t="shared" si="74"/>
        <v>0</v>
      </c>
      <c r="W53" s="118"/>
      <c r="X53" s="118"/>
      <c r="Y53" s="117">
        <f t="shared" si="75"/>
        <v>0</v>
      </c>
      <c r="Z53" s="117">
        <f t="shared" si="76"/>
        <v>0</v>
      </c>
      <c r="AA53" s="119">
        <f t="shared" si="89"/>
        <v>0</v>
      </c>
      <c r="AB53" s="117">
        <f t="shared" si="77"/>
        <v>0</v>
      </c>
      <c r="AC53" s="118"/>
      <c r="AD53" s="119">
        <f t="shared" si="78"/>
        <v>0</v>
      </c>
      <c r="AE53" s="118"/>
      <c r="AF53" s="118"/>
      <c r="AG53" s="118"/>
      <c r="AH53" s="118"/>
      <c r="AI53" s="241"/>
      <c r="AJ53" s="118"/>
      <c r="AK53" s="120">
        <f t="shared" si="79"/>
        <v>0</v>
      </c>
      <c r="AL53" s="121">
        <f t="shared" si="80"/>
        <v>0</v>
      </c>
      <c r="AM53" s="122"/>
      <c r="AN53" s="123">
        <f t="shared" si="81"/>
        <v>0</v>
      </c>
      <c r="AO53" s="124">
        <f t="shared" si="82"/>
        <v>0</v>
      </c>
      <c r="AP53" s="124">
        <f t="shared" si="83"/>
        <v>0</v>
      </c>
      <c r="AQ53" s="124">
        <f t="shared" si="84"/>
        <v>0</v>
      </c>
      <c r="AR53" s="124">
        <f t="shared" si="85"/>
        <v>0</v>
      </c>
      <c r="AS53" s="124">
        <f t="array" ref="AS53">_xlfn.IFS(S53=0,AL53,S53&lt;0,AL53/-S53,S53&gt;0,AL53/S53)</f>
        <v>0</v>
      </c>
      <c r="AT53" s="119">
        <f t="shared" si="86"/>
        <v>0</v>
      </c>
      <c r="AU53" s="119">
        <f t="shared" si="87"/>
        <v>0</v>
      </c>
      <c r="AV53" s="125"/>
      <c r="AW53" s="120">
        <f t="shared" si="88"/>
        <v>0</v>
      </c>
    </row>
    <row r="54" spans="1:49" hidden="1" outlineLevel="1">
      <c r="A54" s="114"/>
      <c r="B54" s="115"/>
      <c r="C54" s="115"/>
      <c r="D54" s="116"/>
      <c r="E54" s="117">
        <f t="shared" si="69"/>
        <v>0</v>
      </c>
      <c r="F54" s="117"/>
      <c r="G54" s="117"/>
      <c r="H54" s="117"/>
      <c r="I54" s="117"/>
      <c r="J54" s="117">
        <f t="shared" si="70"/>
        <v>0</v>
      </c>
      <c r="K54" s="114"/>
      <c r="L54" s="114"/>
      <c r="M54" s="114"/>
      <c r="N54" s="114"/>
      <c r="O54" s="117">
        <f t="shared" si="71"/>
        <v>0</v>
      </c>
      <c r="P54" s="117">
        <f t="shared" si="72"/>
        <v>0</v>
      </c>
      <c r="Q54" s="118"/>
      <c r="R54" s="118"/>
      <c r="S54" s="117">
        <f t="shared" si="73"/>
        <v>0</v>
      </c>
      <c r="T54" s="117"/>
      <c r="U54" s="117"/>
      <c r="V54" s="117">
        <f t="shared" si="74"/>
        <v>0</v>
      </c>
      <c r="W54" s="118"/>
      <c r="X54" s="118"/>
      <c r="Y54" s="117">
        <f t="shared" si="75"/>
        <v>0</v>
      </c>
      <c r="Z54" s="117">
        <f t="shared" si="76"/>
        <v>0</v>
      </c>
      <c r="AA54" s="119">
        <f t="shared" si="89"/>
        <v>0</v>
      </c>
      <c r="AB54" s="117">
        <f t="shared" si="77"/>
        <v>0</v>
      </c>
      <c r="AC54" s="118"/>
      <c r="AD54" s="119">
        <f t="shared" si="78"/>
        <v>0</v>
      </c>
      <c r="AE54" s="118"/>
      <c r="AF54" s="118"/>
      <c r="AG54" s="118"/>
      <c r="AH54" s="118"/>
      <c r="AI54" s="241"/>
      <c r="AJ54" s="118"/>
      <c r="AK54" s="120">
        <f t="shared" si="79"/>
        <v>0</v>
      </c>
      <c r="AL54" s="121">
        <f t="shared" si="80"/>
        <v>0</v>
      </c>
      <c r="AM54" s="122"/>
      <c r="AN54" s="123">
        <f t="shared" si="81"/>
        <v>0</v>
      </c>
      <c r="AO54" s="124">
        <f t="shared" si="82"/>
        <v>0</v>
      </c>
      <c r="AP54" s="124">
        <f t="shared" si="83"/>
        <v>0</v>
      </c>
      <c r="AQ54" s="124">
        <f t="shared" si="84"/>
        <v>0</v>
      </c>
      <c r="AR54" s="124">
        <f t="shared" si="85"/>
        <v>0</v>
      </c>
      <c r="AS54" s="124">
        <f t="array" ref="AS54">_xlfn.IFS(S54=0,AL54,S54&lt;0,AL54/-S54,S54&gt;0,AL54/S54)</f>
        <v>0</v>
      </c>
      <c r="AT54" s="119">
        <f t="shared" si="86"/>
        <v>0</v>
      </c>
      <c r="AU54" s="119">
        <f t="shared" si="87"/>
        <v>0</v>
      </c>
      <c r="AV54" s="125"/>
      <c r="AW54" s="120">
        <f t="shared" si="88"/>
        <v>0</v>
      </c>
    </row>
    <row r="55" spans="1:49" hidden="1" outlineLevel="1">
      <c r="A55" s="114"/>
      <c r="B55" s="115"/>
      <c r="C55" s="115"/>
      <c r="D55" s="116"/>
      <c r="E55" s="117">
        <f t="shared" si="69"/>
        <v>0</v>
      </c>
      <c r="F55" s="117"/>
      <c r="G55" s="117"/>
      <c r="H55" s="117"/>
      <c r="I55" s="117"/>
      <c r="J55" s="117">
        <f t="shared" si="70"/>
        <v>0</v>
      </c>
      <c r="K55" s="114"/>
      <c r="L55" s="114"/>
      <c r="M55" s="114"/>
      <c r="N55" s="114"/>
      <c r="O55" s="117">
        <f t="shared" si="71"/>
        <v>0</v>
      </c>
      <c r="P55" s="117">
        <f t="shared" si="72"/>
        <v>0</v>
      </c>
      <c r="Q55" s="118"/>
      <c r="R55" s="118"/>
      <c r="S55" s="117">
        <f t="shared" si="73"/>
        <v>0</v>
      </c>
      <c r="T55" s="117"/>
      <c r="U55" s="117"/>
      <c r="V55" s="117">
        <f t="shared" si="74"/>
        <v>0</v>
      </c>
      <c r="W55" s="118"/>
      <c r="X55" s="118"/>
      <c r="Y55" s="117">
        <f t="shared" si="75"/>
        <v>0</v>
      </c>
      <c r="Z55" s="117">
        <f t="shared" si="76"/>
        <v>0</v>
      </c>
      <c r="AA55" s="119">
        <f t="shared" si="89"/>
        <v>0</v>
      </c>
      <c r="AB55" s="117">
        <f t="shared" si="77"/>
        <v>0</v>
      </c>
      <c r="AC55" s="118"/>
      <c r="AD55" s="119">
        <f t="shared" si="78"/>
        <v>0</v>
      </c>
      <c r="AE55" s="118"/>
      <c r="AF55" s="118"/>
      <c r="AG55" s="118"/>
      <c r="AH55" s="118"/>
      <c r="AI55" s="241"/>
      <c r="AJ55" s="118"/>
      <c r="AK55" s="120">
        <f t="shared" si="79"/>
        <v>0</v>
      </c>
      <c r="AL55" s="121">
        <f t="shared" si="80"/>
        <v>0</v>
      </c>
      <c r="AM55" s="122"/>
      <c r="AN55" s="123">
        <f t="shared" si="81"/>
        <v>0</v>
      </c>
      <c r="AO55" s="124">
        <f t="shared" si="82"/>
        <v>0</v>
      </c>
      <c r="AP55" s="124">
        <f t="shared" si="83"/>
        <v>0</v>
      </c>
      <c r="AQ55" s="124">
        <f t="shared" si="84"/>
        <v>0</v>
      </c>
      <c r="AR55" s="124">
        <f t="shared" si="85"/>
        <v>0</v>
      </c>
      <c r="AS55" s="124">
        <f t="array" ref="AS55">_xlfn.IFS(S55=0,AL55,S55&lt;0,AL55/-S55,S55&gt;0,AL55/S55)</f>
        <v>0</v>
      </c>
      <c r="AT55" s="119">
        <f t="shared" si="86"/>
        <v>0</v>
      </c>
      <c r="AU55" s="119">
        <f t="shared" si="87"/>
        <v>0</v>
      </c>
      <c r="AV55" s="125"/>
      <c r="AW55" s="120">
        <f t="shared" si="88"/>
        <v>0</v>
      </c>
    </row>
    <row r="56" spans="1:49" hidden="1" outlineLevel="1">
      <c r="A56" s="114"/>
      <c r="B56" s="115"/>
      <c r="C56" s="115"/>
      <c r="D56" s="116"/>
      <c r="E56" s="117">
        <f t="shared" si="69"/>
        <v>0</v>
      </c>
      <c r="F56" s="117"/>
      <c r="G56" s="117"/>
      <c r="H56" s="117"/>
      <c r="I56" s="117"/>
      <c r="J56" s="117">
        <f t="shared" si="70"/>
        <v>0</v>
      </c>
      <c r="K56" s="114"/>
      <c r="L56" s="114"/>
      <c r="M56" s="114"/>
      <c r="N56" s="114"/>
      <c r="O56" s="117">
        <f t="shared" si="71"/>
        <v>0</v>
      </c>
      <c r="P56" s="117">
        <f t="shared" si="72"/>
        <v>0</v>
      </c>
      <c r="Q56" s="118"/>
      <c r="R56" s="118"/>
      <c r="S56" s="117">
        <f t="shared" si="73"/>
        <v>0</v>
      </c>
      <c r="T56" s="117"/>
      <c r="U56" s="117"/>
      <c r="V56" s="117">
        <f t="shared" si="74"/>
        <v>0</v>
      </c>
      <c r="W56" s="118"/>
      <c r="X56" s="118"/>
      <c r="Y56" s="117">
        <f t="shared" si="75"/>
        <v>0</v>
      </c>
      <c r="Z56" s="117">
        <f t="shared" si="76"/>
        <v>0</v>
      </c>
      <c r="AA56" s="119">
        <f t="shared" si="89"/>
        <v>0</v>
      </c>
      <c r="AB56" s="117">
        <f t="shared" si="77"/>
        <v>0</v>
      </c>
      <c r="AC56" s="118"/>
      <c r="AD56" s="119">
        <f t="shared" si="78"/>
        <v>0</v>
      </c>
      <c r="AE56" s="118"/>
      <c r="AF56" s="118"/>
      <c r="AG56" s="118"/>
      <c r="AH56" s="118"/>
      <c r="AI56" s="241"/>
      <c r="AJ56" s="118"/>
      <c r="AK56" s="120">
        <f t="shared" si="79"/>
        <v>0</v>
      </c>
      <c r="AL56" s="121">
        <f t="shared" si="80"/>
        <v>0</v>
      </c>
      <c r="AM56" s="122"/>
      <c r="AN56" s="123">
        <f t="shared" si="81"/>
        <v>0</v>
      </c>
      <c r="AO56" s="124">
        <f t="shared" si="82"/>
        <v>0</v>
      </c>
      <c r="AP56" s="124">
        <f t="shared" si="83"/>
        <v>0</v>
      </c>
      <c r="AQ56" s="124">
        <f t="shared" si="84"/>
        <v>0</v>
      </c>
      <c r="AR56" s="124">
        <f t="shared" si="85"/>
        <v>0</v>
      </c>
      <c r="AS56" s="124">
        <f t="array" ref="AS56">_xlfn.IFS(S56=0,AL56,S56&lt;0,AL56/-S56,S56&gt;0,AL56/S56)</f>
        <v>0</v>
      </c>
      <c r="AT56" s="119">
        <f t="shared" si="86"/>
        <v>0</v>
      </c>
      <c r="AU56" s="119">
        <f t="shared" si="87"/>
        <v>0</v>
      </c>
      <c r="AV56" s="125"/>
      <c r="AW56" s="120">
        <f t="shared" si="88"/>
        <v>0</v>
      </c>
    </row>
    <row r="57" spans="1:49" hidden="1" outlineLevel="1">
      <c r="A57" s="114"/>
      <c r="B57" s="115"/>
      <c r="C57" s="115"/>
      <c r="D57" s="116"/>
      <c r="E57" s="117">
        <f t="shared" si="69"/>
        <v>0</v>
      </c>
      <c r="F57" s="117"/>
      <c r="G57" s="117"/>
      <c r="H57" s="117"/>
      <c r="I57" s="117"/>
      <c r="J57" s="117">
        <f t="shared" si="70"/>
        <v>0</v>
      </c>
      <c r="K57" s="114"/>
      <c r="L57" s="114"/>
      <c r="M57" s="114"/>
      <c r="N57" s="114"/>
      <c r="O57" s="117">
        <f t="shared" si="71"/>
        <v>0</v>
      </c>
      <c r="P57" s="117">
        <f t="shared" si="72"/>
        <v>0</v>
      </c>
      <c r="Q57" s="118"/>
      <c r="R57" s="118"/>
      <c r="S57" s="117">
        <f t="shared" si="73"/>
        <v>0</v>
      </c>
      <c r="T57" s="117"/>
      <c r="U57" s="117"/>
      <c r="V57" s="117">
        <f t="shared" si="74"/>
        <v>0</v>
      </c>
      <c r="W57" s="118"/>
      <c r="X57" s="118"/>
      <c r="Y57" s="117">
        <f t="shared" si="75"/>
        <v>0</v>
      </c>
      <c r="Z57" s="117">
        <f t="shared" si="76"/>
        <v>0</v>
      </c>
      <c r="AA57" s="119">
        <f t="shared" si="89"/>
        <v>0</v>
      </c>
      <c r="AB57" s="117">
        <f t="shared" si="77"/>
        <v>0</v>
      </c>
      <c r="AC57" s="118"/>
      <c r="AD57" s="119">
        <f t="shared" si="78"/>
        <v>0</v>
      </c>
      <c r="AE57" s="118"/>
      <c r="AF57" s="118"/>
      <c r="AG57" s="118"/>
      <c r="AH57" s="118"/>
      <c r="AI57" s="241"/>
      <c r="AJ57" s="118"/>
      <c r="AK57" s="120">
        <f t="shared" si="79"/>
        <v>0</v>
      </c>
      <c r="AL57" s="121">
        <f t="shared" si="80"/>
        <v>0</v>
      </c>
      <c r="AM57" s="122"/>
      <c r="AN57" s="123">
        <f t="shared" si="81"/>
        <v>0</v>
      </c>
      <c r="AO57" s="124">
        <f t="shared" si="82"/>
        <v>0</v>
      </c>
      <c r="AP57" s="124">
        <f t="shared" si="83"/>
        <v>0</v>
      </c>
      <c r="AQ57" s="124">
        <f t="shared" si="84"/>
        <v>0</v>
      </c>
      <c r="AR57" s="124">
        <f t="shared" si="85"/>
        <v>0</v>
      </c>
      <c r="AS57" s="124">
        <f t="array" ref="AS57">_xlfn.IFS(S57=0,AL57,S57&lt;0,AL57/-S57,S57&gt;0,AL57/S57)</f>
        <v>0</v>
      </c>
      <c r="AT57" s="119">
        <f t="shared" si="86"/>
        <v>0</v>
      </c>
      <c r="AU57" s="119">
        <f t="shared" si="87"/>
        <v>0</v>
      </c>
      <c r="AV57" s="125"/>
      <c r="AW57" s="120">
        <f t="shared" si="88"/>
        <v>0</v>
      </c>
    </row>
    <row r="58" spans="1:49" hidden="1" outlineLevel="1">
      <c r="A58" s="114"/>
      <c r="B58" s="115"/>
      <c r="C58" s="115"/>
      <c r="D58" s="116"/>
      <c r="E58" s="117">
        <f t="shared" si="69"/>
        <v>0</v>
      </c>
      <c r="F58" s="117"/>
      <c r="G58" s="117"/>
      <c r="H58" s="117"/>
      <c r="I58" s="117"/>
      <c r="J58" s="117">
        <f t="shared" si="70"/>
        <v>0</v>
      </c>
      <c r="K58" s="114"/>
      <c r="L58" s="114"/>
      <c r="M58" s="114"/>
      <c r="N58" s="114"/>
      <c r="O58" s="117">
        <f t="shared" si="71"/>
        <v>0</v>
      </c>
      <c r="P58" s="117">
        <f t="shared" si="72"/>
        <v>0</v>
      </c>
      <c r="Q58" s="118"/>
      <c r="R58" s="118"/>
      <c r="S58" s="117">
        <f t="shared" si="73"/>
        <v>0</v>
      </c>
      <c r="T58" s="117"/>
      <c r="U58" s="117"/>
      <c r="V58" s="117">
        <f t="shared" si="74"/>
        <v>0</v>
      </c>
      <c r="W58" s="118"/>
      <c r="X58" s="118"/>
      <c r="Y58" s="117">
        <f t="shared" si="75"/>
        <v>0</v>
      </c>
      <c r="Z58" s="117">
        <f t="shared" si="76"/>
        <v>0</v>
      </c>
      <c r="AA58" s="119">
        <f t="shared" si="89"/>
        <v>0</v>
      </c>
      <c r="AB58" s="117">
        <f t="shared" si="77"/>
        <v>0</v>
      </c>
      <c r="AC58" s="118"/>
      <c r="AD58" s="119">
        <f t="shared" si="78"/>
        <v>0</v>
      </c>
      <c r="AE58" s="118"/>
      <c r="AF58" s="118"/>
      <c r="AG58" s="118"/>
      <c r="AH58" s="118"/>
      <c r="AI58" s="241"/>
      <c r="AJ58" s="118"/>
      <c r="AK58" s="120">
        <f t="shared" si="79"/>
        <v>0</v>
      </c>
      <c r="AL58" s="121">
        <f t="shared" si="80"/>
        <v>0</v>
      </c>
      <c r="AM58" s="122"/>
      <c r="AN58" s="123">
        <f t="shared" si="81"/>
        <v>0</v>
      </c>
      <c r="AO58" s="124">
        <f t="shared" si="82"/>
        <v>0</v>
      </c>
      <c r="AP58" s="124">
        <f t="shared" si="83"/>
        <v>0</v>
      </c>
      <c r="AQ58" s="124">
        <f t="shared" si="84"/>
        <v>0</v>
      </c>
      <c r="AR58" s="124">
        <f t="shared" si="85"/>
        <v>0</v>
      </c>
      <c r="AS58" s="124">
        <f t="array" ref="AS58">_xlfn.IFS(S58=0,AL58,S58&lt;0,AL58/-S58,S58&gt;0,AL58/S58)</f>
        <v>0</v>
      </c>
      <c r="AT58" s="119">
        <f t="shared" si="86"/>
        <v>0</v>
      </c>
      <c r="AU58" s="119">
        <f t="shared" si="87"/>
        <v>0</v>
      </c>
      <c r="AV58" s="125"/>
      <c r="AW58" s="120">
        <f t="shared" si="88"/>
        <v>0</v>
      </c>
    </row>
    <row r="59" spans="1:49" hidden="1" outlineLevel="1">
      <c r="A59" s="114"/>
      <c r="B59" s="115"/>
      <c r="C59" s="115"/>
      <c r="D59" s="116"/>
      <c r="E59" s="117">
        <f t="shared" si="69"/>
        <v>0</v>
      </c>
      <c r="F59" s="117"/>
      <c r="G59" s="117"/>
      <c r="H59" s="117"/>
      <c r="I59" s="117"/>
      <c r="J59" s="117">
        <f t="shared" si="70"/>
        <v>0</v>
      </c>
      <c r="K59" s="114"/>
      <c r="L59" s="114"/>
      <c r="M59" s="114"/>
      <c r="N59" s="114"/>
      <c r="O59" s="117">
        <f t="shared" si="71"/>
        <v>0</v>
      </c>
      <c r="P59" s="117">
        <f t="shared" si="72"/>
        <v>0</v>
      </c>
      <c r="Q59" s="118"/>
      <c r="R59" s="118"/>
      <c r="S59" s="117">
        <f t="shared" si="73"/>
        <v>0</v>
      </c>
      <c r="T59" s="117"/>
      <c r="U59" s="117"/>
      <c r="V59" s="117">
        <f t="shared" si="74"/>
        <v>0</v>
      </c>
      <c r="W59" s="118"/>
      <c r="X59" s="118"/>
      <c r="Y59" s="117">
        <f t="shared" si="75"/>
        <v>0</v>
      </c>
      <c r="Z59" s="117">
        <f t="shared" si="76"/>
        <v>0</v>
      </c>
      <c r="AA59" s="119">
        <f t="shared" si="89"/>
        <v>0</v>
      </c>
      <c r="AB59" s="117">
        <f t="shared" si="77"/>
        <v>0</v>
      </c>
      <c r="AC59" s="118"/>
      <c r="AD59" s="119">
        <f t="shared" si="78"/>
        <v>0</v>
      </c>
      <c r="AE59" s="118"/>
      <c r="AF59" s="118"/>
      <c r="AG59" s="118"/>
      <c r="AH59" s="118"/>
      <c r="AI59" s="241"/>
      <c r="AJ59" s="118"/>
      <c r="AK59" s="120">
        <f t="shared" si="79"/>
        <v>0</v>
      </c>
      <c r="AL59" s="121">
        <f t="shared" si="80"/>
        <v>0</v>
      </c>
      <c r="AM59" s="122"/>
      <c r="AN59" s="123">
        <f t="shared" si="81"/>
        <v>0</v>
      </c>
      <c r="AO59" s="124">
        <f t="shared" si="82"/>
        <v>0</v>
      </c>
      <c r="AP59" s="124">
        <f t="shared" si="83"/>
        <v>0</v>
      </c>
      <c r="AQ59" s="124">
        <f t="shared" si="84"/>
        <v>0</v>
      </c>
      <c r="AR59" s="124">
        <f t="shared" si="85"/>
        <v>0</v>
      </c>
      <c r="AS59" s="124">
        <f t="array" ref="AS59">_xlfn.IFS(S59=0,AL59,S59&lt;0,AL59/-S59,S59&gt;0,AL59/S59)</f>
        <v>0</v>
      </c>
      <c r="AT59" s="119">
        <f t="shared" si="86"/>
        <v>0</v>
      </c>
      <c r="AU59" s="119">
        <f t="shared" si="87"/>
        <v>0</v>
      </c>
      <c r="AV59" s="125"/>
      <c r="AW59" s="120">
        <f t="shared" si="88"/>
        <v>0</v>
      </c>
    </row>
    <row r="60" spans="1:49" hidden="1" outlineLevel="1">
      <c r="A60" s="114"/>
      <c r="B60" s="115"/>
      <c r="C60" s="115"/>
      <c r="D60" s="116"/>
      <c r="E60" s="117">
        <f t="shared" si="69"/>
        <v>0</v>
      </c>
      <c r="F60" s="117"/>
      <c r="G60" s="117"/>
      <c r="H60" s="117"/>
      <c r="I60" s="117"/>
      <c r="J60" s="117">
        <f t="shared" si="70"/>
        <v>0</v>
      </c>
      <c r="K60" s="114"/>
      <c r="L60" s="114"/>
      <c r="M60" s="114"/>
      <c r="N60" s="114"/>
      <c r="O60" s="117">
        <f t="shared" si="71"/>
        <v>0</v>
      </c>
      <c r="P60" s="117">
        <f t="shared" si="72"/>
        <v>0</v>
      </c>
      <c r="Q60" s="118"/>
      <c r="R60" s="118"/>
      <c r="S60" s="117">
        <f t="shared" si="73"/>
        <v>0</v>
      </c>
      <c r="T60" s="117"/>
      <c r="U60" s="117"/>
      <c r="V60" s="117">
        <f t="shared" si="74"/>
        <v>0</v>
      </c>
      <c r="W60" s="118"/>
      <c r="X60" s="118"/>
      <c r="Y60" s="117">
        <f t="shared" si="75"/>
        <v>0</v>
      </c>
      <c r="Z60" s="117">
        <f t="shared" si="76"/>
        <v>0</v>
      </c>
      <c r="AA60" s="119">
        <f t="shared" si="89"/>
        <v>0</v>
      </c>
      <c r="AB60" s="117">
        <f t="shared" si="77"/>
        <v>0</v>
      </c>
      <c r="AC60" s="118"/>
      <c r="AD60" s="119">
        <f t="shared" si="78"/>
        <v>0</v>
      </c>
      <c r="AE60" s="118"/>
      <c r="AF60" s="118"/>
      <c r="AG60" s="118"/>
      <c r="AH60" s="118"/>
      <c r="AI60" s="241"/>
      <c r="AJ60" s="118"/>
      <c r="AK60" s="120">
        <f t="shared" si="79"/>
        <v>0</v>
      </c>
      <c r="AL60" s="121">
        <f t="shared" si="80"/>
        <v>0</v>
      </c>
      <c r="AM60" s="122"/>
      <c r="AN60" s="123">
        <f t="shared" si="81"/>
        <v>0</v>
      </c>
      <c r="AO60" s="124">
        <f t="shared" si="82"/>
        <v>0</v>
      </c>
      <c r="AP60" s="124">
        <f t="shared" si="83"/>
        <v>0</v>
      </c>
      <c r="AQ60" s="124">
        <f t="shared" si="84"/>
        <v>0</v>
      </c>
      <c r="AR60" s="124">
        <f t="shared" si="85"/>
        <v>0</v>
      </c>
      <c r="AS60" s="124">
        <f t="array" ref="AS60">_xlfn.IFS(S60=0,AL60,S60&lt;0,AL60/-S60,S60&gt;0,AL60/S60)</f>
        <v>0</v>
      </c>
      <c r="AT60" s="119">
        <f t="shared" si="86"/>
        <v>0</v>
      </c>
      <c r="AU60" s="119">
        <f t="shared" si="87"/>
        <v>0</v>
      </c>
      <c r="AV60" s="125"/>
      <c r="AW60" s="120">
        <f t="shared" si="88"/>
        <v>0</v>
      </c>
    </row>
    <row r="61" spans="1:49" hidden="1" outlineLevel="1">
      <c r="A61" s="114"/>
      <c r="B61" s="115"/>
      <c r="C61" s="115"/>
      <c r="D61" s="116"/>
      <c r="E61" s="117">
        <f t="shared" si="69"/>
        <v>0</v>
      </c>
      <c r="F61" s="117"/>
      <c r="G61" s="117"/>
      <c r="H61" s="117"/>
      <c r="I61" s="117"/>
      <c r="J61" s="117">
        <f t="shared" si="70"/>
        <v>0</v>
      </c>
      <c r="K61" s="114"/>
      <c r="L61" s="114"/>
      <c r="M61" s="114"/>
      <c r="N61" s="114"/>
      <c r="O61" s="117">
        <f t="shared" si="71"/>
        <v>0</v>
      </c>
      <c r="P61" s="117">
        <f t="shared" si="72"/>
        <v>0</v>
      </c>
      <c r="Q61" s="118"/>
      <c r="R61" s="118"/>
      <c r="S61" s="117">
        <f t="shared" si="73"/>
        <v>0</v>
      </c>
      <c r="T61" s="117"/>
      <c r="U61" s="117"/>
      <c r="V61" s="117">
        <f t="shared" si="74"/>
        <v>0</v>
      </c>
      <c r="W61" s="118"/>
      <c r="X61" s="118"/>
      <c r="Y61" s="117">
        <f t="shared" si="75"/>
        <v>0</v>
      </c>
      <c r="Z61" s="117">
        <f t="shared" si="76"/>
        <v>0</v>
      </c>
      <c r="AA61" s="119">
        <f t="shared" si="89"/>
        <v>0</v>
      </c>
      <c r="AB61" s="117">
        <f t="shared" si="77"/>
        <v>0</v>
      </c>
      <c r="AC61" s="118"/>
      <c r="AD61" s="119">
        <f t="shared" si="78"/>
        <v>0</v>
      </c>
      <c r="AE61" s="118"/>
      <c r="AF61" s="118"/>
      <c r="AG61" s="118"/>
      <c r="AH61" s="118"/>
      <c r="AI61" s="241"/>
      <c r="AJ61" s="118"/>
      <c r="AK61" s="120">
        <f t="shared" si="79"/>
        <v>0</v>
      </c>
      <c r="AL61" s="121">
        <f t="shared" si="80"/>
        <v>0</v>
      </c>
      <c r="AM61" s="122"/>
      <c r="AN61" s="123">
        <f t="shared" si="81"/>
        <v>0</v>
      </c>
      <c r="AO61" s="124">
        <f t="shared" si="82"/>
        <v>0</v>
      </c>
      <c r="AP61" s="124">
        <f t="shared" si="83"/>
        <v>0</v>
      </c>
      <c r="AQ61" s="124">
        <f t="shared" si="84"/>
        <v>0</v>
      </c>
      <c r="AR61" s="124">
        <f t="shared" si="85"/>
        <v>0</v>
      </c>
      <c r="AS61" s="124">
        <f t="array" ref="AS61">_xlfn.IFS(S61=0,AL61,S61&lt;0,AL61/-S61,S61&gt;0,AL61/S61)</f>
        <v>0</v>
      </c>
      <c r="AT61" s="119">
        <f t="shared" si="86"/>
        <v>0</v>
      </c>
      <c r="AU61" s="119">
        <f t="shared" si="87"/>
        <v>0</v>
      </c>
      <c r="AV61" s="125"/>
      <c r="AW61" s="120">
        <f t="shared" si="88"/>
        <v>0</v>
      </c>
    </row>
    <row r="62" spans="1:49" hidden="1" outlineLevel="1">
      <c r="A62" s="114"/>
      <c r="B62" s="115"/>
      <c r="C62" s="115"/>
      <c r="D62" s="116"/>
      <c r="E62" s="117">
        <f t="shared" si="69"/>
        <v>0</v>
      </c>
      <c r="F62" s="117"/>
      <c r="G62" s="117"/>
      <c r="H62" s="117"/>
      <c r="I62" s="117"/>
      <c r="J62" s="117">
        <f t="shared" si="70"/>
        <v>0</v>
      </c>
      <c r="K62" s="114"/>
      <c r="L62" s="114"/>
      <c r="M62" s="114"/>
      <c r="N62" s="114"/>
      <c r="O62" s="117">
        <f t="shared" si="71"/>
        <v>0</v>
      </c>
      <c r="P62" s="117">
        <f t="shared" si="72"/>
        <v>0</v>
      </c>
      <c r="Q62" s="118"/>
      <c r="R62" s="118"/>
      <c r="S62" s="117">
        <f t="shared" si="73"/>
        <v>0</v>
      </c>
      <c r="T62" s="117"/>
      <c r="U62" s="117"/>
      <c r="V62" s="117">
        <f t="shared" si="74"/>
        <v>0</v>
      </c>
      <c r="W62" s="118"/>
      <c r="X62" s="118"/>
      <c r="Y62" s="117">
        <f t="shared" si="75"/>
        <v>0</v>
      </c>
      <c r="Z62" s="117">
        <f t="shared" si="76"/>
        <v>0</v>
      </c>
      <c r="AA62" s="119">
        <f t="shared" si="89"/>
        <v>0</v>
      </c>
      <c r="AB62" s="117">
        <f t="shared" si="77"/>
        <v>0</v>
      </c>
      <c r="AC62" s="118"/>
      <c r="AD62" s="119">
        <f t="shared" si="78"/>
        <v>0</v>
      </c>
      <c r="AE62" s="118"/>
      <c r="AF62" s="118"/>
      <c r="AG62" s="118"/>
      <c r="AH62" s="118"/>
      <c r="AI62" s="241"/>
      <c r="AJ62" s="118"/>
      <c r="AK62" s="120">
        <f t="shared" si="79"/>
        <v>0</v>
      </c>
      <c r="AL62" s="121">
        <f t="shared" si="80"/>
        <v>0</v>
      </c>
      <c r="AM62" s="122"/>
      <c r="AN62" s="123">
        <f t="shared" si="81"/>
        <v>0</v>
      </c>
      <c r="AO62" s="124">
        <f t="shared" si="82"/>
        <v>0</v>
      </c>
      <c r="AP62" s="124">
        <f t="shared" si="83"/>
        <v>0</v>
      </c>
      <c r="AQ62" s="124">
        <f t="shared" si="84"/>
        <v>0</v>
      </c>
      <c r="AR62" s="124">
        <f t="shared" si="85"/>
        <v>0</v>
      </c>
      <c r="AS62" s="124">
        <f t="array" ref="AS62">_xlfn.IFS(S62=0,AL62,S62&lt;0,AL62/-S62,S62&gt;0,AL62/S62)</f>
        <v>0</v>
      </c>
      <c r="AT62" s="119">
        <f t="shared" si="86"/>
        <v>0</v>
      </c>
      <c r="AU62" s="119">
        <f t="shared" si="87"/>
        <v>0</v>
      </c>
      <c r="AV62" s="125"/>
      <c r="AW62" s="120">
        <f t="shared" si="88"/>
        <v>0</v>
      </c>
    </row>
    <row r="63" spans="1:49" hidden="1" outlineLevel="1">
      <c r="A63" s="114"/>
      <c r="B63" s="115"/>
      <c r="C63" s="115"/>
      <c r="D63" s="149"/>
      <c r="E63" s="118">
        <f t="shared" si="69"/>
        <v>0</v>
      </c>
      <c r="F63" s="117"/>
      <c r="G63" s="117"/>
      <c r="H63" s="117"/>
      <c r="I63" s="117"/>
      <c r="J63" s="117">
        <f t="shared" si="70"/>
        <v>0</v>
      </c>
      <c r="K63" s="114"/>
      <c r="L63" s="114"/>
      <c r="M63" s="114"/>
      <c r="N63" s="114"/>
      <c r="O63" s="117">
        <f t="shared" si="71"/>
        <v>0</v>
      </c>
      <c r="P63" s="117">
        <f t="shared" si="72"/>
        <v>0</v>
      </c>
      <c r="Q63" s="118"/>
      <c r="R63" s="118"/>
      <c r="S63" s="117">
        <f t="shared" si="73"/>
        <v>0</v>
      </c>
      <c r="T63" s="117"/>
      <c r="U63" s="117"/>
      <c r="V63" s="117">
        <f t="shared" si="74"/>
        <v>0</v>
      </c>
      <c r="W63" s="118"/>
      <c r="X63" s="118"/>
      <c r="Y63" s="117">
        <f t="shared" si="75"/>
        <v>0</v>
      </c>
      <c r="Z63" s="117">
        <f t="shared" si="76"/>
        <v>0</v>
      </c>
      <c r="AA63" s="119">
        <f t="shared" si="89"/>
        <v>0</v>
      </c>
      <c r="AB63" s="117">
        <f t="shared" si="77"/>
        <v>0</v>
      </c>
      <c r="AC63" s="118"/>
      <c r="AD63" s="119">
        <f t="shared" si="78"/>
        <v>0</v>
      </c>
      <c r="AE63" s="118"/>
      <c r="AF63" s="118"/>
      <c r="AG63" s="118"/>
      <c r="AH63" s="118"/>
      <c r="AI63" s="241"/>
      <c r="AJ63" s="118"/>
      <c r="AK63" s="120">
        <f t="shared" si="79"/>
        <v>0</v>
      </c>
      <c r="AL63" s="121">
        <f t="shared" si="80"/>
        <v>0</v>
      </c>
      <c r="AM63" s="122"/>
      <c r="AN63" s="123">
        <f t="shared" si="81"/>
        <v>0</v>
      </c>
      <c r="AO63" s="124">
        <f t="shared" si="82"/>
        <v>0</v>
      </c>
      <c r="AP63" s="124">
        <f t="shared" si="83"/>
        <v>0</v>
      </c>
      <c r="AQ63" s="124">
        <f t="shared" si="84"/>
        <v>0</v>
      </c>
      <c r="AR63" s="124">
        <f t="shared" si="85"/>
        <v>0</v>
      </c>
      <c r="AS63" s="124">
        <f t="array" ref="AS63">_xlfn.IFS(S63=0,AL63,S63&lt;0,AL63/-S63,S63&gt;0,AL63/S63)</f>
        <v>0</v>
      </c>
      <c r="AT63" s="119">
        <f t="shared" si="86"/>
        <v>0</v>
      </c>
      <c r="AU63" s="119">
        <f t="shared" si="87"/>
        <v>0</v>
      </c>
      <c r="AV63" s="125"/>
      <c r="AW63" s="120">
        <f t="shared" si="88"/>
        <v>0</v>
      </c>
    </row>
    <row r="64" spans="1:49" hidden="1" outlineLevel="1">
      <c r="A64" s="114"/>
      <c r="B64" s="115"/>
      <c r="C64" s="115"/>
      <c r="D64" s="149"/>
      <c r="E64" s="118">
        <f t="shared" si="69"/>
        <v>0</v>
      </c>
      <c r="F64" s="117"/>
      <c r="G64" s="117"/>
      <c r="H64" s="117"/>
      <c r="I64" s="117"/>
      <c r="J64" s="117">
        <f t="shared" si="70"/>
        <v>0</v>
      </c>
      <c r="K64" s="114"/>
      <c r="L64" s="114"/>
      <c r="M64" s="114"/>
      <c r="N64" s="114"/>
      <c r="O64" s="117">
        <f t="shared" si="71"/>
        <v>0</v>
      </c>
      <c r="P64" s="117">
        <f t="shared" si="72"/>
        <v>0</v>
      </c>
      <c r="Q64" s="118"/>
      <c r="R64" s="118"/>
      <c r="S64" s="117">
        <f t="shared" si="73"/>
        <v>0</v>
      </c>
      <c r="T64" s="117"/>
      <c r="U64" s="117"/>
      <c r="V64" s="117">
        <f t="shared" si="74"/>
        <v>0</v>
      </c>
      <c r="W64" s="118"/>
      <c r="X64" s="118"/>
      <c r="Y64" s="117">
        <f t="shared" si="75"/>
        <v>0</v>
      </c>
      <c r="Z64" s="117">
        <f t="shared" si="76"/>
        <v>0</v>
      </c>
      <c r="AA64" s="119">
        <f t="shared" si="89"/>
        <v>0</v>
      </c>
      <c r="AB64" s="117">
        <f t="shared" si="77"/>
        <v>0</v>
      </c>
      <c r="AC64" s="118"/>
      <c r="AD64" s="119">
        <f t="shared" si="78"/>
        <v>0</v>
      </c>
      <c r="AE64" s="118"/>
      <c r="AF64" s="118"/>
      <c r="AG64" s="118"/>
      <c r="AH64" s="118"/>
      <c r="AI64" s="241"/>
      <c r="AJ64" s="118"/>
      <c r="AK64" s="120">
        <f t="shared" si="79"/>
        <v>0</v>
      </c>
      <c r="AL64" s="121">
        <f t="shared" si="80"/>
        <v>0</v>
      </c>
      <c r="AM64" s="122"/>
      <c r="AN64" s="123">
        <f t="shared" si="81"/>
        <v>0</v>
      </c>
      <c r="AO64" s="124">
        <f t="shared" si="82"/>
        <v>0</v>
      </c>
      <c r="AP64" s="124">
        <f t="shared" si="83"/>
        <v>0</v>
      </c>
      <c r="AQ64" s="124">
        <f t="shared" si="84"/>
        <v>0</v>
      </c>
      <c r="AR64" s="124">
        <f t="shared" si="85"/>
        <v>0</v>
      </c>
      <c r="AS64" s="124">
        <f t="array" ref="AS64">_xlfn.IFS(S64=0,AL64,S64&lt;0,AL64/-S64,S64&gt;0,AL64/S64)</f>
        <v>0</v>
      </c>
      <c r="AT64" s="119">
        <f t="shared" si="86"/>
        <v>0</v>
      </c>
      <c r="AU64" s="119">
        <f t="shared" si="87"/>
        <v>0</v>
      </c>
      <c r="AV64" s="125"/>
      <c r="AW64" s="120">
        <f t="shared" si="88"/>
        <v>0</v>
      </c>
    </row>
    <row r="65" spans="1:49" hidden="1" outlineLevel="1">
      <c r="A65" s="114"/>
      <c r="B65" s="115"/>
      <c r="C65" s="115"/>
      <c r="D65" s="149"/>
      <c r="E65" s="118">
        <f t="shared" si="69"/>
        <v>0</v>
      </c>
      <c r="F65" s="117"/>
      <c r="G65" s="117"/>
      <c r="H65" s="117"/>
      <c r="I65" s="117"/>
      <c r="J65" s="117">
        <f t="shared" si="70"/>
        <v>0</v>
      </c>
      <c r="K65" s="114"/>
      <c r="L65" s="114"/>
      <c r="M65" s="114"/>
      <c r="N65" s="114"/>
      <c r="O65" s="117">
        <f t="shared" si="71"/>
        <v>0</v>
      </c>
      <c r="P65" s="117">
        <f t="shared" si="72"/>
        <v>0</v>
      </c>
      <c r="Q65" s="118"/>
      <c r="R65" s="118"/>
      <c r="S65" s="117">
        <f t="shared" si="73"/>
        <v>0</v>
      </c>
      <c r="T65" s="117"/>
      <c r="U65" s="117"/>
      <c r="V65" s="117">
        <f t="shared" si="74"/>
        <v>0</v>
      </c>
      <c r="W65" s="118"/>
      <c r="X65" s="118"/>
      <c r="Y65" s="117">
        <f t="shared" si="75"/>
        <v>0</v>
      </c>
      <c r="Z65" s="117">
        <f t="shared" si="76"/>
        <v>0</v>
      </c>
      <c r="AA65" s="119">
        <f t="shared" si="89"/>
        <v>0</v>
      </c>
      <c r="AB65" s="117">
        <f t="shared" si="77"/>
        <v>0</v>
      </c>
      <c r="AC65" s="118"/>
      <c r="AD65" s="119">
        <f t="shared" si="78"/>
        <v>0</v>
      </c>
      <c r="AE65" s="118"/>
      <c r="AF65" s="118"/>
      <c r="AG65" s="118"/>
      <c r="AH65" s="118"/>
      <c r="AI65" s="241"/>
      <c r="AJ65" s="118"/>
      <c r="AK65" s="120">
        <f t="shared" si="79"/>
        <v>0</v>
      </c>
      <c r="AL65" s="121">
        <f t="shared" si="80"/>
        <v>0</v>
      </c>
      <c r="AM65" s="122"/>
      <c r="AN65" s="123">
        <f t="shared" si="81"/>
        <v>0</v>
      </c>
      <c r="AO65" s="124">
        <f t="shared" si="82"/>
        <v>0</v>
      </c>
      <c r="AP65" s="124">
        <f t="shared" si="83"/>
        <v>0</v>
      </c>
      <c r="AQ65" s="124">
        <f t="shared" si="84"/>
        <v>0</v>
      </c>
      <c r="AR65" s="124">
        <f t="shared" si="85"/>
        <v>0</v>
      </c>
      <c r="AS65" s="124">
        <f t="array" ref="AS65">_xlfn.IFS(S65=0,AL65,S65&lt;0,AL65/-S65,S65&gt;0,AL65/S65)</f>
        <v>0</v>
      </c>
      <c r="AT65" s="119">
        <f t="shared" si="86"/>
        <v>0</v>
      </c>
      <c r="AU65" s="119">
        <f t="shared" si="87"/>
        <v>0</v>
      </c>
      <c r="AV65" s="125"/>
      <c r="AW65" s="120">
        <f t="shared" si="88"/>
        <v>0</v>
      </c>
    </row>
    <row r="66" spans="1:49" hidden="1" outlineLevel="1">
      <c r="A66" s="114"/>
      <c r="B66" s="115"/>
      <c r="C66" s="115"/>
      <c r="D66" s="116"/>
      <c r="E66" s="117">
        <f t="shared" si="69"/>
        <v>0</v>
      </c>
      <c r="F66" s="117"/>
      <c r="G66" s="117"/>
      <c r="H66" s="117"/>
      <c r="I66" s="117"/>
      <c r="J66" s="117">
        <f t="shared" si="70"/>
        <v>0</v>
      </c>
      <c r="K66" s="114"/>
      <c r="L66" s="114"/>
      <c r="M66" s="114"/>
      <c r="N66" s="114"/>
      <c r="O66" s="117">
        <f t="shared" si="71"/>
        <v>0</v>
      </c>
      <c r="P66" s="117">
        <f t="shared" si="72"/>
        <v>0</v>
      </c>
      <c r="Q66" s="118"/>
      <c r="R66" s="118"/>
      <c r="S66" s="117">
        <f t="shared" si="73"/>
        <v>0</v>
      </c>
      <c r="T66" s="117"/>
      <c r="U66" s="117"/>
      <c r="V66" s="117">
        <f t="shared" si="74"/>
        <v>0</v>
      </c>
      <c r="W66" s="118"/>
      <c r="X66" s="118"/>
      <c r="Y66" s="117">
        <f t="shared" si="75"/>
        <v>0</v>
      </c>
      <c r="Z66" s="117">
        <f t="shared" si="76"/>
        <v>0</v>
      </c>
      <c r="AA66" s="119">
        <f t="shared" si="89"/>
        <v>0</v>
      </c>
      <c r="AB66" s="117">
        <f t="shared" si="77"/>
        <v>0</v>
      </c>
      <c r="AC66" s="118"/>
      <c r="AD66" s="119">
        <f t="shared" si="78"/>
        <v>0</v>
      </c>
      <c r="AE66" s="118"/>
      <c r="AF66" s="118"/>
      <c r="AG66" s="118"/>
      <c r="AH66" s="118"/>
      <c r="AI66" s="241"/>
      <c r="AJ66" s="118"/>
      <c r="AK66" s="120">
        <f t="shared" si="79"/>
        <v>0</v>
      </c>
      <c r="AL66" s="121">
        <f t="shared" si="80"/>
        <v>0</v>
      </c>
      <c r="AM66" s="122"/>
      <c r="AN66" s="123">
        <f t="shared" si="81"/>
        <v>0</v>
      </c>
      <c r="AO66" s="124">
        <f t="shared" si="82"/>
        <v>0</v>
      </c>
      <c r="AP66" s="124">
        <f t="shared" si="83"/>
        <v>0</v>
      </c>
      <c r="AQ66" s="124">
        <f t="shared" si="84"/>
        <v>0</v>
      </c>
      <c r="AR66" s="124">
        <f t="shared" si="85"/>
        <v>0</v>
      </c>
      <c r="AS66" s="124">
        <f t="array" ref="AS66">_xlfn.IFS(S66=0,AL66,S66&lt;0,AL66/-S66,S66&gt;0,AL66/S66)</f>
        <v>0</v>
      </c>
      <c r="AT66" s="119">
        <f t="shared" si="86"/>
        <v>0</v>
      </c>
      <c r="AU66" s="119">
        <f t="shared" si="87"/>
        <v>0</v>
      </c>
      <c r="AV66" s="125"/>
      <c r="AW66" s="120">
        <f t="shared" si="88"/>
        <v>0</v>
      </c>
    </row>
    <row r="67" spans="1:49" hidden="1" outlineLevel="1">
      <c r="A67" s="114"/>
      <c r="B67" s="115"/>
      <c r="C67" s="115"/>
      <c r="D67" s="116"/>
      <c r="E67" s="117">
        <f t="shared" si="69"/>
        <v>0</v>
      </c>
      <c r="F67" s="117"/>
      <c r="G67" s="117"/>
      <c r="H67" s="117"/>
      <c r="I67" s="117"/>
      <c r="J67" s="117">
        <f t="shared" si="70"/>
        <v>0</v>
      </c>
      <c r="K67" s="114"/>
      <c r="L67" s="114"/>
      <c r="M67" s="114"/>
      <c r="N67" s="114"/>
      <c r="O67" s="117">
        <f t="shared" si="71"/>
        <v>0</v>
      </c>
      <c r="P67" s="117">
        <f t="shared" si="72"/>
        <v>0</v>
      </c>
      <c r="Q67" s="118"/>
      <c r="R67" s="118"/>
      <c r="S67" s="117">
        <f t="shared" si="73"/>
        <v>0</v>
      </c>
      <c r="T67" s="117"/>
      <c r="U67" s="117"/>
      <c r="V67" s="117">
        <f t="shared" si="74"/>
        <v>0</v>
      </c>
      <c r="W67" s="118"/>
      <c r="X67" s="118"/>
      <c r="Y67" s="117">
        <f t="shared" si="75"/>
        <v>0</v>
      </c>
      <c r="Z67" s="117">
        <f t="shared" si="76"/>
        <v>0</v>
      </c>
      <c r="AA67" s="119">
        <f t="shared" si="89"/>
        <v>0</v>
      </c>
      <c r="AB67" s="117">
        <f t="shared" si="77"/>
        <v>0</v>
      </c>
      <c r="AC67" s="118"/>
      <c r="AD67" s="119">
        <f t="shared" si="78"/>
        <v>0</v>
      </c>
      <c r="AE67" s="118"/>
      <c r="AF67" s="118"/>
      <c r="AG67" s="118"/>
      <c r="AH67" s="118"/>
      <c r="AI67" s="241"/>
      <c r="AJ67" s="118"/>
      <c r="AK67" s="120">
        <f t="shared" si="79"/>
        <v>0</v>
      </c>
      <c r="AL67" s="121">
        <f t="shared" si="80"/>
        <v>0</v>
      </c>
      <c r="AM67" s="122"/>
      <c r="AN67" s="123">
        <f t="shared" si="81"/>
        <v>0</v>
      </c>
      <c r="AO67" s="124">
        <f t="shared" si="82"/>
        <v>0</v>
      </c>
      <c r="AP67" s="124">
        <f t="shared" si="83"/>
        <v>0</v>
      </c>
      <c r="AQ67" s="124">
        <f t="shared" si="84"/>
        <v>0</v>
      </c>
      <c r="AR67" s="124">
        <f t="shared" si="85"/>
        <v>0</v>
      </c>
      <c r="AS67" s="124">
        <f t="array" ref="AS67">_xlfn.IFS(S67=0,AL67,S67&lt;0,AL67/-S67,S67&gt;0,AL67/S67)</f>
        <v>0</v>
      </c>
      <c r="AT67" s="119">
        <f t="shared" si="86"/>
        <v>0</v>
      </c>
      <c r="AU67" s="119">
        <f t="shared" si="87"/>
        <v>0</v>
      </c>
      <c r="AV67" s="125"/>
      <c r="AW67" s="120">
        <f t="shared" si="88"/>
        <v>0</v>
      </c>
    </row>
    <row r="68" spans="1:49" hidden="1" outlineLevel="1">
      <c r="A68" s="114"/>
      <c r="B68" s="115"/>
      <c r="C68" s="115"/>
      <c r="D68" s="116"/>
      <c r="E68" s="117">
        <f t="shared" si="69"/>
        <v>0</v>
      </c>
      <c r="F68" s="117"/>
      <c r="G68" s="117"/>
      <c r="H68" s="117"/>
      <c r="I68" s="117"/>
      <c r="J68" s="117">
        <f t="shared" si="70"/>
        <v>0</v>
      </c>
      <c r="K68" s="114"/>
      <c r="L68" s="114"/>
      <c r="M68" s="114"/>
      <c r="N68" s="114"/>
      <c r="O68" s="117">
        <f t="shared" si="71"/>
        <v>0</v>
      </c>
      <c r="P68" s="117">
        <f t="shared" si="72"/>
        <v>0</v>
      </c>
      <c r="Q68" s="118"/>
      <c r="R68" s="118"/>
      <c r="S68" s="117">
        <f t="shared" si="73"/>
        <v>0</v>
      </c>
      <c r="T68" s="117"/>
      <c r="U68" s="117"/>
      <c r="V68" s="117">
        <f t="shared" si="74"/>
        <v>0</v>
      </c>
      <c r="W68" s="118"/>
      <c r="X68" s="118"/>
      <c r="Y68" s="117">
        <f t="shared" si="75"/>
        <v>0</v>
      </c>
      <c r="Z68" s="117">
        <f t="shared" si="76"/>
        <v>0</v>
      </c>
      <c r="AA68" s="119">
        <f t="shared" si="89"/>
        <v>0</v>
      </c>
      <c r="AB68" s="117">
        <f t="shared" si="77"/>
        <v>0</v>
      </c>
      <c r="AC68" s="118"/>
      <c r="AD68" s="119">
        <f t="shared" si="78"/>
        <v>0</v>
      </c>
      <c r="AE68" s="118"/>
      <c r="AF68" s="118"/>
      <c r="AG68" s="118"/>
      <c r="AH68" s="118"/>
      <c r="AI68" s="241"/>
      <c r="AJ68" s="118"/>
      <c r="AK68" s="120">
        <f t="shared" si="79"/>
        <v>0</v>
      </c>
      <c r="AL68" s="121">
        <f t="shared" si="80"/>
        <v>0</v>
      </c>
      <c r="AM68" s="122"/>
      <c r="AN68" s="123">
        <f t="shared" si="81"/>
        <v>0</v>
      </c>
      <c r="AO68" s="124">
        <f t="shared" si="82"/>
        <v>0</v>
      </c>
      <c r="AP68" s="124">
        <f t="shared" si="83"/>
        <v>0</v>
      </c>
      <c r="AQ68" s="124">
        <f t="shared" si="84"/>
        <v>0</v>
      </c>
      <c r="AR68" s="124">
        <f t="shared" si="85"/>
        <v>0</v>
      </c>
      <c r="AS68" s="124">
        <f t="array" ref="AS68">_xlfn.IFS(S68=0,AL68,S68&lt;0,AL68/-S68,S68&gt;0,AL68/S68)</f>
        <v>0</v>
      </c>
      <c r="AT68" s="119">
        <f t="shared" si="86"/>
        <v>0</v>
      </c>
      <c r="AU68" s="119">
        <f t="shared" si="87"/>
        <v>0</v>
      </c>
      <c r="AV68" s="125"/>
      <c r="AW68" s="120">
        <f t="shared" si="88"/>
        <v>0</v>
      </c>
    </row>
    <row r="69" spans="1:49" hidden="1" outlineLevel="1">
      <c r="A69" s="114"/>
      <c r="B69" s="115"/>
      <c r="C69" s="115"/>
      <c r="D69" s="116"/>
      <c r="E69" s="117">
        <f t="shared" si="69"/>
        <v>0</v>
      </c>
      <c r="F69" s="117"/>
      <c r="G69" s="117"/>
      <c r="H69" s="117"/>
      <c r="I69" s="117"/>
      <c r="J69" s="117">
        <f t="shared" si="70"/>
        <v>0</v>
      </c>
      <c r="K69" s="114"/>
      <c r="L69" s="114"/>
      <c r="M69" s="114"/>
      <c r="N69" s="114"/>
      <c r="O69" s="117">
        <f t="shared" si="71"/>
        <v>0</v>
      </c>
      <c r="P69" s="117">
        <f t="shared" si="72"/>
        <v>0</v>
      </c>
      <c r="Q69" s="118"/>
      <c r="R69" s="118"/>
      <c r="S69" s="117">
        <f t="shared" si="73"/>
        <v>0</v>
      </c>
      <c r="T69" s="117"/>
      <c r="U69" s="117"/>
      <c r="V69" s="117">
        <f t="shared" si="74"/>
        <v>0</v>
      </c>
      <c r="W69" s="118"/>
      <c r="X69" s="118"/>
      <c r="Y69" s="117">
        <f t="shared" si="75"/>
        <v>0</v>
      </c>
      <c r="Z69" s="117">
        <f t="shared" si="76"/>
        <v>0</v>
      </c>
      <c r="AA69" s="119">
        <f t="shared" si="89"/>
        <v>0</v>
      </c>
      <c r="AB69" s="117">
        <f t="shared" si="77"/>
        <v>0</v>
      </c>
      <c r="AC69" s="118"/>
      <c r="AD69" s="119">
        <f t="shared" si="78"/>
        <v>0</v>
      </c>
      <c r="AE69" s="118"/>
      <c r="AF69" s="118"/>
      <c r="AG69" s="118"/>
      <c r="AH69" s="118"/>
      <c r="AI69" s="241"/>
      <c r="AJ69" s="118"/>
      <c r="AK69" s="120">
        <f t="shared" si="79"/>
        <v>0</v>
      </c>
      <c r="AL69" s="121">
        <f t="shared" si="80"/>
        <v>0</v>
      </c>
      <c r="AM69" s="122"/>
      <c r="AN69" s="123">
        <f t="shared" si="81"/>
        <v>0</v>
      </c>
      <c r="AO69" s="124">
        <f t="shared" si="82"/>
        <v>0</v>
      </c>
      <c r="AP69" s="124">
        <f t="shared" si="83"/>
        <v>0</v>
      </c>
      <c r="AQ69" s="124">
        <f t="shared" si="84"/>
        <v>0</v>
      </c>
      <c r="AR69" s="124">
        <f t="shared" si="85"/>
        <v>0</v>
      </c>
      <c r="AS69" s="124">
        <f t="array" ref="AS69">_xlfn.IFS(S69=0,AL69,S69&lt;0,AL69/-S69,S69&gt;0,AL69/S69)</f>
        <v>0</v>
      </c>
      <c r="AT69" s="119">
        <f t="shared" si="86"/>
        <v>0</v>
      </c>
      <c r="AU69" s="119">
        <f t="shared" si="87"/>
        <v>0</v>
      </c>
      <c r="AV69" s="125"/>
      <c r="AW69" s="120">
        <f t="shared" si="88"/>
        <v>0</v>
      </c>
    </row>
    <row r="70" spans="1:49" hidden="1" outlineLevel="1">
      <c r="A70" s="114"/>
      <c r="B70" s="115"/>
      <c r="C70" s="115"/>
      <c r="D70" s="116"/>
      <c r="E70" s="117">
        <f t="shared" ref="E70:E89" si="90">SUM(F70:H70)</f>
        <v>0</v>
      </c>
      <c r="F70" s="117"/>
      <c r="G70" s="117"/>
      <c r="H70" s="117"/>
      <c r="I70" s="117"/>
      <c r="J70" s="117">
        <f t="shared" si="70"/>
        <v>0</v>
      </c>
      <c r="K70" s="114"/>
      <c r="L70" s="114"/>
      <c r="M70" s="114"/>
      <c r="N70" s="114"/>
      <c r="O70" s="117">
        <f t="shared" si="71"/>
        <v>0</v>
      </c>
      <c r="P70" s="117">
        <f t="shared" si="72"/>
        <v>0</v>
      </c>
      <c r="Q70" s="118"/>
      <c r="R70" s="118"/>
      <c r="S70" s="117">
        <f t="shared" si="73"/>
        <v>0</v>
      </c>
      <c r="T70" s="117"/>
      <c r="U70" s="117"/>
      <c r="V70" s="117">
        <f t="shared" si="74"/>
        <v>0</v>
      </c>
      <c r="W70" s="118"/>
      <c r="X70" s="118"/>
      <c r="Y70" s="117">
        <f t="shared" si="75"/>
        <v>0</v>
      </c>
      <c r="Z70" s="117">
        <f t="shared" si="76"/>
        <v>0</v>
      </c>
      <c r="AA70" s="119">
        <f t="shared" si="89"/>
        <v>0</v>
      </c>
      <c r="AB70" s="117">
        <f t="shared" si="77"/>
        <v>0</v>
      </c>
      <c r="AC70" s="118"/>
      <c r="AD70" s="119">
        <f t="shared" si="78"/>
        <v>0</v>
      </c>
      <c r="AE70" s="118"/>
      <c r="AF70" s="118"/>
      <c r="AG70" s="118"/>
      <c r="AH70" s="118"/>
      <c r="AI70" s="241"/>
      <c r="AJ70" s="118"/>
      <c r="AK70" s="120">
        <f t="shared" si="79"/>
        <v>0</v>
      </c>
      <c r="AL70" s="121">
        <f t="shared" si="80"/>
        <v>0</v>
      </c>
      <c r="AM70" s="122"/>
      <c r="AN70" s="123">
        <f t="shared" si="81"/>
        <v>0</v>
      </c>
      <c r="AO70" s="124">
        <f t="shared" si="82"/>
        <v>0</v>
      </c>
      <c r="AP70" s="124">
        <f t="shared" si="83"/>
        <v>0</v>
      </c>
      <c r="AQ70" s="124">
        <f t="shared" si="84"/>
        <v>0</v>
      </c>
      <c r="AR70" s="124">
        <f t="shared" si="85"/>
        <v>0</v>
      </c>
      <c r="AS70" s="124">
        <f t="array" ref="AS70">_xlfn.IFS(S70=0,AL70,S70&lt;0,AL70/-S70,S70&gt;0,AL70/S70)</f>
        <v>0</v>
      </c>
      <c r="AT70" s="119">
        <f t="shared" si="86"/>
        <v>0</v>
      </c>
      <c r="AU70" s="119">
        <f t="shared" si="87"/>
        <v>0</v>
      </c>
      <c r="AV70" s="125"/>
      <c r="AW70" s="120">
        <f t="shared" si="88"/>
        <v>0</v>
      </c>
    </row>
    <row r="71" spans="1:49" hidden="1" outlineLevel="1">
      <c r="A71" s="114"/>
      <c r="B71" s="115"/>
      <c r="C71" s="115"/>
      <c r="D71" s="116"/>
      <c r="E71" s="117">
        <f t="shared" si="90"/>
        <v>0</v>
      </c>
      <c r="F71" s="117"/>
      <c r="G71" s="117"/>
      <c r="H71" s="117"/>
      <c r="I71" s="117"/>
      <c r="J71" s="117">
        <f t="shared" si="70"/>
        <v>0</v>
      </c>
      <c r="K71" s="114"/>
      <c r="L71" s="114"/>
      <c r="M71" s="114"/>
      <c r="N71" s="114"/>
      <c r="O71" s="117">
        <f t="shared" si="71"/>
        <v>0</v>
      </c>
      <c r="P71" s="117">
        <f t="shared" si="72"/>
        <v>0</v>
      </c>
      <c r="Q71" s="118"/>
      <c r="R71" s="118"/>
      <c r="S71" s="117">
        <f t="shared" si="73"/>
        <v>0</v>
      </c>
      <c r="T71" s="117"/>
      <c r="U71" s="117"/>
      <c r="V71" s="117">
        <f t="shared" si="74"/>
        <v>0</v>
      </c>
      <c r="W71" s="118"/>
      <c r="X71" s="118"/>
      <c r="Y71" s="117">
        <f t="shared" si="75"/>
        <v>0</v>
      </c>
      <c r="Z71" s="117">
        <f t="shared" si="76"/>
        <v>0</v>
      </c>
      <c r="AA71" s="119">
        <f t="shared" si="89"/>
        <v>0</v>
      </c>
      <c r="AB71" s="117">
        <f t="shared" si="77"/>
        <v>0</v>
      </c>
      <c r="AC71" s="118"/>
      <c r="AD71" s="119">
        <f t="shared" si="78"/>
        <v>0</v>
      </c>
      <c r="AE71" s="118"/>
      <c r="AF71" s="118"/>
      <c r="AG71" s="118"/>
      <c r="AH71" s="118"/>
      <c r="AI71" s="241"/>
      <c r="AJ71" s="118"/>
      <c r="AK71" s="120">
        <f t="shared" si="79"/>
        <v>0</v>
      </c>
      <c r="AL71" s="121">
        <f t="shared" si="80"/>
        <v>0</v>
      </c>
      <c r="AM71" s="122"/>
      <c r="AN71" s="123">
        <f t="shared" si="81"/>
        <v>0</v>
      </c>
      <c r="AO71" s="124">
        <f t="shared" si="82"/>
        <v>0</v>
      </c>
      <c r="AP71" s="124">
        <f t="shared" si="83"/>
        <v>0</v>
      </c>
      <c r="AQ71" s="124">
        <f t="shared" si="84"/>
        <v>0</v>
      </c>
      <c r="AR71" s="124">
        <f t="shared" si="85"/>
        <v>0</v>
      </c>
      <c r="AS71" s="124">
        <f t="array" ref="AS71">_xlfn.IFS(S71=0,AL71,S71&lt;0,AL71/-S71,S71&gt;0,AL71/S71)</f>
        <v>0</v>
      </c>
      <c r="AT71" s="119">
        <f t="shared" si="86"/>
        <v>0</v>
      </c>
      <c r="AU71" s="119">
        <f t="shared" si="87"/>
        <v>0</v>
      </c>
      <c r="AV71" s="125"/>
      <c r="AW71" s="120">
        <f t="shared" si="88"/>
        <v>0</v>
      </c>
    </row>
    <row r="72" spans="1:49" hidden="1" outlineLevel="1">
      <c r="A72" s="114"/>
      <c r="B72" s="115"/>
      <c r="C72" s="115"/>
      <c r="D72" s="116"/>
      <c r="E72" s="117">
        <f t="shared" si="90"/>
        <v>0</v>
      </c>
      <c r="F72" s="117"/>
      <c r="G72" s="117"/>
      <c r="H72" s="117"/>
      <c r="I72" s="117"/>
      <c r="J72" s="117">
        <f t="shared" si="70"/>
        <v>0</v>
      </c>
      <c r="K72" s="114"/>
      <c r="L72" s="114"/>
      <c r="M72" s="114"/>
      <c r="N72" s="114"/>
      <c r="O72" s="117">
        <f t="shared" si="71"/>
        <v>0</v>
      </c>
      <c r="P72" s="117">
        <f t="shared" si="72"/>
        <v>0</v>
      </c>
      <c r="Q72" s="118"/>
      <c r="R72" s="118"/>
      <c r="S72" s="117">
        <f t="shared" si="73"/>
        <v>0</v>
      </c>
      <c r="T72" s="117"/>
      <c r="U72" s="117"/>
      <c r="V72" s="117">
        <f t="shared" si="74"/>
        <v>0</v>
      </c>
      <c r="W72" s="118"/>
      <c r="X72" s="118"/>
      <c r="Y72" s="117">
        <f t="shared" si="75"/>
        <v>0</v>
      </c>
      <c r="Z72" s="117">
        <f t="shared" si="76"/>
        <v>0</v>
      </c>
      <c r="AA72" s="119">
        <f t="shared" si="89"/>
        <v>0</v>
      </c>
      <c r="AB72" s="117">
        <f t="shared" si="77"/>
        <v>0</v>
      </c>
      <c r="AC72" s="118"/>
      <c r="AD72" s="119">
        <f t="shared" si="78"/>
        <v>0</v>
      </c>
      <c r="AE72" s="118"/>
      <c r="AF72" s="118"/>
      <c r="AG72" s="118"/>
      <c r="AH72" s="118"/>
      <c r="AI72" s="241"/>
      <c r="AJ72" s="118"/>
      <c r="AK72" s="120">
        <f t="shared" si="79"/>
        <v>0</v>
      </c>
      <c r="AL72" s="121">
        <f t="shared" si="80"/>
        <v>0</v>
      </c>
      <c r="AM72" s="122"/>
      <c r="AN72" s="123">
        <f t="shared" si="81"/>
        <v>0</v>
      </c>
      <c r="AO72" s="124">
        <f t="shared" si="82"/>
        <v>0</v>
      </c>
      <c r="AP72" s="124">
        <f t="shared" si="83"/>
        <v>0</v>
      </c>
      <c r="AQ72" s="124">
        <f t="shared" si="84"/>
        <v>0</v>
      </c>
      <c r="AR72" s="124">
        <f t="shared" si="85"/>
        <v>0</v>
      </c>
      <c r="AS72" s="124">
        <f t="array" ref="AS72">_xlfn.IFS(S72=0,AL72,S72&lt;0,AL72/-S72,S72&gt;0,AL72/S72)</f>
        <v>0</v>
      </c>
      <c r="AT72" s="119">
        <f t="shared" si="86"/>
        <v>0</v>
      </c>
      <c r="AU72" s="119">
        <f t="shared" si="87"/>
        <v>0</v>
      </c>
      <c r="AV72" s="125"/>
      <c r="AW72" s="120">
        <f t="shared" si="88"/>
        <v>0</v>
      </c>
    </row>
    <row r="73" spans="1:49" hidden="1" outlineLevel="1">
      <c r="A73" s="114"/>
      <c r="B73" s="115"/>
      <c r="C73" s="115"/>
      <c r="D73" s="116"/>
      <c r="E73" s="117">
        <f t="shared" si="90"/>
        <v>0</v>
      </c>
      <c r="F73" s="117"/>
      <c r="G73" s="117"/>
      <c r="H73" s="117"/>
      <c r="I73" s="117"/>
      <c r="J73" s="117">
        <f t="shared" si="70"/>
        <v>0</v>
      </c>
      <c r="K73" s="114"/>
      <c r="L73" s="114"/>
      <c r="M73" s="114"/>
      <c r="N73" s="114"/>
      <c r="O73" s="117">
        <f t="shared" si="71"/>
        <v>0</v>
      </c>
      <c r="P73" s="117">
        <f t="shared" si="72"/>
        <v>0</v>
      </c>
      <c r="Q73" s="118"/>
      <c r="R73" s="118"/>
      <c r="S73" s="117">
        <f t="shared" si="73"/>
        <v>0</v>
      </c>
      <c r="T73" s="117"/>
      <c r="U73" s="117"/>
      <c r="V73" s="117">
        <f t="shared" si="74"/>
        <v>0</v>
      </c>
      <c r="W73" s="118"/>
      <c r="X73" s="118"/>
      <c r="Y73" s="117">
        <f t="shared" si="75"/>
        <v>0</v>
      </c>
      <c r="Z73" s="117">
        <f t="shared" si="76"/>
        <v>0</v>
      </c>
      <c r="AA73" s="119">
        <f t="shared" si="89"/>
        <v>0</v>
      </c>
      <c r="AB73" s="117">
        <f t="shared" si="77"/>
        <v>0</v>
      </c>
      <c r="AC73" s="118"/>
      <c r="AD73" s="119">
        <f t="shared" si="78"/>
        <v>0</v>
      </c>
      <c r="AE73" s="118"/>
      <c r="AF73" s="118"/>
      <c r="AG73" s="118"/>
      <c r="AH73" s="118"/>
      <c r="AI73" s="241"/>
      <c r="AJ73" s="118"/>
      <c r="AK73" s="120">
        <f t="shared" si="79"/>
        <v>0</v>
      </c>
      <c r="AL73" s="121">
        <f t="shared" si="80"/>
        <v>0</v>
      </c>
      <c r="AM73" s="122"/>
      <c r="AN73" s="123">
        <f t="shared" si="81"/>
        <v>0</v>
      </c>
      <c r="AO73" s="124">
        <f t="shared" si="82"/>
        <v>0</v>
      </c>
      <c r="AP73" s="124">
        <f t="shared" si="83"/>
        <v>0</v>
      </c>
      <c r="AQ73" s="124">
        <f t="shared" si="84"/>
        <v>0</v>
      </c>
      <c r="AR73" s="124">
        <f t="shared" si="85"/>
        <v>0</v>
      </c>
      <c r="AS73" s="124">
        <f t="array" ref="AS73">_xlfn.IFS(S73=0,AL73,S73&lt;0,AL73/-S73,S73&gt;0,AL73/S73)</f>
        <v>0</v>
      </c>
      <c r="AT73" s="119">
        <f t="shared" si="86"/>
        <v>0</v>
      </c>
      <c r="AU73" s="119">
        <f t="shared" si="87"/>
        <v>0</v>
      </c>
      <c r="AV73" s="125"/>
      <c r="AW73" s="120">
        <f t="shared" si="88"/>
        <v>0</v>
      </c>
    </row>
    <row r="74" spans="1:49" hidden="1" outlineLevel="1">
      <c r="A74" s="114"/>
      <c r="B74" s="115"/>
      <c r="C74" s="115"/>
      <c r="D74" s="116"/>
      <c r="E74" s="117">
        <f t="shared" si="90"/>
        <v>0</v>
      </c>
      <c r="F74" s="117"/>
      <c r="G74" s="117"/>
      <c r="H74" s="117"/>
      <c r="I74" s="117"/>
      <c r="J74" s="117">
        <f t="shared" si="70"/>
        <v>0</v>
      </c>
      <c r="K74" s="114"/>
      <c r="L74" s="114"/>
      <c r="M74" s="114"/>
      <c r="N74" s="114"/>
      <c r="O74" s="117">
        <f t="shared" si="71"/>
        <v>0</v>
      </c>
      <c r="P74" s="117">
        <f t="shared" si="72"/>
        <v>0</v>
      </c>
      <c r="Q74" s="118"/>
      <c r="R74" s="118"/>
      <c r="S74" s="117">
        <f t="shared" si="73"/>
        <v>0</v>
      </c>
      <c r="T74" s="117"/>
      <c r="U74" s="117"/>
      <c r="V74" s="117">
        <f t="shared" si="74"/>
        <v>0</v>
      </c>
      <c r="W74" s="118"/>
      <c r="X74" s="118"/>
      <c r="Y74" s="117">
        <f t="shared" si="75"/>
        <v>0</v>
      </c>
      <c r="Z74" s="117">
        <f t="shared" si="76"/>
        <v>0</v>
      </c>
      <c r="AA74" s="119">
        <f t="shared" si="89"/>
        <v>0</v>
      </c>
      <c r="AB74" s="117">
        <f t="shared" si="77"/>
        <v>0</v>
      </c>
      <c r="AC74" s="118"/>
      <c r="AD74" s="119">
        <f t="shared" si="78"/>
        <v>0</v>
      </c>
      <c r="AE74" s="118"/>
      <c r="AF74" s="118"/>
      <c r="AG74" s="118"/>
      <c r="AH74" s="118"/>
      <c r="AI74" s="241"/>
      <c r="AJ74" s="118"/>
      <c r="AK74" s="120">
        <f t="shared" si="79"/>
        <v>0</v>
      </c>
      <c r="AL74" s="121">
        <f t="shared" si="80"/>
        <v>0</v>
      </c>
      <c r="AM74" s="122"/>
      <c r="AN74" s="123">
        <f t="shared" si="81"/>
        <v>0</v>
      </c>
      <c r="AO74" s="124">
        <f t="shared" si="82"/>
        <v>0</v>
      </c>
      <c r="AP74" s="124">
        <f t="shared" si="83"/>
        <v>0</v>
      </c>
      <c r="AQ74" s="124">
        <f t="shared" si="84"/>
        <v>0</v>
      </c>
      <c r="AR74" s="124">
        <f t="shared" si="85"/>
        <v>0</v>
      </c>
      <c r="AS74" s="124">
        <f t="array" ref="AS74">_xlfn.IFS(S74=0,AL74,S74&lt;0,AL74/-S74,S74&gt;0,AL74/S74)</f>
        <v>0</v>
      </c>
      <c r="AT74" s="119">
        <f t="shared" si="86"/>
        <v>0</v>
      </c>
      <c r="AU74" s="119">
        <f t="shared" si="87"/>
        <v>0</v>
      </c>
      <c r="AV74" s="125"/>
      <c r="AW74" s="120">
        <f t="shared" si="88"/>
        <v>0</v>
      </c>
    </row>
    <row r="75" spans="1:49" hidden="1" outlineLevel="1">
      <c r="A75" s="114"/>
      <c r="B75" s="115"/>
      <c r="C75" s="115"/>
      <c r="D75" s="116"/>
      <c r="E75" s="117">
        <f t="shared" si="90"/>
        <v>0</v>
      </c>
      <c r="F75" s="117"/>
      <c r="G75" s="117"/>
      <c r="H75" s="117"/>
      <c r="I75" s="117"/>
      <c r="J75" s="117">
        <f t="shared" si="70"/>
        <v>0</v>
      </c>
      <c r="K75" s="114"/>
      <c r="L75" s="114"/>
      <c r="M75" s="114"/>
      <c r="N75" s="114"/>
      <c r="O75" s="117">
        <f t="shared" si="71"/>
        <v>0</v>
      </c>
      <c r="P75" s="117">
        <f t="shared" si="72"/>
        <v>0</v>
      </c>
      <c r="Q75" s="118"/>
      <c r="R75" s="118"/>
      <c r="S75" s="117">
        <f t="shared" si="73"/>
        <v>0</v>
      </c>
      <c r="T75" s="117"/>
      <c r="U75" s="117"/>
      <c r="V75" s="117">
        <f t="shared" si="74"/>
        <v>0</v>
      </c>
      <c r="W75" s="118"/>
      <c r="X75" s="118"/>
      <c r="Y75" s="117">
        <f t="shared" si="75"/>
        <v>0</v>
      </c>
      <c r="Z75" s="117">
        <f t="shared" si="76"/>
        <v>0</v>
      </c>
      <c r="AA75" s="119">
        <f t="shared" si="89"/>
        <v>0</v>
      </c>
      <c r="AB75" s="117">
        <f t="shared" si="77"/>
        <v>0</v>
      </c>
      <c r="AC75" s="118"/>
      <c r="AD75" s="119">
        <f t="shared" si="78"/>
        <v>0</v>
      </c>
      <c r="AE75" s="118"/>
      <c r="AF75" s="118"/>
      <c r="AG75" s="118"/>
      <c r="AH75" s="118"/>
      <c r="AI75" s="241"/>
      <c r="AJ75" s="118"/>
      <c r="AK75" s="120">
        <f t="shared" si="79"/>
        <v>0</v>
      </c>
      <c r="AL75" s="121">
        <f t="shared" si="80"/>
        <v>0</v>
      </c>
      <c r="AM75" s="122"/>
      <c r="AN75" s="123">
        <f t="shared" si="81"/>
        <v>0</v>
      </c>
      <c r="AO75" s="124">
        <f t="shared" si="82"/>
        <v>0</v>
      </c>
      <c r="AP75" s="124">
        <f t="shared" si="83"/>
        <v>0</v>
      </c>
      <c r="AQ75" s="124">
        <f t="shared" si="84"/>
        <v>0</v>
      </c>
      <c r="AR75" s="124">
        <f t="shared" si="85"/>
        <v>0</v>
      </c>
      <c r="AS75" s="124">
        <f t="array" ref="AS75">_xlfn.IFS(S75=0,AL75,S75&lt;0,AL75/-S75,S75&gt;0,AL75/S75)</f>
        <v>0</v>
      </c>
      <c r="AT75" s="119">
        <f t="shared" si="86"/>
        <v>0</v>
      </c>
      <c r="AU75" s="119">
        <f t="shared" si="87"/>
        <v>0</v>
      </c>
      <c r="AV75" s="125"/>
      <c r="AW75" s="120">
        <f t="shared" si="88"/>
        <v>0</v>
      </c>
    </row>
    <row r="76" spans="1:49" hidden="1" outlineLevel="1">
      <c r="A76" s="114"/>
      <c r="B76" s="115"/>
      <c r="C76" s="115"/>
      <c r="D76" s="116"/>
      <c r="E76" s="117">
        <f t="shared" si="90"/>
        <v>0</v>
      </c>
      <c r="F76" s="117"/>
      <c r="G76" s="117"/>
      <c r="H76" s="117"/>
      <c r="I76" s="117"/>
      <c r="J76" s="117">
        <f t="shared" si="70"/>
        <v>0</v>
      </c>
      <c r="K76" s="114"/>
      <c r="L76" s="114"/>
      <c r="M76" s="114"/>
      <c r="N76" s="114"/>
      <c r="O76" s="117">
        <f t="shared" si="71"/>
        <v>0</v>
      </c>
      <c r="P76" s="117">
        <f t="shared" si="72"/>
        <v>0</v>
      </c>
      <c r="Q76" s="118"/>
      <c r="R76" s="118"/>
      <c r="S76" s="117">
        <f t="shared" si="73"/>
        <v>0</v>
      </c>
      <c r="T76" s="117"/>
      <c r="U76" s="117"/>
      <c r="V76" s="117">
        <f t="shared" si="74"/>
        <v>0</v>
      </c>
      <c r="W76" s="118"/>
      <c r="X76" s="118"/>
      <c r="Y76" s="117">
        <f t="shared" si="75"/>
        <v>0</v>
      </c>
      <c r="Z76" s="117">
        <f t="shared" si="76"/>
        <v>0</v>
      </c>
      <c r="AA76" s="119">
        <f t="shared" si="89"/>
        <v>0</v>
      </c>
      <c r="AB76" s="117">
        <f t="shared" si="77"/>
        <v>0</v>
      </c>
      <c r="AC76" s="118"/>
      <c r="AD76" s="119">
        <f t="shared" si="78"/>
        <v>0</v>
      </c>
      <c r="AE76" s="118"/>
      <c r="AF76" s="118"/>
      <c r="AG76" s="118"/>
      <c r="AH76" s="118"/>
      <c r="AI76" s="241"/>
      <c r="AJ76" s="118"/>
      <c r="AK76" s="120">
        <f t="shared" si="79"/>
        <v>0</v>
      </c>
      <c r="AL76" s="121">
        <f t="shared" si="80"/>
        <v>0</v>
      </c>
      <c r="AM76" s="122"/>
      <c r="AN76" s="123">
        <f t="shared" si="81"/>
        <v>0</v>
      </c>
      <c r="AO76" s="124">
        <f t="shared" si="82"/>
        <v>0</v>
      </c>
      <c r="AP76" s="124">
        <f t="shared" si="83"/>
        <v>0</v>
      </c>
      <c r="AQ76" s="124">
        <f t="shared" si="84"/>
        <v>0</v>
      </c>
      <c r="AR76" s="124">
        <f t="shared" si="85"/>
        <v>0</v>
      </c>
      <c r="AS76" s="124">
        <f t="array" ref="AS76">_xlfn.IFS(S76=0,AL76,S76&lt;0,AL76/-S76,S76&gt;0,AL76/S76)</f>
        <v>0</v>
      </c>
      <c r="AT76" s="119">
        <f t="shared" si="86"/>
        <v>0</v>
      </c>
      <c r="AU76" s="119">
        <f t="shared" si="87"/>
        <v>0</v>
      </c>
      <c r="AV76" s="125"/>
      <c r="AW76" s="120">
        <f t="shared" si="88"/>
        <v>0</v>
      </c>
    </row>
    <row r="77" spans="1:49" hidden="1" outlineLevel="1">
      <c r="A77" s="114"/>
      <c r="B77" s="115"/>
      <c r="C77" s="115"/>
      <c r="D77" s="116"/>
      <c r="E77" s="117">
        <f t="shared" si="90"/>
        <v>0</v>
      </c>
      <c r="F77" s="117"/>
      <c r="G77" s="117"/>
      <c r="H77" s="117"/>
      <c r="I77" s="117"/>
      <c r="J77" s="117">
        <f t="shared" si="70"/>
        <v>0</v>
      </c>
      <c r="K77" s="114"/>
      <c r="L77" s="114"/>
      <c r="M77" s="114"/>
      <c r="N77" s="114"/>
      <c r="O77" s="117">
        <f t="shared" si="71"/>
        <v>0</v>
      </c>
      <c r="P77" s="117">
        <f t="shared" si="72"/>
        <v>0</v>
      </c>
      <c r="Q77" s="118"/>
      <c r="R77" s="118"/>
      <c r="S77" s="117">
        <f t="shared" si="73"/>
        <v>0</v>
      </c>
      <c r="T77" s="117"/>
      <c r="U77" s="117"/>
      <c r="V77" s="117">
        <f t="shared" si="74"/>
        <v>0</v>
      </c>
      <c r="W77" s="118"/>
      <c r="X77" s="118"/>
      <c r="Y77" s="117">
        <f t="shared" si="75"/>
        <v>0</v>
      </c>
      <c r="Z77" s="117">
        <f t="shared" si="76"/>
        <v>0</v>
      </c>
      <c r="AA77" s="119">
        <f t="shared" si="89"/>
        <v>0</v>
      </c>
      <c r="AB77" s="117">
        <f t="shared" si="77"/>
        <v>0</v>
      </c>
      <c r="AC77" s="118"/>
      <c r="AD77" s="119">
        <f t="shared" si="78"/>
        <v>0</v>
      </c>
      <c r="AE77" s="118"/>
      <c r="AF77" s="118"/>
      <c r="AG77" s="118"/>
      <c r="AH77" s="118"/>
      <c r="AI77" s="241"/>
      <c r="AJ77" s="118"/>
      <c r="AK77" s="120">
        <f t="shared" si="79"/>
        <v>0</v>
      </c>
      <c r="AL77" s="121">
        <f t="shared" si="80"/>
        <v>0</v>
      </c>
      <c r="AM77" s="122"/>
      <c r="AN77" s="123">
        <f t="shared" si="81"/>
        <v>0</v>
      </c>
      <c r="AO77" s="124">
        <f t="shared" si="82"/>
        <v>0</v>
      </c>
      <c r="AP77" s="124">
        <f t="shared" si="83"/>
        <v>0</v>
      </c>
      <c r="AQ77" s="124">
        <f t="shared" si="84"/>
        <v>0</v>
      </c>
      <c r="AR77" s="124">
        <f t="shared" si="85"/>
        <v>0</v>
      </c>
      <c r="AS77" s="124">
        <f t="array" ref="AS77">_xlfn.IFS(S77=0,AL77,S77&lt;0,AL77/-S77,S77&gt;0,AL77/S77)</f>
        <v>0</v>
      </c>
      <c r="AT77" s="119">
        <f t="shared" si="86"/>
        <v>0</v>
      </c>
      <c r="AU77" s="119">
        <f t="shared" si="87"/>
        <v>0</v>
      </c>
      <c r="AV77" s="125"/>
      <c r="AW77" s="120">
        <f t="shared" si="88"/>
        <v>0</v>
      </c>
    </row>
    <row r="78" spans="1:49" hidden="1" outlineLevel="1">
      <c r="A78" s="114"/>
      <c r="B78" s="115"/>
      <c r="C78" s="115"/>
      <c r="D78" s="116"/>
      <c r="E78" s="117">
        <f t="shared" si="90"/>
        <v>0</v>
      </c>
      <c r="F78" s="117"/>
      <c r="G78" s="117"/>
      <c r="H78" s="117"/>
      <c r="I78" s="117"/>
      <c r="J78" s="117">
        <f t="shared" si="70"/>
        <v>0</v>
      </c>
      <c r="K78" s="114"/>
      <c r="L78" s="114"/>
      <c r="M78" s="114"/>
      <c r="N78" s="114"/>
      <c r="O78" s="117">
        <f t="shared" si="71"/>
        <v>0</v>
      </c>
      <c r="P78" s="117">
        <f t="shared" si="72"/>
        <v>0</v>
      </c>
      <c r="Q78" s="118"/>
      <c r="R78" s="118"/>
      <c r="S78" s="117">
        <f t="shared" si="73"/>
        <v>0</v>
      </c>
      <c r="T78" s="117"/>
      <c r="U78" s="117"/>
      <c r="V78" s="117">
        <f t="shared" si="74"/>
        <v>0</v>
      </c>
      <c r="W78" s="118"/>
      <c r="X78" s="118"/>
      <c r="Y78" s="117">
        <f t="shared" si="75"/>
        <v>0</v>
      </c>
      <c r="Z78" s="117">
        <f t="shared" si="76"/>
        <v>0</v>
      </c>
      <c r="AA78" s="119">
        <f t="shared" si="89"/>
        <v>0</v>
      </c>
      <c r="AB78" s="117">
        <f t="shared" si="77"/>
        <v>0</v>
      </c>
      <c r="AC78" s="118"/>
      <c r="AD78" s="119">
        <f t="shared" si="78"/>
        <v>0</v>
      </c>
      <c r="AE78" s="118"/>
      <c r="AF78" s="118"/>
      <c r="AG78" s="118"/>
      <c r="AH78" s="118"/>
      <c r="AI78" s="241"/>
      <c r="AJ78" s="118"/>
      <c r="AK78" s="120">
        <f t="shared" si="79"/>
        <v>0</v>
      </c>
      <c r="AL78" s="121">
        <f t="shared" si="80"/>
        <v>0</v>
      </c>
      <c r="AM78" s="122"/>
      <c r="AN78" s="123">
        <f t="shared" si="81"/>
        <v>0</v>
      </c>
      <c r="AO78" s="124">
        <f t="shared" si="82"/>
        <v>0</v>
      </c>
      <c r="AP78" s="124">
        <f t="shared" si="83"/>
        <v>0</v>
      </c>
      <c r="AQ78" s="124">
        <f t="shared" si="84"/>
        <v>0</v>
      </c>
      <c r="AR78" s="124">
        <f t="shared" si="85"/>
        <v>0</v>
      </c>
      <c r="AS78" s="124">
        <f t="array" ref="AS78">_xlfn.IFS(S78=0,AL78,S78&lt;0,AL78/-S78,S78&gt;0,AL78/S78)</f>
        <v>0</v>
      </c>
      <c r="AT78" s="119">
        <f t="shared" si="86"/>
        <v>0</v>
      </c>
      <c r="AU78" s="119">
        <f t="shared" si="87"/>
        <v>0</v>
      </c>
      <c r="AV78" s="125"/>
      <c r="AW78" s="120">
        <f t="shared" si="88"/>
        <v>0</v>
      </c>
    </row>
    <row r="79" spans="1:49" hidden="1" outlineLevel="1">
      <c r="A79" s="114"/>
      <c r="B79" s="115"/>
      <c r="C79" s="115"/>
      <c r="D79" s="116"/>
      <c r="E79" s="117">
        <f t="shared" si="90"/>
        <v>0</v>
      </c>
      <c r="F79" s="117"/>
      <c r="G79" s="117"/>
      <c r="H79" s="117"/>
      <c r="I79" s="117"/>
      <c r="J79" s="117">
        <f t="shared" si="70"/>
        <v>0</v>
      </c>
      <c r="K79" s="114"/>
      <c r="L79" s="114"/>
      <c r="M79" s="114"/>
      <c r="N79" s="114"/>
      <c r="O79" s="117">
        <f t="shared" si="71"/>
        <v>0</v>
      </c>
      <c r="P79" s="117">
        <f t="shared" si="72"/>
        <v>0</v>
      </c>
      <c r="Q79" s="118"/>
      <c r="R79" s="118"/>
      <c r="S79" s="117">
        <f t="shared" si="73"/>
        <v>0</v>
      </c>
      <c r="T79" s="117"/>
      <c r="U79" s="117"/>
      <c r="V79" s="117">
        <f t="shared" si="74"/>
        <v>0</v>
      </c>
      <c r="W79" s="118"/>
      <c r="X79" s="118"/>
      <c r="Y79" s="117">
        <f t="shared" si="75"/>
        <v>0</v>
      </c>
      <c r="Z79" s="117">
        <f t="shared" si="76"/>
        <v>0</v>
      </c>
      <c r="AA79" s="119">
        <f t="shared" si="89"/>
        <v>0</v>
      </c>
      <c r="AB79" s="117">
        <f t="shared" si="77"/>
        <v>0</v>
      </c>
      <c r="AC79" s="118"/>
      <c r="AD79" s="119">
        <f t="shared" si="78"/>
        <v>0</v>
      </c>
      <c r="AE79" s="118"/>
      <c r="AF79" s="118"/>
      <c r="AG79" s="118"/>
      <c r="AH79" s="118"/>
      <c r="AI79" s="241"/>
      <c r="AJ79" s="118"/>
      <c r="AK79" s="120">
        <f t="shared" si="79"/>
        <v>0</v>
      </c>
      <c r="AL79" s="121">
        <f t="shared" si="80"/>
        <v>0</v>
      </c>
      <c r="AM79" s="122"/>
      <c r="AN79" s="123">
        <f t="shared" si="81"/>
        <v>0</v>
      </c>
      <c r="AO79" s="124">
        <f t="shared" si="82"/>
        <v>0</v>
      </c>
      <c r="AP79" s="124">
        <f t="shared" si="83"/>
        <v>0</v>
      </c>
      <c r="AQ79" s="124">
        <f t="shared" si="84"/>
        <v>0</v>
      </c>
      <c r="AR79" s="124">
        <f t="shared" si="85"/>
        <v>0</v>
      </c>
      <c r="AS79" s="124">
        <f t="array" ref="AS79">_xlfn.IFS(S79=0,AL79,S79&lt;0,AL79/-S79,S79&gt;0,AL79/S79)</f>
        <v>0</v>
      </c>
      <c r="AT79" s="119">
        <f t="shared" si="86"/>
        <v>0</v>
      </c>
      <c r="AU79" s="119">
        <f t="shared" si="87"/>
        <v>0</v>
      </c>
      <c r="AV79" s="125"/>
      <c r="AW79" s="120">
        <f t="shared" si="88"/>
        <v>0</v>
      </c>
    </row>
    <row r="80" spans="1:49" hidden="1" outlineLevel="1">
      <c r="A80" s="114"/>
      <c r="B80" s="115"/>
      <c r="C80" s="115"/>
      <c r="D80" s="116"/>
      <c r="E80" s="117">
        <f t="shared" si="90"/>
        <v>0</v>
      </c>
      <c r="F80" s="117"/>
      <c r="G80" s="117"/>
      <c r="H80" s="117"/>
      <c r="I80" s="117"/>
      <c r="J80" s="117">
        <f t="shared" si="70"/>
        <v>0</v>
      </c>
      <c r="K80" s="114"/>
      <c r="L80" s="114"/>
      <c r="M80" s="114"/>
      <c r="N80" s="114"/>
      <c r="O80" s="117">
        <f t="shared" si="71"/>
        <v>0</v>
      </c>
      <c r="P80" s="117">
        <f t="shared" si="72"/>
        <v>0</v>
      </c>
      <c r="Q80" s="118"/>
      <c r="R80" s="118"/>
      <c r="S80" s="117">
        <f t="shared" si="73"/>
        <v>0</v>
      </c>
      <c r="T80" s="117"/>
      <c r="U80" s="117"/>
      <c r="V80" s="117">
        <f t="shared" si="74"/>
        <v>0</v>
      </c>
      <c r="W80" s="118"/>
      <c r="X80" s="118"/>
      <c r="Y80" s="117">
        <f t="shared" si="75"/>
        <v>0</v>
      </c>
      <c r="Z80" s="117">
        <f t="shared" si="76"/>
        <v>0</v>
      </c>
      <c r="AA80" s="119">
        <f t="shared" si="89"/>
        <v>0</v>
      </c>
      <c r="AB80" s="117">
        <f t="shared" si="77"/>
        <v>0</v>
      </c>
      <c r="AC80" s="118"/>
      <c r="AD80" s="119">
        <f t="shared" si="78"/>
        <v>0</v>
      </c>
      <c r="AE80" s="118"/>
      <c r="AF80" s="118"/>
      <c r="AG80" s="118"/>
      <c r="AH80" s="118"/>
      <c r="AI80" s="241"/>
      <c r="AJ80" s="118"/>
      <c r="AK80" s="120">
        <f t="shared" si="79"/>
        <v>0</v>
      </c>
      <c r="AL80" s="121">
        <f t="shared" si="80"/>
        <v>0</v>
      </c>
      <c r="AM80" s="122"/>
      <c r="AN80" s="123">
        <f t="shared" si="81"/>
        <v>0</v>
      </c>
      <c r="AO80" s="124">
        <f t="shared" si="82"/>
        <v>0</v>
      </c>
      <c r="AP80" s="124">
        <f t="shared" si="83"/>
        <v>0</v>
      </c>
      <c r="AQ80" s="124">
        <f t="shared" si="84"/>
        <v>0</v>
      </c>
      <c r="AR80" s="124">
        <f t="shared" si="85"/>
        <v>0</v>
      </c>
      <c r="AS80" s="124">
        <f t="array" ref="AS80">_xlfn.IFS(S80=0,AL80,S80&lt;0,AL80/-S80,S80&gt;0,AL80/S80)</f>
        <v>0</v>
      </c>
      <c r="AT80" s="119">
        <f t="shared" si="86"/>
        <v>0</v>
      </c>
      <c r="AU80" s="119">
        <f t="shared" si="87"/>
        <v>0</v>
      </c>
      <c r="AV80" s="125"/>
      <c r="AW80" s="120">
        <f t="shared" si="88"/>
        <v>0</v>
      </c>
    </row>
    <row r="81" spans="1:49" hidden="1" outlineLevel="1">
      <c r="A81" s="114"/>
      <c r="B81" s="115"/>
      <c r="C81" s="115"/>
      <c r="D81" s="116"/>
      <c r="E81" s="117">
        <f t="shared" si="90"/>
        <v>0</v>
      </c>
      <c r="F81" s="117"/>
      <c r="G81" s="117"/>
      <c r="H81" s="117"/>
      <c r="I81" s="117"/>
      <c r="J81" s="117">
        <f t="shared" si="70"/>
        <v>0</v>
      </c>
      <c r="K81" s="114"/>
      <c r="L81" s="114"/>
      <c r="M81" s="114"/>
      <c r="N81" s="114"/>
      <c r="O81" s="117">
        <f t="shared" si="71"/>
        <v>0</v>
      </c>
      <c r="P81" s="117">
        <f t="shared" si="72"/>
        <v>0</v>
      </c>
      <c r="Q81" s="118"/>
      <c r="R81" s="118"/>
      <c r="S81" s="117">
        <f t="shared" si="73"/>
        <v>0</v>
      </c>
      <c r="T81" s="117"/>
      <c r="U81" s="117"/>
      <c r="V81" s="117">
        <f t="shared" si="74"/>
        <v>0</v>
      </c>
      <c r="W81" s="118"/>
      <c r="X81" s="118"/>
      <c r="Y81" s="117">
        <f t="shared" si="75"/>
        <v>0</v>
      </c>
      <c r="Z81" s="117">
        <f t="shared" si="76"/>
        <v>0</v>
      </c>
      <c r="AA81" s="119">
        <f t="shared" si="89"/>
        <v>0</v>
      </c>
      <c r="AB81" s="117">
        <f t="shared" si="77"/>
        <v>0</v>
      </c>
      <c r="AC81" s="118"/>
      <c r="AD81" s="119">
        <f t="shared" si="78"/>
        <v>0</v>
      </c>
      <c r="AE81" s="118"/>
      <c r="AF81" s="118"/>
      <c r="AG81" s="118"/>
      <c r="AH81" s="118"/>
      <c r="AI81" s="241"/>
      <c r="AJ81" s="118"/>
      <c r="AK81" s="120">
        <f t="shared" si="79"/>
        <v>0</v>
      </c>
      <c r="AL81" s="121">
        <f t="shared" si="80"/>
        <v>0</v>
      </c>
      <c r="AM81" s="122"/>
      <c r="AN81" s="123">
        <f t="shared" si="81"/>
        <v>0</v>
      </c>
      <c r="AO81" s="124">
        <f t="shared" si="82"/>
        <v>0</v>
      </c>
      <c r="AP81" s="124">
        <f t="shared" si="83"/>
        <v>0</v>
      </c>
      <c r="AQ81" s="124">
        <f t="shared" si="84"/>
        <v>0</v>
      </c>
      <c r="AR81" s="124">
        <f t="shared" si="85"/>
        <v>0</v>
      </c>
      <c r="AS81" s="124">
        <f t="array" ref="AS81">_xlfn.IFS(S81=0,AL81,S81&lt;0,AL81/-S81,S81&gt;0,AL81/S81)</f>
        <v>0</v>
      </c>
      <c r="AT81" s="119">
        <f t="shared" si="86"/>
        <v>0</v>
      </c>
      <c r="AU81" s="119">
        <f t="shared" si="87"/>
        <v>0</v>
      </c>
      <c r="AV81" s="125"/>
      <c r="AW81" s="120">
        <f t="shared" si="88"/>
        <v>0</v>
      </c>
    </row>
    <row r="82" spans="1:49" hidden="1" outlineLevel="1">
      <c r="A82" s="114"/>
      <c r="B82" s="115"/>
      <c r="C82" s="115"/>
      <c r="D82" s="149"/>
      <c r="E82" s="118">
        <f t="shared" si="90"/>
        <v>0</v>
      </c>
      <c r="F82" s="117"/>
      <c r="G82" s="117"/>
      <c r="H82" s="117"/>
      <c r="I82" s="117"/>
      <c r="J82" s="117">
        <f t="shared" si="70"/>
        <v>0</v>
      </c>
      <c r="K82" s="114"/>
      <c r="L82" s="114"/>
      <c r="M82" s="114"/>
      <c r="N82" s="114"/>
      <c r="O82" s="117">
        <f t="shared" si="71"/>
        <v>0</v>
      </c>
      <c r="P82" s="117">
        <f t="shared" si="72"/>
        <v>0</v>
      </c>
      <c r="Q82" s="118"/>
      <c r="R82" s="118"/>
      <c r="S82" s="117">
        <f t="shared" si="73"/>
        <v>0</v>
      </c>
      <c r="T82" s="117"/>
      <c r="U82" s="117"/>
      <c r="V82" s="117">
        <f t="shared" si="74"/>
        <v>0</v>
      </c>
      <c r="W82" s="118"/>
      <c r="X82" s="118"/>
      <c r="Y82" s="117">
        <f t="shared" si="75"/>
        <v>0</v>
      </c>
      <c r="Z82" s="117">
        <f t="shared" si="76"/>
        <v>0</v>
      </c>
      <c r="AA82" s="119">
        <f t="shared" si="89"/>
        <v>0</v>
      </c>
      <c r="AB82" s="117">
        <f t="shared" si="77"/>
        <v>0</v>
      </c>
      <c r="AC82" s="118"/>
      <c r="AD82" s="119">
        <f t="shared" si="78"/>
        <v>0</v>
      </c>
      <c r="AE82" s="118"/>
      <c r="AF82" s="118"/>
      <c r="AG82" s="118"/>
      <c r="AH82" s="118"/>
      <c r="AI82" s="241"/>
      <c r="AJ82" s="118"/>
      <c r="AK82" s="120">
        <f t="shared" si="79"/>
        <v>0</v>
      </c>
      <c r="AL82" s="121">
        <f t="shared" si="80"/>
        <v>0</v>
      </c>
      <c r="AM82" s="122"/>
      <c r="AN82" s="123">
        <f t="shared" si="81"/>
        <v>0</v>
      </c>
      <c r="AO82" s="124">
        <f t="shared" si="82"/>
        <v>0</v>
      </c>
      <c r="AP82" s="124">
        <f t="shared" si="83"/>
        <v>0</v>
      </c>
      <c r="AQ82" s="124">
        <f t="shared" si="84"/>
        <v>0</v>
      </c>
      <c r="AR82" s="124">
        <f t="shared" si="85"/>
        <v>0</v>
      </c>
      <c r="AS82" s="124">
        <f t="array" ref="AS82">_xlfn.IFS(S82=0,AL82,S82&lt;0,AL82/-S82,S82&gt;0,AL82/S82)</f>
        <v>0</v>
      </c>
      <c r="AT82" s="119">
        <f t="shared" si="86"/>
        <v>0</v>
      </c>
      <c r="AU82" s="119">
        <f t="shared" si="87"/>
        <v>0</v>
      </c>
      <c r="AV82" s="125"/>
      <c r="AW82" s="120">
        <f t="shared" si="88"/>
        <v>0</v>
      </c>
    </row>
    <row r="83" spans="1:49" hidden="1" outlineLevel="1">
      <c r="A83" s="114"/>
      <c r="B83" s="115"/>
      <c r="C83" s="115"/>
      <c r="D83" s="149"/>
      <c r="E83" s="118">
        <f t="shared" si="90"/>
        <v>0</v>
      </c>
      <c r="F83" s="117"/>
      <c r="G83" s="117"/>
      <c r="H83" s="117"/>
      <c r="I83" s="117"/>
      <c r="J83" s="117">
        <f t="shared" si="70"/>
        <v>0</v>
      </c>
      <c r="K83" s="114"/>
      <c r="L83" s="114"/>
      <c r="M83" s="114"/>
      <c r="N83" s="114"/>
      <c r="O83" s="117">
        <f t="shared" si="71"/>
        <v>0</v>
      </c>
      <c r="P83" s="117">
        <f t="shared" si="72"/>
        <v>0</v>
      </c>
      <c r="Q83" s="118"/>
      <c r="R83" s="118"/>
      <c r="S83" s="117">
        <f t="shared" si="73"/>
        <v>0</v>
      </c>
      <c r="T83" s="117"/>
      <c r="U83" s="117"/>
      <c r="V83" s="117">
        <f t="shared" si="74"/>
        <v>0</v>
      </c>
      <c r="W83" s="118"/>
      <c r="X83" s="118"/>
      <c r="Y83" s="117">
        <f t="shared" si="75"/>
        <v>0</v>
      </c>
      <c r="Z83" s="117">
        <f t="shared" si="76"/>
        <v>0</v>
      </c>
      <c r="AA83" s="119">
        <f t="shared" si="89"/>
        <v>0</v>
      </c>
      <c r="AB83" s="117">
        <f t="shared" si="77"/>
        <v>0</v>
      </c>
      <c r="AC83" s="118"/>
      <c r="AD83" s="119">
        <f t="shared" si="78"/>
        <v>0</v>
      </c>
      <c r="AE83" s="118"/>
      <c r="AF83" s="118"/>
      <c r="AG83" s="118"/>
      <c r="AH83" s="118"/>
      <c r="AI83" s="241"/>
      <c r="AJ83" s="118"/>
      <c r="AK83" s="120">
        <f t="shared" si="79"/>
        <v>0</v>
      </c>
      <c r="AL83" s="121">
        <f t="shared" si="80"/>
        <v>0</v>
      </c>
      <c r="AM83" s="122"/>
      <c r="AN83" s="123">
        <f t="shared" si="81"/>
        <v>0</v>
      </c>
      <c r="AO83" s="124">
        <f t="shared" si="82"/>
        <v>0</v>
      </c>
      <c r="AP83" s="124">
        <f t="shared" si="83"/>
        <v>0</v>
      </c>
      <c r="AQ83" s="124">
        <f t="shared" si="84"/>
        <v>0</v>
      </c>
      <c r="AR83" s="124">
        <f t="shared" si="85"/>
        <v>0</v>
      </c>
      <c r="AS83" s="124">
        <f t="array" ref="AS83">_xlfn.IFS(S83=0,AL83,S83&lt;0,AL83/-S83,S83&gt;0,AL83/S83)</f>
        <v>0</v>
      </c>
      <c r="AT83" s="119">
        <f t="shared" si="86"/>
        <v>0</v>
      </c>
      <c r="AU83" s="119">
        <f t="shared" si="87"/>
        <v>0</v>
      </c>
      <c r="AV83" s="125"/>
      <c r="AW83" s="120">
        <f t="shared" si="88"/>
        <v>0</v>
      </c>
    </row>
    <row r="84" spans="1:49" hidden="1" outlineLevel="1">
      <c r="A84" s="114"/>
      <c r="B84" s="115"/>
      <c r="C84" s="115"/>
      <c r="D84" s="149"/>
      <c r="E84" s="118">
        <f t="shared" si="90"/>
        <v>0</v>
      </c>
      <c r="F84" s="117"/>
      <c r="G84" s="117"/>
      <c r="H84" s="117"/>
      <c r="I84" s="117"/>
      <c r="J84" s="117">
        <f t="shared" si="70"/>
        <v>0</v>
      </c>
      <c r="K84" s="114"/>
      <c r="L84" s="114"/>
      <c r="M84" s="114"/>
      <c r="N84" s="114"/>
      <c r="O84" s="117">
        <f t="shared" si="71"/>
        <v>0</v>
      </c>
      <c r="P84" s="117">
        <f t="shared" si="72"/>
        <v>0</v>
      </c>
      <c r="Q84" s="118"/>
      <c r="R84" s="118"/>
      <c r="S84" s="117">
        <f t="shared" si="73"/>
        <v>0</v>
      </c>
      <c r="T84" s="117"/>
      <c r="U84" s="117"/>
      <c r="V84" s="117">
        <f t="shared" si="74"/>
        <v>0</v>
      </c>
      <c r="W84" s="118"/>
      <c r="X84" s="118"/>
      <c r="Y84" s="117">
        <f t="shared" si="75"/>
        <v>0</v>
      </c>
      <c r="Z84" s="117">
        <f t="shared" si="76"/>
        <v>0</v>
      </c>
      <c r="AA84" s="119">
        <f t="shared" si="89"/>
        <v>0</v>
      </c>
      <c r="AB84" s="117">
        <f t="shared" si="77"/>
        <v>0</v>
      </c>
      <c r="AC84" s="118"/>
      <c r="AD84" s="119">
        <f t="shared" si="78"/>
        <v>0</v>
      </c>
      <c r="AE84" s="118"/>
      <c r="AF84" s="118"/>
      <c r="AG84" s="118"/>
      <c r="AH84" s="118"/>
      <c r="AI84" s="241"/>
      <c r="AJ84" s="118"/>
      <c r="AK84" s="120">
        <f t="shared" si="79"/>
        <v>0</v>
      </c>
      <c r="AL84" s="121">
        <f t="shared" si="80"/>
        <v>0</v>
      </c>
      <c r="AM84" s="122"/>
      <c r="AN84" s="123">
        <f t="shared" si="81"/>
        <v>0</v>
      </c>
      <c r="AO84" s="124">
        <f t="shared" si="82"/>
        <v>0</v>
      </c>
      <c r="AP84" s="124">
        <f t="shared" si="83"/>
        <v>0</v>
      </c>
      <c r="AQ84" s="124">
        <f t="shared" si="84"/>
        <v>0</v>
      </c>
      <c r="AR84" s="124">
        <f t="shared" si="85"/>
        <v>0</v>
      </c>
      <c r="AS84" s="124">
        <f t="array" ref="AS84">_xlfn.IFS(S84=0,AL84,S84&lt;0,AL84/-S84,S84&gt;0,AL84/S84)</f>
        <v>0</v>
      </c>
      <c r="AT84" s="119">
        <f t="shared" si="86"/>
        <v>0</v>
      </c>
      <c r="AU84" s="119">
        <f t="shared" si="87"/>
        <v>0</v>
      </c>
      <c r="AV84" s="125"/>
      <c r="AW84" s="120">
        <f t="shared" si="88"/>
        <v>0</v>
      </c>
    </row>
    <row r="85" spans="1:49" hidden="1" outlineLevel="1">
      <c r="A85" s="114"/>
      <c r="B85" s="115"/>
      <c r="C85" s="115"/>
      <c r="D85" s="149"/>
      <c r="E85" s="118">
        <f t="shared" si="90"/>
        <v>0</v>
      </c>
      <c r="F85" s="117"/>
      <c r="G85" s="117"/>
      <c r="H85" s="117"/>
      <c r="I85" s="117"/>
      <c r="J85" s="117">
        <f t="shared" si="70"/>
        <v>0</v>
      </c>
      <c r="K85" s="114"/>
      <c r="L85" s="114"/>
      <c r="M85" s="114"/>
      <c r="N85" s="114"/>
      <c r="O85" s="117">
        <f t="shared" si="71"/>
        <v>0</v>
      </c>
      <c r="P85" s="117">
        <f t="shared" si="72"/>
        <v>0</v>
      </c>
      <c r="Q85" s="118"/>
      <c r="R85" s="118"/>
      <c r="S85" s="117">
        <f t="shared" si="73"/>
        <v>0</v>
      </c>
      <c r="T85" s="117"/>
      <c r="U85" s="117"/>
      <c r="V85" s="117">
        <f t="shared" si="74"/>
        <v>0</v>
      </c>
      <c r="W85" s="118"/>
      <c r="X85" s="118"/>
      <c r="Y85" s="117">
        <f t="shared" si="75"/>
        <v>0</v>
      </c>
      <c r="Z85" s="117">
        <f>L85*M85*N85/100</f>
        <v>0</v>
      </c>
      <c r="AA85" s="119">
        <f t="shared" si="89"/>
        <v>0</v>
      </c>
      <c r="AB85" s="117">
        <f t="shared" si="77"/>
        <v>0</v>
      </c>
      <c r="AC85" s="118"/>
      <c r="AD85" s="119">
        <f t="shared" si="78"/>
        <v>0</v>
      </c>
      <c r="AE85" s="118"/>
      <c r="AF85" s="118"/>
      <c r="AG85" s="118"/>
      <c r="AH85" s="118"/>
      <c r="AI85" s="241"/>
      <c r="AJ85" s="118"/>
      <c r="AK85" s="120">
        <f t="shared" si="79"/>
        <v>0</v>
      </c>
      <c r="AL85" s="121">
        <f t="shared" si="80"/>
        <v>0</v>
      </c>
      <c r="AM85" s="122"/>
      <c r="AN85" s="123">
        <f t="shared" si="81"/>
        <v>0</v>
      </c>
      <c r="AO85" s="124">
        <f t="shared" si="82"/>
        <v>0</v>
      </c>
      <c r="AP85" s="124">
        <f t="shared" si="83"/>
        <v>0</v>
      </c>
      <c r="AQ85" s="124">
        <f t="shared" si="84"/>
        <v>0</v>
      </c>
      <c r="AR85" s="124">
        <f t="shared" si="85"/>
        <v>0</v>
      </c>
      <c r="AS85" s="124">
        <f t="array" ref="AS85">_xlfn.IFS(S85=0,AL85,S85&lt;0,AL85/-S85,S85&gt;0,AL85/S85)</f>
        <v>0</v>
      </c>
      <c r="AT85" s="119">
        <f t="shared" si="86"/>
        <v>0</v>
      </c>
      <c r="AU85" s="119">
        <f t="shared" si="87"/>
        <v>0</v>
      </c>
      <c r="AV85" s="125"/>
      <c r="AW85" s="120">
        <f t="shared" si="88"/>
        <v>0</v>
      </c>
    </row>
    <row r="86" spans="1:49" hidden="1" outlineLevel="1">
      <c r="A86" s="114"/>
      <c r="B86" s="115"/>
      <c r="C86" s="115"/>
      <c r="D86" s="149"/>
      <c r="E86" s="118">
        <f t="shared" si="90"/>
        <v>0</v>
      </c>
      <c r="F86" s="117"/>
      <c r="G86" s="117"/>
      <c r="H86" s="117"/>
      <c r="I86" s="117"/>
      <c r="J86" s="117">
        <f t="shared" si="70"/>
        <v>0</v>
      </c>
      <c r="K86" s="114"/>
      <c r="L86" s="114"/>
      <c r="M86" s="114"/>
      <c r="N86" s="114"/>
      <c r="O86" s="117">
        <f t="shared" si="71"/>
        <v>0</v>
      </c>
      <c r="P86" s="117">
        <f t="shared" si="72"/>
        <v>0</v>
      </c>
      <c r="Q86" s="118"/>
      <c r="R86" s="118"/>
      <c r="S86" s="117">
        <f t="shared" si="73"/>
        <v>0</v>
      </c>
      <c r="T86" s="117"/>
      <c r="U86" s="117"/>
      <c r="V86" s="117">
        <f t="shared" si="74"/>
        <v>0</v>
      </c>
      <c r="W86" s="118"/>
      <c r="X86" s="118"/>
      <c r="Y86" s="117">
        <f t="shared" si="75"/>
        <v>0</v>
      </c>
      <c r="Z86" s="117">
        <f t="shared" ref="Z86:Z89" si="91">L86*M86*N86/100</f>
        <v>0</v>
      </c>
      <c r="AA86" s="119">
        <f t="shared" si="89"/>
        <v>0</v>
      </c>
      <c r="AB86" s="117">
        <f t="shared" si="77"/>
        <v>0</v>
      </c>
      <c r="AC86" s="118"/>
      <c r="AD86" s="119">
        <f t="shared" si="78"/>
        <v>0</v>
      </c>
      <c r="AE86" s="118"/>
      <c r="AF86" s="118"/>
      <c r="AG86" s="118"/>
      <c r="AH86" s="118"/>
      <c r="AI86" s="241"/>
      <c r="AJ86" s="118"/>
      <c r="AK86" s="120">
        <f t="shared" si="79"/>
        <v>0</v>
      </c>
      <c r="AL86" s="121">
        <f t="shared" si="80"/>
        <v>0</v>
      </c>
      <c r="AM86" s="122"/>
      <c r="AN86" s="123">
        <f t="shared" si="81"/>
        <v>0</v>
      </c>
      <c r="AO86" s="124">
        <f t="shared" si="82"/>
        <v>0</v>
      </c>
      <c r="AP86" s="124">
        <f t="shared" si="83"/>
        <v>0</v>
      </c>
      <c r="AQ86" s="124">
        <f t="shared" si="84"/>
        <v>0</v>
      </c>
      <c r="AR86" s="124">
        <f t="shared" si="85"/>
        <v>0</v>
      </c>
      <c r="AS86" s="124">
        <f t="array" ref="AS86">_xlfn.IFS(S86=0,AL86,S86&lt;0,AL86/-S86,S86&gt;0,AL86/S86)</f>
        <v>0</v>
      </c>
      <c r="AT86" s="119">
        <f t="shared" si="86"/>
        <v>0</v>
      </c>
      <c r="AU86" s="119">
        <f t="shared" si="87"/>
        <v>0</v>
      </c>
      <c r="AV86" s="125"/>
      <c r="AW86" s="120">
        <f t="shared" si="88"/>
        <v>0</v>
      </c>
    </row>
    <row r="87" spans="1:49" hidden="1" outlineLevel="1">
      <c r="A87" s="114"/>
      <c r="B87" s="115"/>
      <c r="C87" s="115"/>
      <c r="D87" s="116"/>
      <c r="E87" s="117">
        <f t="shared" si="90"/>
        <v>0</v>
      </c>
      <c r="F87" s="117"/>
      <c r="G87" s="117"/>
      <c r="H87" s="117"/>
      <c r="I87" s="117"/>
      <c r="J87" s="117">
        <f t="shared" si="70"/>
        <v>0</v>
      </c>
      <c r="K87" s="114"/>
      <c r="L87" s="114"/>
      <c r="M87" s="114"/>
      <c r="N87" s="114"/>
      <c r="O87" s="117">
        <f t="shared" si="71"/>
        <v>0</v>
      </c>
      <c r="P87" s="117">
        <f t="shared" si="72"/>
        <v>0</v>
      </c>
      <c r="Q87" s="118"/>
      <c r="R87" s="118"/>
      <c r="S87" s="117">
        <f t="shared" si="73"/>
        <v>0</v>
      </c>
      <c r="T87" s="117"/>
      <c r="U87" s="117"/>
      <c r="V87" s="117">
        <f t="shared" si="74"/>
        <v>0</v>
      </c>
      <c r="W87" s="118"/>
      <c r="X87" s="118"/>
      <c r="Y87" s="117">
        <f t="shared" si="75"/>
        <v>0</v>
      </c>
      <c r="Z87" s="117">
        <f t="shared" si="91"/>
        <v>0</v>
      </c>
      <c r="AA87" s="119">
        <f t="shared" si="89"/>
        <v>0</v>
      </c>
      <c r="AB87" s="117">
        <f t="shared" si="77"/>
        <v>0</v>
      </c>
      <c r="AC87" s="118"/>
      <c r="AD87" s="119">
        <f t="shared" si="78"/>
        <v>0</v>
      </c>
      <c r="AE87" s="118"/>
      <c r="AF87" s="118"/>
      <c r="AG87" s="118"/>
      <c r="AH87" s="118"/>
      <c r="AI87" s="241"/>
      <c r="AJ87" s="118"/>
      <c r="AK87" s="120">
        <f t="shared" si="79"/>
        <v>0</v>
      </c>
      <c r="AL87" s="121">
        <f t="shared" si="80"/>
        <v>0</v>
      </c>
      <c r="AM87" s="122"/>
      <c r="AN87" s="123">
        <f t="shared" si="81"/>
        <v>0</v>
      </c>
      <c r="AO87" s="124">
        <f t="shared" si="82"/>
        <v>0</v>
      </c>
      <c r="AP87" s="124">
        <f t="shared" si="83"/>
        <v>0</v>
      </c>
      <c r="AQ87" s="124">
        <f t="shared" si="84"/>
        <v>0</v>
      </c>
      <c r="AR87" s="124">
        <f t="shared" si="85"/>
        <v>0</v>
      </c>
      <c r="AS87" s="124">
        <f t="array" ref="AS87">_xlfn.IFS(S87=0,AL87,S87&lt;0,AL87/-S87,S87&gt;0,AL87/S87)</f>
        <v>0</v>
      </c>
      <c r="AT87" s="119">
        <f t="shared" si="86"/>
        <v>0</v>
      </c>
      <c r="AU87" s="119">
        <f t="shared" si="87"/>
        <v>0</v>
      </c>
      <c r="AV87" s="125"/>
      <c r="AW87" s="120">
        <f t="shared" si="88"/>
        <v>0</v>
      </c>
    </row>
    <row r="88" spans="1:49" hidden="1" outlineLevel="1">
      <c r="A88" s="114"/>
      <c r="B88" s="115"/>
      <c r="C88" s="115"/>
      <c r="D88" s="116"/>
      <c r="E88" s="117">
        <f t="shared" si="90"/>
        <v>0</v>
      </c>
      <c r="F88" s="117"/>
      <c r="G88" s="117"/>
      <c r="H88" s="117"/>
      <c r="I88" s="117"/>
      <c r="J88" s="117">
        <f t="shared" si="70"/>
        <v>0</v>
      </c>
      <c r="K88" s="114"/>
      <c r="L88" s="114"/>
      <c r="M88" s="114"/>
      <c r="N88" s="114"/>
      <c r="O88" s="117">
        <f t="shared" si="71"/>
        <v>0</v>
      </c>
      <c r="P88" s="117">
        <f t="shared" si="72"/>
        <v>0</v>
      </c>
      <c r="Q88" s="118"/>
      <c r="R88" s="118"/>
      <c r="S88" s="117">
        <f t="shared" si="73"/>
        <v>0</v>
      </c>
      <c r="T88" s="117"/>
      <c r="U88" s="117"/>
      <c r="V88" s="117">
        <f t="shared" si="74"/>
        <v>0</v>
      </c>
      <c r="W88" s="118"/>
      <c r="X88" s="118"/>
      <c r="Y88" s="117">
        <f t="shared" si="75"/>
        <v>0</v>
      </c>
      <c r="Z88" s="117">
        <f t="shared" si="91"/>
        <v>0</v>
      </c>
      <c r="AA88" s="119">
        <f t="shared" si="89"/>
        <v>0</v>
      </c>
      <c r="AB88" s="117">
        <f t="shared" si="77"/>
        <v>0</v>
      </c>
      <c r="AC88" s="118"/>
      <c r="AD88" s="119">
        <f t="shared" si="78"/>
        <v>0</v>
      </c>
      <c r="AE88" s="118"/>
      <c r="AF88" s="118"/>
      <c r="AG88" s="118"/>
      <c r="AH88" s="118"/>
      <c r="AI88" s="241"/>
      <c r="AJ88" s="118"/>
      <c r="AK88" s="120">
        <f t="shared" si="79"/>
        <v>0</v>
      </c>
      <c r="AL88" s="121">
        <f t="shared" si="80"/>
        <v>0</v>
      </c>
      <c r="AM88" s="122"/>
      <c r="AN88" s="123">
        <f t="shared" si="81"/>
        <v>0</v>
      </c>
      <c r="AO88" s="124">
        <f t="shared" si="82"/>
        <v>0</v>
      </c>
      <c r="AP88" s="124">
        <f t="shared" si="83"/>
        <v>0</v>
      </c>
      <c r="AQ88" s="124">
        <f t="shared" si="84"/>
        <v>0</v>
      </c>
      <c r="AR88" s="124">
        <f t="shared" si="85"/>
        <v>0</v>
      </c>
      <c r="AS88" s="124">
        <f t="array" ref="AS88">_xlfn.IFS(S88=0,AL88,S88&lt;0,AL88/-S88,S88&gt;0,AL88/S88)</f>
        <v>0</v>
      </c>
      <c r="AT88" s="119">
        <f t="shared" si="86"/>
        <v>0</v>
      </c>
      <c r="AU88" s="119">
        <f t="shared" si="87"/>
        <v>0</v>
      </c>
      <c r="AV88" s="125"/>
      <c r="AW88" s="120">
        <f t="shared" si="88"/>
        <v>0</v>
      </c>
    </row>
    <row r="89" spans="1:49" hidden="1" outlineLevel="1">
      <c r="A89" s="114"/>
      <c r="B89" s="115"/>
      <c r="C89" s="115"/>
      <c r="D89" s="116"/>
      <c r="E89" s="117">
        <f t="shared" si="90"/>
        <v>0</v>
      </c>
      <c r="F89" s="117"/>
      <c r="G89" s="117"/>
      <c r="H89" s="117"/>
      <c r="I89" s="117"/>
      <c r="J89" s="117">
        <f t="shared" si="70"/>
        <v>0</v>
      </c>
      <c r="K89" s="114"/>
      <c r="L89" s="114"/>
      <c r="M89" s="114"/>
      <c r="N89" s="114"/>
      <c r="O89" s="117">
        <f t="shared" si="71"/>
        <v>0</v>
      </c>
      <c r="P89" s="117">
        <f t="shared" si="72"/>
        <v>0</v>
      </c>
      <c r="Q89" s="118"/>
      <c r="R89" s="118"/>
      <c r="S89" s="117">
        <f t="shared" si="73"/>
        <v>0</v>
      </c>
      <c r="T89" s="117"/>
      <c r="U89" s="117"/>
      <c r="V89" s="117">
        <f t="shared" si="74"/>
        <v>0</v>
      </c>
      <c r="W89" s="118"/>
      <c r="X89" s="118"/>
      <c r="Y89" s="117">
        <f t="shared" si="75"/>
        <v>0</v>
      </c>
      <c r="Z89" s="117">
        <f t="shared" si="91"/>
        <v>0</v>
      </c>
      <c r="AA89" s="119">
        <f t="shared" si="89"/>
        <v>0</v>
      </c>
      <c r="AB89" s="117">
        <f t="shared" si="77"/>
        <v>0</v>
      </c>
      <c r="AC89" s="118"/>
      <c r="AD89" s="119">
        <f t="shared" si="78"/>
        <v>0</v>
      </c>
      <c r="AE89" s="118"/>
      <c r="AF89" s="118"/>
      <c r="AG89" s="118"/>
      <c r="AH89" s="118"/>
      <c r="AI89" s="241"/>
      <c r="AJ89" s="118"/>
      <c r="AK89" s="120">
        <f t="shared" si="79"/>
        <v>0</v>
      </c>
      <c r="AL89" s="121">
        <f t="shared" si="80"/>
        <v>0</v>
      </c>
      <c r="AM89" s="122"/>
      <c r="AN89" s="123">
        <f t="shared" si="81"/>
        <v>0</v>
      </c>
      <c r="AO89" s="124">
        <f t="shared" si="82"/>
        <v>0</v>
      </c>
      <c r="AP89" s="124">
        <f t="shared" si="83"/>
        <v>0</v>
      </c>
      <c r="AQ89" s="124">
        <f t="shared" si="84"/>
        <v>0</v>
      </c>
      <c r="AR89" s="124">
        <f t="shared" si="85"/>
        <v>0</v>
      </c>
      <c r="AS89" s="124">
        <f t="array" ref="AS89">_xlfn.IFS(S89=0,AL89,S89&lt;0,AL89/-S89,S89&gt;0,AL89/S89)</f>
        <v>0</v>
      </c>
      <c r="AT89" s="119">
        <f t="shared" si="86"/>
        <v>0</v>
      </c>
      <c r="AU89" s="119">
        <f t="shared" si="87"/>
        <v>0</v>
      </c>
      <c r="AV89" s="125"/>
      <c r="AW89" s="120">
        <f t="shared" si="88"/>
        <v>0</v>
      </c>
    </row>
    <row r="90" spans="1:49" collapsed="1">
      <c r="A90" s="158"/>
      <c r="B90" s="126"/>
      <c r="C90" s="114"/>
      <c r="D90" s="158"/>
      <c r="E90" s="117"/>
      <c r="F90" s="117"/>
      <c r="G90" s="117"/>
      <c r="H90" s="117"/>
      <c r="I90" s="117"/>
      <c r="J90" s="117"/>
      <c r="K90" s="159"/>
      <c r="L90" s="160"/>
      <c r="M90" s="160"/>
      <c r="N90" s="160"/>
      <c r="O90" s="159"/>
      <c r="P90" s="159"/>
      <c r="Q90" s="117"/>
      <c r="R90" s="117"/>
      <c r="S90" s="117"/>
      <c r="T90" s="117"/>
      <c r="U90" s="117"/>
      <c r="V90" s="117"/>
      <c r="W90" s="117"/>
      <c r="X90" s="117"/>
      <c r="Y90" s="117"/>
      <c r="Z90" s="117"/>
      <c r="AA90" s="119"/>
      <c r="AB90" s="117"/>
      <c r="AC90" s="117"/>
      <c r="AD90" s="119"/>
      <c r="AE90" s="117"/>
      <c r="AF90" s="118"/>
      <c r="AG90" s="118"/>
      <c r="AH90" s="118"/>
      <c r="AI90" s="152"/>
      <c r="AJ90" s="118"/>
      <c r="AK90" s="120"/>
      <c r="AL90" s="121"/>
      <c r="AM90" s="122"/>
      <c r="AN90" s="161">
        <f>AVERAGE(AN38:AN89)</f>
        <v>0</v>
      </c>
      <c r="AO90" s="161">
        <f t="shared" ref="AO90:AU90" si="92">AVERAGE(AO38:AO89)</f>
        <v>0</v>
      </c>
      <c r="AP90" s="161">
        <f t="shared" si="92"/>
        <v>0</v>
      </c>
      <c r="AQ90" s="161">
        <f t="shared" si="92"/>
        <v>0</v>
      </c>
      <c r="AR90" s="161">
        <f t="shared" si="92"/>
        <v>0</v>
      </c>
      <c r="AS90" s="161">
        <f t="shared" si="92"/>
        <v>0</v>
      </c>
      <c r="AT90" s="162">
        <f t="shared" si="92"/>
        <v>0</v>
      </c>
      <c r="AU90" s="162">
        <f t="shared" si="92"/>
        <v>0</v>
      </c>
      <c r="AV90" s="125"/>
      <c r="AW90" s="120"/>
    </row>
    <row r="91" spans="1:49" s="171" customFormat="1" ht="15" customHeight="1">
      <c r="A91" s="163" t="s">
        <v>107</v>
      </c>
      <c r="B91" s="164"/>
      <c r="C91" s="165"/>
      <c r="D91" s="165"/>
      <c r="E91" s="165">
        <f>SUM(E38:E89)</f>
        <v>0</v>
      </c>
      <c r="F91" s="165">
        <f>SUM(F38:F89)</f>
        <v>0</v>
      </c>
      <c r="G91" s="165">
        <f>SUM(G38:G89)</f>
        <v>0</v>
      </c>
      <c r="H91" s="165">
        <f>SUM(H38:H89)</f>
        <v>0</v>
      </c>
      <c r="I91" s="165"/>
      <c r="J91" s="165">
        <f>SUM(J38:J89)</f>
        <v>0</v>
      </c>
      <c r="K91" s="165"/>
      <c r="L91" s="165">
        <f>SUM(L38:L89)</f>
        <v>0</v>
      </c>
      <c r="M91" s="165"/>
      <c r="N91" s="165"/>
      <c r="O91" s="165"/>
      <c r="P91" s="165"/>
      <c r="Q91" s="165">
        <f t="shared" ref="Q91:AC91" si="93">SUM(Q38:Q89)</f>
        <v>0</v>
      </c>
      <c r="R91" s="165">
        <f t="shared" si="93"/>
        <v>0</v>
      </c>
      <c r="S91" s="165">
        <f t="shared" si="93"/>
        <v>0</v>
      </c>
      <c r="T91" s="165">
        <f t="shared" si="93"/>
        <v>0</v>
      </c>
      <c r="U91" s="165">
        <f t="shared" si="93"/>
        <v>0</v>
      </c>
      <c r="V91" s="165">
        <f t="shared" si="93"/>
        <v>0</v>
      </c>
      <c r="W91" s="165">
        <f t="shared" si="93"/>
        <v>0</v>
      </c>
      <c r="X91" s="165">
        <f t="shared" si="93"/>
        <v>0</v>
      </c>
      <c r="Y91" s="165">
        <f t="shared" si="93"/>
        <v>0</v>
      </c>
      <c r="Z91" s="165">
        <f t="shared" si="93"/>
        <v>0</v>
      </c>
      <c r="AA91" s="166">
        <f t="shared" si="93"/>
        <v>0</v>
      </c>
      <c r="AB91" s="167">
        <f t="shared" si="93"/>
        <v>0</v>
      </c>
      <c r="AC91" s="165">
        <f t="shared" si="93"/>
        <v>0</v>
      </c>
      <c r="AD91" s="166" t="e">
        <f>AC91/Y91</f>
        <v>#DIV/0!</v>
      </c>
      <c r="AE91" s="165">
        <f t="shared" ref="AE91:AK91" si="94">SUM(AE38:AE89)</f>
        <v>0</v>
      </c>
      <c r="AF91" s="165">
        <f t="shared" si="94"/>
        <v>0</v>
      </c>
      <c r="AG91" s="165">
        <f>SUM(AG38:AG89)</f>
        <v>0</v>
      </c>
      <c r="AH91" s="165">
        <f>SUM(AH38:AH89)</f>
        <v>0</v>
      </c>
      <c r="AI91" s="168">
        <f>SUM(AI38:AI89)</f>
        <v>0</v>
      </c>
      <c r="AJ91" s="165">
        <f t="shared" si="94"/>
        <v>0</v>
      </c>
      <c r="AK91" s="165">
        <f t="shared" si="94"/>
        <v>0</v>
      </c>
      <c r="AL91" s="165">
        <f>SUM(AL38:AL89)</f>
        <v>0</v>
      </c>
      <c r="AM91" s="169"/>
      <c r="AN91" s="165"/>
      <c r="AO91" s="165"/>
      <c r="AP91" s="165"/>
      <c r="AQ91" s="165"/>
      <c r="AR91" s="165" t="e">
        <f>(AF91+AG91)/Q91</f>
        <v>#DIV/0!</v>
      </c>
      <c r="AS91" s="165"/>
      <c r="AT91" s="165"/>
      <c r="AU91" s="165"/>
      <c r="AV91" s="170"/>
      <c r="AW91" s="165">
        <f>SUM(AW38:AW89)</f>
        <v>0</v>
      </c>
    </row>
    <row r="92" spans="1:49" s="175" customFormat="1">
      <c r="A92" s="172"/>
      <c r="B92" s="173"/>
      <c r="C92" s="174"/>
      <c r="D92" s="174"/>
      <c r="L92" s="176"/>
      <c r="M92" s="176"/>
      <c r="N92" s="176"/>
      <c r="P92" s="177"/>
      <c r="Q92" s="178"/>
      <c r="R92" s="178"/>
      <c r="S92" s="179"/>
      <c r="T92" s="179"/>
      <c r="U92" s="179"/>
      <c r="V92" s="179"/>
      <c r="W92" s="178"/>
      <c r="X92" s="179"/>
      <c r="Y92" s="179"/>
      <c r="Z92" s="179"/>
      <c r="AC92" s="180"/>
      <c r="AE92" s="178"/>
      <c r="AF92" s="347"/>
      <c r="AG92" s="347"/>
      <c r="AH92" s="257"/>
      <c r="AI92" s="182"/>
      <c r="AJ92" s="183"/>
      <c r="AM92" s="184"/>
      <c r="AN92" s="176"/>
      <c r="AO92" s="176"/>
      <c r="AP92" s="176"/>
      <c r="AQ92" s="176"/>
      <c r="AR92" s="176"/>
      <c r="AS92" s="176"/>
      <c r="AT92" s="176"/>
      <c r="AU92" s="176"/>
      <c r="AV92" s="185"/>
    </row>
    <row r="93" spans="1:49" s="194" customFormat="1">
      <c r="A93" s="186" t="s">
        <v>7</v>
      </c>
      <c r="B93" s="187"/>
      <c r="C93" s="188"/>
      <c r="D93" s="188"/>
      <c r="E93" s="188">
        <f t="shared" ref="E93:AC93" si="95">E36+E91</f>
        <v>0</v>
      </c>
      <c r="F93" s="188">
        <f t="shared" si="95"/>
        <v>0</v>
      </c>
      <c r="G93" s="188">
        <f t="shared" si="95"/>
        <v>0</v>
      </c>
      <c r="H93" s="188">
        <f t="shared" si="95"/>
        <v>0</v>
      </c>
      <c r="I93" s="188">
        <f t="shared" si="95"/>
        <v>0</v>
      </c>
      <c r="J93" s="188">
        <f t="shared" si="95"/>
        <v>0</v>
      </c>
      <c r="K93" s="188">
        <f t="shared" si="95"/>
        <v>0</v>
      </c>
      <c r="L93" s="188">
        <f t="shared" si="95"/>
        <v>674</v>
      </c>
      <c r="M93" s="188">
        <f t="shared" si="95"/>
        <v>0</v>
      </c>
      <c r="N93" s="188">
        <f t="shared" si="95"/>
        <v>0</v>
      </c>
      <c r="O93" s="188">
        <f t="shared" si="95"/>
        <v>0</v>
      </c>
      <c r="P93" s="188">
        <f t="shared" si="95"/>
        <v>0</v>
      </c>
      <c r="Q93" s="188">
        <f t="shared" si="95"/>
        <v>330</v>
      </c>
      <c r="R93" s="188">
        <f t="shared" si="95"/>
        <v>-3</v>
      </c>
      <c r="S93" s="188">
        <f t="shared" si="95"/>
        <v>327</v>
      </c>
      <c r="T93" s="188">
        <f t="shared" si="95"/>
        <v>235366.16000000003</v>
      </c>
      <c r="U93" s="188">
        <f t="shared" si="95"/>
        <v>-2235</v>
      </c>
      <c r="V93" s="188">
        <f t="shared" si="95"/>
        <v>233131.16000000003</v>
      </c>
      <c r="W93" s="188">
        <f t="shared" si="95"/>
        <v>366652.67000000004</v>
      </c>
      <c r="X93" s="188">
        <f t="shared" si="95"/>
        <v>-3626</v>
      </c>
      <c r="Y93" s="188">
        <f t="shared" si="95"/>
        <v>363026.67000000004</v>
      </c>
      <c r="Z93" s="188">
        <f t="shared" si="95"/>
        <v>0</v>
      </c>
      <c r="AA93" s="189">
        <f t="shared" si="95"/>
        <v>0.99999999999999989</v>
      </c>
      <c r="AB93" s="190">
        <f t="shared" si="95"/>
        <v>43893.80999999999</v>
      </c>
      <c r="AC93" s="188">
        <f t="shared" si="95"/>
        <v>132170.15000000002</v>
      </c>
      <c r="AD93" s="189">
        <f>AC93/Y93</f>
        <v>0.36407834719140608</v>
      </c>
      <c r="AE93" s="190">
        <f t="shared" ref="AE93:AL93" si="96">AE36+AE91</f>
        <v>0</v>
      </c>
      <c r="AF93" s="191">
        <f t="shared" si="96"/>
        <v>0</v>
      </c>
      <c r="AG93" s="191">
        <f t="shared" si="96"/>
        <v>0</v>
      </c>
      <c r="AH93" s="191">
        <f t="shared" si="96"/>
        <v>0</v>
      </c>
      <c r="AI93" s="191">
        <f t="shared" si="96"/>
        <v>0</v>
      </c>
      <c r="AJ93" s="188">
        <f t="shared" si="96"/>
        <v>0</v>
      </c>
      <c r="AK93" s="188">
        <f t="shared" si="96"/>
        <v>2331.3115999999991</v>
      </c>
      <c r="AL93" s="188">
        <f t="shared" si="96"/>
        <v>184631.39839999998</v>
      </c>
      <c r="AM93" s="188"/>
      <c r="AN93" s="188"/>
      <c r="AO93" s="188"/>
      <c r="AP93" s="188"/>
      <c r="AQ93" s="188"/>
      <c r="AR93" s="188">
        <f>(AF93+AG93)/Q93</f>
        <v>0</v>
      </c>
      <c r="AS93" s="188"/>
      <c r="AT93" s="188"/>
      <c r="AU93" s="188"/>
      <c r="AV93" s="193"/>
      <c r="AW93" s="188">
        <f>AW36+AW91</f>
        <v>0</v>
      </c>
    </row>
    <row r="94" spans="1:49" s="175" customFormat="1">
      <c r="A94" s="174"/>
      <c r="B94" s="173"/>
      <c r="C94" s="195"/>
      <c r="D94" s="174"/>
      <c r="L94" s="176"/>
      <c r="M94" s="176"/>
      <c r="N94" s="176"/>
      <c r="P94" s="177"/>
      <c r="Q94" s="178"/>
      <c r="R94" s="178"/>
      <c r="S94" s="179"/>
      <c r="T94" s="179"/>
      <c r="U94" s="179"/>
      <c r="V94" s="179"/>
      <c r="W94" s="178"/>
      <c r="X94" s="179"/>
      <c r="Y94" s="179"/>
      <c r="Z94" s="179"/>
      <c r="AC94" s="180"/>
      <c r="AE94" s="196"/>
      <c r="AF94" s="347"/>
      <c r="AG94" s="347"/>
      <c r="AH94" s="257"/>
      <c r="AI94" s="182"/>
      <c r="AJ94" s="183"/>
      <c r="AL94" s="175">
        <f>Сводная!AD14+Сводная!V14</f>
        <v>146047.95839999994</v>
      </c>
      <c r="AM94" s="184"/>
      <c r="AN94" s="184"/>
      <c r="AO94" s="184"/>
      <c r="AP94" s="184"/>
      <c r="AQ94" s="184"/>
      <c r="AR94" s="184"/>
      <c r="AS94" s="184"/>
      <c r="AT94" s="184"/>
      <c r="AU94" s="184"/>
      <c r="AV94" s="185"/>
    </row>
    <row r="95" spans="1:49">
      <c r="C95" s="198"/>
      <c r="D95" s="198"/>
    </row>
    <row r="96" spans="1:49">
      <c r="C96" s="198"/>
      <c r="D96" s="198"/>
    </row>
  </sheetData>
  <mergeCells count="10">
    <mergeCell ref="AN1:AU1"/>
    <mergeCell ref="AF37:AG37"/>
    <mergeCell ref="AF92:AG92"/>
    <mergeCell ref="AF94:AG94"/>
    <mergeCell ref="F1:H1"/>
    <mergeCell ref="L1:N1"/>
    <mergeCell ref="Q1:R1"/>
    <mergeCell ref="T1:U1"/>
    <mergeCell ref="W1:X1"/>
    <mergeCell ref="AF1:AG1"/>
  </mergeCells>
  <conditionalFormatting sqref="K90:M90 K37:K89 K3:K35">
    <cfRule type="cellIs" dxfId="42" priority="3" operator="greaterThan">
      <formula>120</formula>
    </cfRule>
  </conditionalFormatting>
  <conditionalFormatting sqref="O90">
    <cfRule type="cellIs" dxfId="41" priority="2" operator="between">
      <formula>0.000001</formula>
      <formula>25</formula>
    </cfRule>
  </conditionalFormatting>
  <conditionalFormatting sqref="AA92 AA94:AA1048576">
    <cfRule type="cellIs" dxfId="40" priority="4" operator="greaterThan">
      <formula>0.23</formula>
    </cfRule>
  </conditionalFormatting>
  <conditionalFormatting sqref="Y37:AA90 Y3:AA35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{667D3E22-92A7-442F-8EAC-E8A252DC3A29}</x14:id>
        </ext>
      </extLst>
    </cfRule>
  </conditionalFormatting>
  <conditionalFormatting sqref="AS37:AS89 AS3:AS34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{E64CE39A-FD0C-4440-988A-2327D79FF9E1}</x14:id>
        </ext>
      </extLst>
    </cfRule>
  </conditionalFormatting>
  <conditionalFormatting sqref="AT37:AU89 AT3:AU34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{0F40AB91-B90D-4663-A990-6D6B8941A7B2}</x14:id>
        </ext>
      </extLst>
    </cfRule>
  </conditionalFormatting>
  <conditionalFormatting sqref="AW37:AW90 AW3:AW35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{42B47996-85C5-45A7-833A-52931C37AFEE}</x14:id>
        </ext>
      </extLst>
    </cfRule>
  </conditionalFormatting>
  <conditionalFormatting sqref="AA37:AA89 AA3:AA35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{BE2F7E3E-872E-49B4-810B-347994613E26}</x14:id>
        </ext>
      </extLst>
    </cfRule>
  </conditionalFormatting>
  <conditionalFormatting sqref="AW37:AW89 AW3:AW35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{38A24196-D5FC-4CCC-8C39-3B3D451226E8}</x14:id>
        </ext>
      </extLst>
    </cfRule>
  </conditionalFormatting>
  <conditionalFormatting sqref="AL37:AL90 AL3:AL35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{7F7A9860-4D90-41D3-9A88-57BE7890BBC3}</x14:id>
        </ext>
      </extLst>
    </cfRule>
  </conditionalFormatting>
  <conditionalFormatting sqref="AL37:AL89 AL3:AL35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{A07C2AAD-3D85-46E1-BE98-186C84A7CFAC}</x14:id>
        </ext>
      </extLst>
    </cfRule>
  </conditionalFormatting>
  <conditionalFormatting sqref="AA1">
    <cfRule type="cellIs" dxfId="39" priority="1" operator="greaterThan">
      <formula>0.23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67D3E22-92A7-442F-8EAC-E8A252DC3A2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Y37:AA90 Y3:AA35</xm:sqref>
        </x14:conditionalFormatting>
        <x14:conditionalFormatting xmlns:xm="http://schemas.microsoft.com/office/excel/2006/main">
          <x14:cfRule type="dataBar" id="{E64CE39A-FD0C-4440-988A-2327D79FF9E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AS37:AS89 AS3:AS34</xm:sqref>
        </x14:conditionalFormatting>
        <x14:conditionalFormatting xmlns:xm="http://schemas.microsoft.com/office/excel/2006/main">
          <x14:cfRule type="dataBar" id="{0F40AB91-B90D-4663-A990-6D6B8941A7B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AT37:AU89 AT3:AU34</xm:sqref>
        </x14:conditionalFormatting>
        <x14:conditionalFormatting xmlns:xm="http://schemas.microsoft.com/office/excel/2006/main">
          <x14:cfRule type="dataBar" id="{42B47996-85C5-45A7-833A-52931C37AFE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AW37:AW90 AW3:AW35</xm:sqref>
        </x14:conditionalFormatting>
        <x14:conditionalFormatting xmlns:xm="http://schemas.microsoft.com/office/excel/2006/main">
          <x14:cfRule type="dataBar" id="{BE2F7E3E-872E-49B4-810B-347994613E2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AA37:AA89 AA3:AA35</xm:sqref>
        </x14:conditionalFormatting>
        <x14:conditionalFormatting xmlns:xm="http://schemas.microsoft.com/office/excel/2006/main">
          <x14:cfRule type="dataBar" id="{38A24196-D5FC-4CCC-8C39-3B3D451226E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AW37:AW89 AW3:AW35</xm:sqref>
        </x14:conditionalFormatting>
        <x14:conditionalFormatting xmlns:xm="http://schemas.microsoft.com/office/excel/2006/main">
          <x14:cfRule type="dataBar" id="{7F7A9860-4D90-41D3-9A88-57BE7890BBC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AL37:AL90 AL3:AL35</xm:sqref>
        </x14:conditionalFormatting>
        <x14:conditionalFormatting xmlns:xm="http://schemas.microsoft.com/office/excel/2006/main">
          <x14:cfRule type="dataBar" id="{A07C2AAD-3D85-46E1-BE98-186C84A7CFA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AL37:AL89 AL3:AL35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D500D-6EA9-41F2-8E22-6542573A7DB5}">
  <dimension ref="A1:AW96"/>
  <sheetViews>
    <sheetView zoomScale="70" zoomScaleNormal="70" workbookViewId="0">
      <pane xSplit="3" ySplit="2" topLeftCell="D16" activePane="bottomRight" state="frozen"/>
      <selection pane="topRight" activeCell="D1" sqref="D1"/>
      <selection pane="bottomLeft" activeCell="A3" sqref="A3"/>
      <selection pane="bottomRight" activeCell="I1" sqref="I1:I1048576"/>
    </sheetView>
  </sheetViews>
  <sheetFormatPr defaultColWidth="12.54296875" defaultRowHeight="14.5" outlineLevelRow="1"/>
  <cols>
    <col min="1" max="1" width="9.08984375" style="197" customWidth="1"/>
    <col min="2" max="2" width="12.54296875" style="202"/>
    <col min="3" max="3" width="19.90625" style="197" customWidth="1"/>
    <col min="4" max="4" width="16.6328125" style="197" customWidth="1"/>
    <col min="5" max="5" width="12.36328125" style="126" customWidth="1"/>
    <col min="6" max="6" width="10.90625" style="126" customWidth="1"/>
    <col min="7" max="8" width="12.36328125" style="126" customWidth="1"/>
    <col min="9" max="9" width="13.36328125" style="126" customWidth="1"/>
    <col min="10" max="10" width="14.1796875" style="126" customWidth="1"/>
    <col min="11" max="11" width="14.26953125" style="126" customWidth="1"/>
    <col min="12" max="12" width="13.6328125" style="126" customWidth="1"/>
    <col min="13" max="13" width="15.08984375" style="126" customWidth="1"/>
    <col min="14" max="14" width="14.54296875" style="126" customWidth="1"/>
    <col min="15" max="16" width="11" style="126" customWidth="1"/>
    <col min="17" max="17" width="11.1796875" style="126" customWidth="1"/>
    <col min="18" max="18" width="12.08984375" style="126" customWidth="1"/>
    <col min="19" max="22" width="11.26953125" style="199" customWidth="1"/>
    <col min="23" max="23" width="13.1796875" style="199" customWidth="1"/>
    <col min="24" max="24" width="12.36328125" style="199" customWidth="1"/>
    <col min="25" max="25" width="20.7265625" style="199" customWidth="1"/>
    <col min="26" max="26" width="15.90625" style="199" customWidth="1"/>
    <col min="27" max="27" width="13.36328125" style="200" customWidth="1"/>
    <col min="28" max="28" width="14.453125" style="126" customWidth="1"/>
    <col min="29" max="29" width="17.81640625" style="126" customWidth="1"/>
    <col min="30" max="30" width="14.26953125" style="126" customWidth="1"/>
    <col min="31" max="31" width="19.08984375" style="126" customWidth="1"/>
    <col min="32" max="34" width="10.36328125" style="117" customWidth="1"/>
    <col min="35" max="35" width="18.08984375" style="201" customWidth="1"/>
    <col min="36" max="36" width="18.6328125" style="117" customWidth="1"/>
    <col min="37" max="37" width="12.54296875" style="126"/>
    <col min="38" max="38" width="18.90625" style="126" customWidth="1"/>
    <col min="39" max="39" width="3.08984375" style="126" customWidth="1"/>
    <col min="40" max="40" width="19.90625" style="126" customWidth="1"/>
    <col min="41" max="41" width="14.26953125" style="126" customWidth="1"/>
    <col min="42" max="42" width="9.6328125" style="126" customWidth="1"/>
    <col min="43" max="43" width="11.1796875" style="126" customWidth="1"/>
    <col min="44" max="44" width="9.54296875" style="126" customWidth="1"/>
    <col min="45" max="45" width="10.1796875" style="126" customWidth="1"/>
    <col min="46" max="46" width="11.7265625" style="126" customWidth="1"/>
    <col min="47" max="47" width="12.54296875" style="126"/>
    <col min="48" max="48" width="3.36328125" style="140" customWidth="1"/>
    <col min="49" max="16384" width="12.54296875" style="126"/>
  </cols>
  <sheetData>
    <row r="1" spans="1:49" s="95" customFormat="1" ht="16" customHeight="1">
      <c r="A1" s="92" t="s">
        <v>166</v>
      </c>
      <c r="B1" s="93"/>
      <c r="C1" s="92"/>
      <c r="D1" s="92"/>
      <c r="E1" s="94"/>
      <c r="F1" s="348" t="s">
        <v>47</v>
      </c>
      <c r="G1" s="348"/>
      <c r="H1" s="348"/>
      <c r="K1" s="283" t="s">
        <v>48</v>
      </c>
      <c r="L1" s="348" t="s">
        <v>49</v>
      </c>
      <c r="M1" s="348"/>
      <c r="N1" s="348"/>
      <c r="P1" s="96"/>
      <c r="Q1" s="349"/>
      <c r="R1" s="349"/>
      <c r="S1" s="240"/>
      <c r="T1" s="350"/>
      <c r="U1" s="351"/>
      <c r="V1" s="240"/>
      <c r="W1" s="349"/>
      <c r="X1" s="349"/>
      <c r="Y1" s="96"/>
      <c r="Z1" s="96"/>
      <c r="AA1" s="96"/>
      <c r="AB1" s="96"/>
      <c r="AC1" s="239"/>
      <c r="AD1" s="240"/>
      <c r="AE1" s="239"/>
      <c r="AF1" s="352"/>
      <c r="AG1" s="352"/>
      <c r="AH1" s="284"/>
      <c r="AI1" s="97" t="s">
        <v>50</v>
      </c>
      <c r="AJ1" s="239"/>
      <c r="AM1" s="98"/>
      <c r="AN1" s="343" t="s">
        <v>51</v>
      </c>
      <c r="AO1" s="344"/>
      <c r="AP1" s="344"/>
      <c r="AQ1" s="344"/>
      <c r="AR1" s="344"/>
      <c r="AS1" s="344"/>
      <c r="AT1" s="344"/>
      <c r="AU1" s="345"/>
      <c r="AV1" s="99"/>
    </row>
    <row r="2" spans="1:49" s="113" customFormat="1" ht="50.5" customHeight="1">
      <c r="A2" s="100" t="s">
        <v>52</v>
      </c>
      <c r="B2" s="101" t="s">
        <v>53</v>
      </c>
      <c r="C2" s="100" t="s">
        <v>54</v>
      </c>
      <c r="D2" s="100" t="s">
        <v>55</v>
      </c>
      <c r="E2" s="100" t="s">
        <v>168</v>
      </c>
      <c r="F2" s="102" t="s">
        <v>57</v>
      </c>
      <c r="G2" s="102" t="s">
        <v>58</v>
      </c>
      <c r="H2" s="102" t="s">
        <v>59</v>
      </c>
      <c r="I2" s="100" t="s">
        <v>60</v>
      </c>
      <c r="J2" s="100" t="s">
        <v>61</v>
      </c>
      <c r="K2" s="103" t="s">
        <v>62</v>
      </c>
      <c r="L2" s="103" t="s">
        <v>63</v>
      </c>
      <c r="M2" s="103" t="s">
        <v>64</v>
      </c>
      <c r="N2" s="103" t="s">
        <v>65</v>
      </c>
      <c r="O2" s="104" t="s">
        <v>66</v>
      </c>
      <c r="P2" s="104" t="s">
        <v>67</v>
      </c>
      <c r="Q2" s="105" t="s">
        <v>68</v>
      </c>
      <c r="R2" s="105" t="s">
        <v>69</v>
      </c>
      <c r="S2" s="100" t="s">
        <v>70</v>
      </c>
      <c r="T2" s="102" t="s">
        <v>71</v>
      </c>
      <c r="U2" s="102" t="s">
        <v>72</v>
      </c>
      <c r="V2" s="106" t="s">
        <v>73</v>
      </c>
      <c r="W2" s="105" t="s">
        <v>74</v>
      </c>
      <c r="X2" s="105" t="s">
        <v>75</v>
      </c>
      <c r="Y2" s="107" t="s">
        <v>76</v>
      </c>
      <c r="Z2" s="108" t="s">
        <v>77</v>
      </c>
      <c r="AA2" s="107" t="s">
        <v>78</v>
      </c>
      <c r="AB2" s="107" t="s">
        <v>18</v>
      </c>
      <c r="AC2" s="109" t="s">
        <v>79</v>
      </c>
      <c r="AD2" s="110" t="s">
        <v>80</v>
      </c>
      <c r="AE2" s="105" t="s">
        <v>8</v>
      </c>
      <c r="AF2" s="104" t="s">
        <v>25</v>
      </c>
      <c r="AG2" s="104" t="s">
        <v>26</v>
      </c>
      <c r="AH2" s="104" t="s">
        <v>27</v>
      </c>
      <c r="AI2" s="105" t="s">
        <v>9</v>
      </c>
      <c r="AJ2" s="105" t="s">
        <v>81</v>
      </c>
      <c r="AK2" s="100" t="s">
        <v>82</v>
      </c>
      <c r="AL2" s="100" t="s">
        <v>11</v>
      </c>
      <c r="AM2" s="111"/>
      <c r="AN2" s="110" t="s">
        <v>83</v>
      </c>
      <c r="AO2" s="110" t="s">
        <v>84</v>
      </c>
      <c r="AP2" s="110" t="s">
        <v>85</v>
      </c>
      <c r="AQ2" s="110" t="s">
        <v>86</v>
      </c>
      <c r="AR2" s="110" t="s">
        <v>87</v>
      </c>
      <c r="AS2" s="110" t="s">
        <v>88</v>
      </c>
      <c r="AT2" s="110" t="s">
        <v>89</v>
      </c>
      <c r="AU2" s="110" t="s">
        <v>90</v>
      </c>
      <c r="AV2" s="112"/>
      <c r="AW2" s="100" t="s">
        <v>91</v>
      </c>
    </row>
    <row r="3" spans="1:49" outlineLevel="1">
      <c r="A3" s="114"/>
      <c r="B3" s="115">
        <v>341479791</v>
      </c>
      <c r="C3" s="115" t="s">
        <v>92</v>
      </c>
      <c r="D3" s="116" t="s">
        <v>93</v>
      </c>
      <c r="E3" s="117">
        <f>F3+G3+H3</f>
        <v>0</v>
      </c>
      <c r="F3" s="117"/>
      <c r="G3" s="117"/>
      <c r="H3" s="117"/>
      <c r="I3" s="117">
        <v>142.97999999999999</v>
      </c>
      <c r="J3" s="117">
        <f t="shared" ref="J3:J34" si="0">E3*I3</f>
        <v>0</v>
      </c>
      <c r="K3" s="114"/>
      <c r="L3" s="114"/>
      <c r="M3" s="114"/>
      <c r="N3" s="114"/>
      <c r="O3" s="213">
        <f t="shared" ref="O3:O34" si="1">L3/7</f>
        <v>0</v>
      </c>
      <c r="P3" s="117">
        <f t="shared" ref="P3" si="2">S3/7</f>
        <v>0</v>
      </c>
      <c r="Q3" s="118"/>
      <c r="R3" s="118"/>
      <c r="S3" s="117">
        <f>Q3+R3</f>
        <v>0</v>
      </c>
      <c r="T3" s="118"/>
      <c r="U3" s="118"/>
      <c r="V3" s="117">
        <f>T3+U3</f>
        <v>0</v>
      </c>
      <c r="W3" s="118"/>
      <c r="X3" s="118"/>
      <c r="Y3" s="117">
        <f t="shared" ref="Y3:Y34" si="3">W3+X3</f>
        <v>0</v>
      </c>
      <c r="Z3" s="117">
        <f>L3*M3*N3/100</f>
        <v>0</v>
      </c>
      <c r="AA3" s="119" t="e">
        <f t="shared" ref="AA3:AA15" si="4">Y3/$Y$93</f>
        <v>#DIV/0!</v>
      </c>
      <c r="AB3" s="117">
        <f>S3*I3</f>
        <v>0</v>
      </c>
      <c r="AC3" s="118"/>
      <c r="AD3" s="119">
        <f t="shared" ref="AD3:AD34" si="5">IF(Y3=0,0,AC3/Y3)</f>
        <v>0</v>
      </c>
      <c r="AE3" s="118"/>
      <c r="AF3" s="118"/>
      <c r="AG3" s="118"/>
      <c r="AH3" s="118"/>
      <c r="AI3" s="152">
        <f t="shared" ref="AI3:AI15" si="6">IFERROR($AI$93*H3/$H$93,0)</f>
        <v>0</v>
      </c>
      <c r="AJ3" s="118"/>
      <c r="AK3" s="120">
        <f>V3*1%</f>
        <v>0</v>
      </c>
      <c r="AL3" s="121">
        <f>Y3-AB3-AC3-AE3-AF3-AG3-AH3-AI3-AK3-AJ3</f>
        <v>0</v>
      </c>
      <c r="AM3" s="122"/>
      <c r="AN3" s="123">
        <f t="shared" ref="AN3:AN34" si="7">IF(S3=0,0,Y3/S3)</f>
        <v>0</v>
      </c>
      <c r="AO3" s="124">
        <f t="shared" ref="AO3:AO34" si="8">I3</f>
        <v>142.97999999999999</v>
      </c>
      <c r="AP3" s="124">
        <f t="shared" ref="AP3:AP34" si="9">IF(S3=0,0,AC3/S3)</f>
        <v>0</v>
      </c>
      <c r="AQ3" s="124">
        <f>IF(Q3=0,AE3/1,AE3/Q3)</f>
        <v>0</v>
      </c>
      <c r="AR3" s="124">
        <f>IF(Q3=0,0,(AF3+AG3)/Q3)</f>
        <v>0</v>
      </c>
      <c r="AS3" s="124">
        <f>_xlfn.IFS(S3=0,AL3,S3&lt;0,AL3/-S3,S3&gt;0,AL3/S3)</f>
        <v>0</v>
      </c>
      <c r="AT3" s="119">
        <f t="shared" ref="AT3" si="10">IF(AN3=0,0,AS3/AN3)</f>
        <v>0</v>
      </c>
      <c r="AU3" s="119">
        <f t="shared" ref="AU3" si="11">IF(AO3=0,0,AS3/AO3)</f>
        <v>0</v>
      </c>
      <c r="AV3" s="125"/>
      <c r="AW3" s="120">
        <f t="shared" ref="AW3:AW34" si="12">AS3*E3</f>
        <v>0</v>
      </c>
    </row>
    <row r="4" spans="1:49" outlineLevel="1">
      <c r="A4" s="114"/>
      <c r="B4" s="115">
        <v>340343575</v>
      </c>
      <c r="C4" s="115" t="s">
        <v>94</v>
      </c>
      <c r="D4" s="116" t="s">
        <v>93</v>
      </c>
      <c r="E4" s="117">
        <f t="shared" ref="E4:E34" si="13">F4+G4+H4</f>
        <v>0</v>
      </c>
      <c r="F4" s="117"/>
      <c r="G4" s="117"/>
      <c r="H4" s="117"/>
      <c r="I4" s="117">
        <v>123.09</v>
      </c>
      <c r="J4" s="117">
        <f t="shared" si="0"/>
        <v>0</v>
      </c>
      <c r="K4" s="114"/>
      <c r="L4" s="114"/>
      <c r="M4" s="114"/>
      <c r="N4" s="114"/>
      <c r="O4" s="213">
        <f t="shared" si="1"/>
        <v>0</v>
      </c>
      <c r="P4" s="117">
        <f>S4/7</f>
        <v>0</v>
      </c>
      <c r="Q4" s="118"/>
      <c r="R4" s="118"/>
      <c r="S4" s="117">
        <f t="shared" ref="S4:S34" si="14">Q4+R4</f>
        <v>0</v>
      </c>
      <c r="T4" s="118"/>
      <c r="U4" s="118"/>
      <c r="V4" s="117">
        <f t="shared" ref="V4:V34" si="15">T4+U4</f>
        <v>0</v>
      </c>
      <c r="W4" s="118"/>
      <c r="X4" s="118"/>
      <c r="Y4" s="117">
        <f t="shared" si="3"/>
        <v>0</v>
      </c>
      <c r="Z4" s="117">
        <f t="shared" ref="Z4:Z34" si="16">L4*M4*N4/100</f>
        <v>0</v>
      </c>
      <c r="AA4" s="119" t="e">
        <f t="shared" si="4"/>
        <v>#DIV/0!</v>
      </c>
      <c r="AB4" s="117">
        <f t="shared" ref="AB4:AB34" si="17">S4*I4</f>
        <v>0</v>
      </c>
      <c r="AC4" s="118"/>
      <c r="AD4" s="119">
        <f t="shared" si="5"/>
        <v>0</v>
      </c>
      <c r="AE4" s="118"/>
      <c r="AF4" s="118"/>
      <c r="AG4" s="118"/>
      <c r="AH4" s="118"/>
      <c r="AI4" s="152">
        <f t="shared" si="6"/>
        <v>0</v>
      </c>
      <c r="AJ4" s="118"/>
      <c r="AK4" s="120">
        <f t="shared" ref="AK4:AK34" si="18">V4*1%</f>
        <v>0</v>
      </c>
      <c r="AL4" s="121">
        <f t="shared" ref="AL4:AL34" si="19">Y4-AB4-AC4-AE4-AF4-AG4-AH4-AI4-AK4-AJ4</f>
        <v>0</v>
      </c>
      <c r="AM4" s="122"/>
      <c r="AN4" s="123">
        <f t="shared" si="7"/>
        <v>0</v>
      </c>
      <c r="AO4" s="124">
        <f t="shared" si="8"/>
        <v>123.09</v>
      </c>
      <c r="AP4" s="124">
        <f t="shared" si="9"/>
        <v>0</v>
      </c>
      <c r="AQ4" s="124">
        <f t="shared" ref="AQ4:AQ34" si="20">IF(Q4=0,AE4/1,AE4/Q4)</f>
        <v>0</v>
      </c>
      <c r="AR4" s="124">
        <f t="shared" ref="AR4:AR34" si="21">IF(Q4=0,0,(AF4+AG4)/Q4)</f>
        <v>0</v>
      </c>
      <c r="AS4" s="124">
        <f t="array" ref="AS4">_xlfn.IFS(S4=0,AL4,S4&lt;0,AL4/-S4,S4&gt;0,AL4/S4)</f>
        <v>0</v>
      </c>
      <c r="AT4" s="119">
        <f>IF(AN4=0,0,AS4/AN4)</f>
        <v>0</v>
      </c>
      <c r="AU4" s="119">
        <f>IF(AO4=0,0,AS4/AO4)</f>
        <v>0</v>
      </c>
      <c r="AV4" s="125"/>
      <c r="AW4" s="120">
        <f t="shared" si="12"/>
        <v>0</v>
      </c>
    </row>
    <row r="5" spans="1:49" outlineLevel="1">
      <c r="A5" s="114"/>
      <c r="B5" s="115">
        <v>340332621</v>
      </c>
      <c r="C5" s="115" t="s">
        <v>95</v>
      </c>
      <c r="D5" s="116" t="s">
        <v>93</v>
      </c>
      <c r="E5" s="117">
        <f t="shared" si="13"/>
        <v>0</v>
      </c>
      <c r="F5" s="117"/>
      <c r="G5" s="117"/>
      <c r="H5" s="117"/>
      <c r="I5" s="117">
        <v>123.09</v>
      </c>
      <c r="J5" s="117">
        <f t="shared" si="0"/>
        <v>0</v>
      </c>
      <c r="K5" s="114"/>
      <c r="L5" s="114"/>
      <c r="M5" s="114"/>
      <c r="N5" s="114"/>
      <c r="O5" s="213">
        <f t="shared" si="1"/>
        <v>0</v>
      </c>
      <c r="P5" s="117">
        <f>S5/7</f>
        <v>0</v>
      </c>
      <c r="Q5" s="118"/>
      <c r="R5" s="118"/>
      <c r="S5" s="117">
        <f t="shared" si="14"/>
        <v>0</v>
      </c>
      <c r="T5" s="118"/>
      <c r="U5" s="118"/>
      <c r="V5" s="117">
        <f t="shared" si="15"/>
        <v>0</v>
      </c>
      <c r="W5" s="118"/>
      <c r="X5" s="118"/>
      <c r="Y5" s="117">
        <f t="shared" si="3"/>
        <v>0</v>
      </c>
      <c r="Z5" s="117">
        <f t="shared" si="16"/>
        <v>0</v>
      </c>
      <c r="AA5" s="119" t="e">
        <f t="shared" si="4"/>
        <v>#DIV/0!</v>
      </c>
      <c r="AB5" s="117">
        <f t="shared" si="17"/>
        <v>0</v>
      </c>
      <c r="AC5" s="118"/>
      <c r="AD5" s="119">
        <f t="shared" si="5"/>
        <v>0</v>
      </c>
      <c r="AE5" s="118"/>
      <c r="AF5" s="118"/>
      <c r="AG5" s="118"/>
      <c r="AH5" s="118"/>
      <c r="AI5" s="152">
        <f t="shared" si="6"/>
        <v>0</v>
      </c>
      <c r="AJ5" s="118"/>
      <c r="AK5" s="120">
        <f t="shared" si="18"/>
        <v>0</v>
      </c>
      <c r="AL5" s="121">
        <f t="shared" si="19"/>
        <v>0</v>
      </c>
      <c r="AM5" s="122"/>
      <c r="AN5" s="123">
        <f t="shared" si="7"/>
        <v>0</v>
      </c>
      <c r="AO5" s="124">
        <f t="shared" si="8"/>
        <v>123.09</v>
      </c>
      <c r="AP5" s="124">
        <f t="shared" si="9"/>
        <v>0</v>
      </c>
      <c r="AQ5" s="124">
        <f t="shared" si="20"/>
        <v>0</v>
      </c>
      <c r="AR5" s="124">
        <f t="shared" si="21"/>
        <v>0</v>
      </c>
      <c r="AS5" s="124">
        <f t="array" ref="AS5">_xlfn.IFS(S5=0,AL5,S5&lt;0,AL5/-S5,S5&gt;0,AL5/S5)</f>
        <v>0</v>
      </c>
      <c r="AT5" s="119">
        <f>IF(AN5=0,0,AS5/AN5)</f>
        <v>0</v>
      </c>
      <c r="AU5" s="119">
        <f>IF(AO5=0,0,AS5/AO5)</f>
        <v>0</v>
      </c>
      <c r="AV5" s="125"/>
      <c r="AW5" s="120">
        <f t="shared" si="12"/>
        <v>0</v>
      </c>
    </row>
    <row r="6" spans="1:49" outlineLevel="1">
      <c r="A6" s="114"/>
      <c r="B6" s="115">
        <v>340341838</v>
      </c>
      <c r="C6" s="115" t="s">
        <v>96</v>
      </c>
      <c r="D6" s="116" t="s">
        <v>93</v>
      </c>
      <c r="E6" s="117">
        <f t="shared" si="13"/>
        <v>0</v>
      </c>
      <c r="F6" s="117"/>
      <c r="G6" s="117"/>
      <c r="H6" s="117"/>
      <c r="I6" s="117">
        <v>123.09</v>
      </c>
      <c r="J6" s="117">
        <f t="shared" si="0"/>
        <v>0</v>
      </c>
      <c r="K6" s="114"/>
      <c r="L6" s="114"/>
      <c r="M6" s="114"/>
      <c r="N6" s="114"/>
      <c r="O6" s="213">
        <f t="shared" si="1"/>
        <v>0</v>
      </c>
      <c r="P6" s="117">
        <f t="shared" ref="P6:P34" si="22">S6/7</f>
        <v>0</v>
      </c>
      <c r="Q6" s="118"/>
      <c r="R6" s="118"/>
      <c r="S6" s="117">
        <f t="shared" si="14"/>
        <v>0</v>
      </c>
      <c r="T6" s="118"/>
      <c r="U6" s="118"/>
      <c r="V6" s="117">
        <f t="shared" si="15"/>
        <v>0</v>
      </c>
      <c r="W6" s="118"/>
      <c r="X6" s="118"/>
      <c r="Y6" s="117">
        <f t="shared" si="3"/>
        <v>0</v>
      </c>
      <c r="Z6" s="117">
        <f t="shared" si="16"/>
        <v>0</v>
      </c>
      <c r="AA6" s="119" t="e">
        <f t="shared" si="4"/>
        <v>#DIV/0!</v>
      </c>
      <c r="AB6" s="117">
        <f t="shared" si="17"/>
        <v>0</v>
      </c>
      <c r="AC6" s="118"/>
      <c r="AD6" s="119">
        <f t="shared" si="5"/>
        <v>0</v>
      </c>
      <c r="AE6" s="118"/>
      <c r="AF6" s="118"/>
      <c r="AG6" s="118"/>
      <c r="AH6" s="118"/>
      <c r="AI6" s="152">
        <f t="shared" si="6"/>
        <v>0</v>
      </c>
      <c r="AJ6" s="118"/>
      <c r="AK6" s="120">
        <f t="shared" si="18"/>
        <v>0</v>
      </c>
      <c r="AL6" s="121">
        <f t="shared" si="19"/>
        <v>0</v>
      </c>
      <c r="AM6" s="122"/>
      <c r="AN6" s="123">
        <f t="shared" si="7"/>
        <v>0</v>
      </c>
      <c r="AO6" s="124">
        <f t="shared" si="8"/>
        <v>123.09</v>
      </c>
      <c r="AP6" s="124">
        <f t="shared" si="9"/>
        <v>0</v>
      </c>
      <c r="AQ6" s="124">
        <f t="shared" si="20"/>
        <v>0</v>
      </c>
      <c r="AR6" s="124">
        <f t="shared" si="21"/>
        <v>0</v>
      </c>
      <c r="AS6" s="124">
        <f t="array" ref="AS6">_xlfn.IFS(S6=0,AL6,S6&lt;0,AL6/-S6,S6&gt;0,AL6/S6)</f>
        <v>0</v>
      </c>
      <c r="AT6" s="119">
        <f t="shared" ref="AT6:AT34" si="23">IF(AN6=0,0,AS6/AN6)</f>
        <v>0</v>
      </c>
      <c r="AU6" s="119">
        <f t="shared" ref="AU6:AU34" si="24">IF(AO6=0,0,AS6/AO6)</f>
        <v>0</v>
      </c>
      <c r="AV6" s="125"/>
      <c r="AW6" s="120">
        <f t="shared" si="12"/>
        <v>0</v>
      </c>
    </row>
    <row r="7" spans="1:49" outlineLevel="1">
      <c r="A7" s="114"/>
      <c r="B7" s="115">
        <v>445291724</v>
      </c>
      <c r="C7" s="115" t="s">
        <v>97</v>
      </c>
      <c r="D7" s="116" t="s">
        <v>93</v>
      </c>
      <c r="E7" s="117">
        <f t="shared" si="13"/>
        <v>0</v>
      </c>
      <c r="F7" s="117"/>
      <c r="G7" s="117"/>
      <c r="H7" s="117"/>
      <c r="I7" s="117">
        <v>123.09</v>
      </c>
      <c r="J7" s="117">
        <f t="shared" si="0"/>
        <v>0</v>
      </c>
      <c r="K7" s="114"/>
      <c r="L7" s="114"/>
      <c r="M7" s="114"/>
      <c r="N7" s="114"/>
      <c r="O7" s="213">
        <f t="shared" si="1"/>
        <v>0</v>
      </c>
      <c r="P7" s="117">
        <f t="shared" si="22"/>
        <v>0</v>
      </c>
      <c r="Q7" s="118"/>
      <c r="R7" s="118"/>
      <c r="S7" s="117">
        <f t="shared" si="14"/>
        <v>0</v>
      </c>
      <c r="T7" s="118"/>
      <c r="U7" s="118"/>
      <c r="V7" s="117">
        <f t="shared" si="15"/>
        <v>0</v>
      </c>
      <c r="W7" s="118"/>
      <c r="X7" s="118"/>
      <c r="Y7" s="117">
        <f t="shared" si="3"/>
        <v>0</v>
      </c>
      <c r="Z7" s="117">
        <f t="shared" si="16"/>
        <v>0</v>
      </c>
      <c r="AA7" s="119" t="e">
        <f t="shared" si="4"/>
        <v>#DIV/0!</v>
      </c>
      <c r="AB7" s="117">
        <f t="shared" si="17"/>
        <v>0</v>
      </c>
      <c r="AC7" s="118"/>
      <c r="AD7" s="119">
        <f t="shared" si="5"/>
        <v>0</v>
      </c>
      <c r="AE7" s="118"/>
      <c r="AF7" s="118"/>
      <c r="AG7" s="118"/>
      <c r="AH7" s="118"/>
      <c r="AI7" s="152">
        <f t="shared" si="6"/>
        <v>0</v>
      </c>
      <c r="AJ7" s="118"/>
      <c r="AK7" s="120">
        <f t="shared" si="18"/>
        <v>0</v>
      </c>
      <c r="AL7" s="121">
        <f t="shared" si="19"/>
        <v>0</v>
      </c>
      <c r="AM7" s="122"/>
      <c r="AN7" s="123">
        <f t="shared" si="7"/>
        <v>0</v>
      </c>
      <c r="AO7" s="124">
        <f t="shared" si="8"/>
        <v>123.09</v>
      </c>
      <c r="AP7" s="124">
        <f t="shared" si="9"/>
        <v>0</v>
      </c>
      <c r="AQ7" s="124">
        <f t="shared" si="20"/>
        <v>0</v>
      </c>
      <c r="AR7" s="124">
        <f t="shared" si="21"/>
        <v>0</v>
      </c>
      <c r="AS7" s="124">
        <f t="array" ref="AS7">_xlfn.IFS(S7=0,AL7,S7&lt;0,AL7/-S7,S7&gt;0,AL7/S7)</f>
        <v>0</v>
      </c>
      <c r="AT7" s="119">
        <f t="shared" si="23"/>
        <v>0</v>
      </c>
      <c r="AU7" s="119">
        <f t="shared" si="24"/>
        <v>0</v>
      </c>
      <c r="AV7" s="125"/>
      <c r="AW7" s="120">
        <f t="shared" si="12"/>
        <v>0</v>
      </c>
    </row>
    <row r="8" spans="1:49" outlineLevel="1">
      <c r="A8" s="114"/>
      <c r="B8" s="115">
        <v>445336740</v>
      </c>
      <c r="C8" s="115" t="s">
        <v>98</v>
      </c>
      <c r="D8" s="116" t="s">
        <v>93</v>
      </c>
      <c r="E8" s="117">
        <f t="shared" si="13"/>
        <v>0</v>
      </c>
      <c r="F8" s="117"/>
      <c r="G8" s="117"/>
      <c r="H8" s="117"/>
      <c r="I8" s="117">
        <v>123.09</v>
      </c>
      <c r="J8" s="117">
        <f t="shared" si="0"/>
        <v>0</v>
      </c>
      <c r="K8" s="114"/>
      <c r="L8" s="114"/>
      <c r="M8" s="114"/>
      <c r="N8" s="114"/>
      <c r="O8" s="213">
        <f t="shared" si="1"/>
        <v>0</v>
      </c>
      <c r="P8" s="117">
        <f t="shared" si="22"/>
        <v>0</v>
      </c>
      <c r="Q8" s="118"/>
      <c r="R8" s="118"/>
      <c r="S8" s="117">
        <f t="shared" si="14"/>
        <v>0</v>
      </c>
      <c r="T8" s="118"/>
      <c r="U8" s="118"/>
      <c r="V8" s="117">
        <f t="shared" si="15"/>
        <v>0</v>
      </c>
      <c r="W8" s="118"/>
      <c r="X8" s="118"/>
      <c r="Y8" s="117">
        <f t="shared" si="3"/>
        <v>0</v>
      </c>
      <c r="Z8" s="117">
        <f t="shared" si="16"/>
        <v>0</v>
      </c>
      <c r="AA8" s="119" t="e">
        <f t="shared" si="4"/>
        <v>#DIV/0!</v>
      </c>
      <c r="AB8" s="117">
        <f t="shared" si="17"/>
        <v>0</v>
      </c>
      <c r="AC8" s="118"/>
      <c r="AD8" s="119">
        <f t="shared" si="5"/>
        <v>0</v>
      </c>
      <c r="AE8" s="118"/>
      <c r="AF8" s="118"/>
      <c r="AG8" s="118"/>
      <c r="AH8" s="118"/>
      <c r="AI8" s="152">
        <f t="shared" si="6"/>
        <v>0</v>
      </c>
      <c r="AJ8" s="118"/>
      <c r="AK8" s="120">
        <f t="shared" si="18"/>
        <v>0</v>
      </c>
      <c r="AL8" s="121">
        <f t="shared" si="19"/>
        <v>0</v>
      </c>
      <c r="AM8" s="122"/>
      <c r="AN8" s="123">
        <f t="shared" si="7"/>
        <v>0</v>
      </c>
      <c r="AO8" s="124">
        <f t="shared" si="8"/>
        <v>123.09</v>
      </c>
      <c r="AP8" s="124">
        <f t="shared" si="9"/>
        <v>0</v>
      </c>
      <c r="AQ8" s="124">
        <f t="shared" si="20"/>
        <v>0</v>
      </c>
      <c r="AR8" s="124">
        <f t="shared" si="21"/>
        <v>0</v>
      </c>
      <c r="AS8" s="124">
        <f t="array" ref="AS8">_xlfn.IFS(S8=0,AL8,S8&lt;0,AL8/-S8,S8&gt;0,AL8/S8)</f>
        <v>0</v>
      </c>
      <c r="AT8" s="119">
        <f t="shared" si="23"/>
        <v>0</v>
      </c>
      <c r="AU8" s="119">
        <f t="shared" si="24"/>
        <v>0</v>
      </c>
      <c r="AV8" s="125"/>
      <c r="AW8" s="120">
        <f t="shared" si="12"/>
        <v>0</v>
      </c>
    </row>
    <row r="9" spans="1:49" outlineLevel="1">
      <c r="A9" s="114"/>
      <c r="B9" s="115">
        <v>445341507</v>
      </c>
      <c r="C9" s="115" t="s">
        <v>99</v>
      </c>
      <c r="D9" s="116" t="s">
        <v>93</v>
      </c>
      <c r="E9" s="117">
        <f t="shared" si="13"/>
        <v>0</v>
      </c>
      <c r="F9" s="117"/>
      <c r="G9" s="117"/>
      <c r="H9" s="117"/>
      <c r="I9" s="117">
        <v>169.89</v>
      </c>
      <c r="J9" s="117">
        <f t="shared" si="0"/>
        <v>0</v>
      </c>
      <c r="K9" s="114"/>
      <c r="L9" s="114"/>
      <c r="M9" s="114"/>
      <c r="N9" s="114"/>
      <c r="O9" s="213">
        <f t="shared" si="1"/>
        <v>0</v>
      </c>
      <c r="P9" s="117">
        <f t="shared" si="22"/>
        <v>0</v>
      </c>
      <c r="Q9" s="118"/>
      <c r="R9" s="118"/>
      <c r="S9" s="117">
        <f t="shared" si="14"/>
        <v>0</v>
      </c>
      <c r="T9" s="118"/>
      <c r="U9" s="118"/>
      <c r="V9" s="117">
        <f t="shared" si="15"/>
        <v>0</v>
      </c>
      <c r="W9" s="118"/>
      <c r="X9" s="118"/>
      <c r="Y9" s="117">
        <f t="shared" si="3"/>
        <v>0</v>
      </c>
      <c r="Z9" s="117">
        <f t="shared" si="16"/>
        <v>0</v>
      </c>
      <c r="AA9" s="119" t="e">
        <f t="shared" si="4"/>
        <v>#DIV/0!</v>
      </c>
      <c r="AB9" s="117">
        <f t="shared" si="17"/>
        <v>0</v>
      </c>
      <c r="AC9" s="118"/>
      <c r="AD9" s="119">
        <f t="shared" si="5"/>
        <v>0</v>
      </c>
      <c r="AE9" s="118"/>
      <c r="AF9" s="118"/>
      <c r="AG9" s="118"/>
      <c r="AH9" s="118"/>
      <c r="AI9" s="152">
        <f t="shared" si="6"/>
        <v>0</v>
      </c>
      <c r="AJ9" s="118"/>
      <c r="AK9" s="120">
        <f t="shared" si="18"/>
        <v>0</v>
      </c>
      <c r="AL9" s="121">
        <f t="shared" si="19"/>
        <v>0</v>
      </c>
      <c r="AM9" s="122"/>
      <c r="AN9" s="123">
        <f t="shared" si="7"/>
        <v>0</v>
      </c>
      <c r="AO9" s="124">
        <f t="shared" si="8"/>
        <v>169.89</v>
      </c>
      <c r="AP9" s="124">
        <f t="shared" si="9"/>
        <v>0</v>
      </c>
      <c r="AQ9" s="124">
        <f t="shared" si="20"/>
        <v>0</v>
      </c>
      <c r="AR9" s="124">
        <f t="shared" si="21"/>
        <v>0</v>
      </c>
      <c r="AS9" s="124">
        <f t="array" ref="AS9">_xlfn.IFS(S9=0,AL9,S9&lt;0,AL9/-S9,S9&gt;0,AL9/S9)</f>
        <v>0</v>
      </c>
      <c r="AT9" s="119">
        <f t="shared" si="23"/>
        <v>0</v>
      </c>
      <c r="AU9" s="119">
        <f t="shared" si="24"/>
        <v>0</v>
      </c>
      <c r="AV9" s="125"/>
      <c r="AW9" s="120">
        <f t="shared" si="12"/>
        <v>0</v>
      </c>
    </row>
    <row r="10" spans="1:49" outlineLevel="1">
      <c r="A10" s="114"/>
      <c r="B10" s="115">
        <v>497825485</v>
      </c>
      <c r="C10" s="115" t="s">
        <v>100</v>
      </c>
      <c r="D10" s="116" t="s">
        <v>93</v>
      </c>
      <c r="E10" s="117">
        <f t="shared" si="13"/>
        <v>0</v>
      </c>
      <c r="F10" s="117"/>
      <c r="G10" s="117"/>
      <c r="H10" s="117"/>
      <c r="I10" s="117">
        <v>169.89</v>
      </c>
      <c r="J10" s="117">
        <f t="shared" si="0"/>
        <v>0</v>
      </c>
      <c r="K10" s="114"/>
      <c r="L10" s="114"/>
      <c r="M10" s="114"/>
      <c r="N10" s="114"/>
      <c r="O10" s="213">
        <f t="shared" si="1"/>
        <v>0</v>
      </c>
      <c r="P10" s="117">
        <f t="shared" si="22"/>
        <v>0</v>
      </c>
      <c r="Q10" s="118"/>
      <c r="R10" s="118"/>
      <c r="S10" s="117">
        <f t="shared" si="14"/>
        <v>0</v>
      </c>
      <c r="T10" s="118"/>
      <c r="U10" s="118"/>
      <c r="V10" s="117">
        <f t="shared" si="15"/>
        <v>0</v>
      </c>
      <c r="W10" s="118"/>
      <c r="X10" s="118"/>
      <c r="Y10" s="117">
        <f t="shared" si="3"/>
        <v>0</v>
      </c>
      <c r="Z10" s="117">
        <f t="shared" si="16"/>
        <v>0</v>
      </c>
      <c r="AA10" s="119" t="e">
        <f t="shared" si="4"/>
        <v>#DIV/0!</v>
      </c>
      <c r="AB10" s="117">
        <f t="shared" si="17"/>
        <v>0</v>
      </c>
      <c r="AC10" s="118"/>
      <c r="AD10" s="119">
        <f t="shared" si="5"/>
        <v>0</v>
      </c>
      <c r="AE10" s="118"/>
      <c r="AF10" s="118"/>
      <c r="AG10" s="118"/>
      <c r="AH10" s="118"/>
      <c r="AI10" s="152">
        <f t="shared" si="6"/>
        <v>0</v>
      </c>
      <c r="AJ10" s="118"/>
      <c r="AK10" s="120">
        <f t="shared" si="18"/>
        <v>0</v>
      </c>
      <c r="AL10" s="121">
        <f t="shared" si="19"/>
        <v>0</v>
      </c>
      <c r="AM10" s="122"/>
      <c r="AN10" s="123">
        <f t="shared" si="7"/>
        <v>0</v>
      </c>
      <c r="AO10" s="124">
        <f t="shared" si="8"/>
        <v>169.89</v>
      </c>
      <c r="AP10" s="124">
        <f t="shared" si="9"/>
        <v>0</v>
      </c>
      <c r="AQ10" s="124">
        <f t="shared" si="20"/>
        <v>0</v>
      </c>
      <c r="AR10" s="124">
        <f t="shared" si="21"/>
        <v>0</v>
      </c>
      <c r="AS10" s="124">
        <f t="array" ref="AS10">_xlfn.IFS(S10=0,AL10,S10&lt;0,AL10/-S10,S10&gt;0,AL10/S10)</f>
        <v>0</v>
      </c>
      <c r="AT10" s="119">
        <f t="shared" si="23"/>
        <v>0</v>
      </c>
      <c r="AU10" s="119">
        <f t="shared" si="24"/>
        <v>0</v>
      </c>
      <c r="AV10" s="125"/>
      <c r="AW10" s="120">
        <f t="shared" si="12"/>
        <v>0</v>
      </c>
    </row>
    <row r="11" spans="1:49" outlineLevel="1">
      <c r="A11" s="114"/>
      <c r="B11" s="115">
        <v>497825962</v>
      </c>
      <c r="C11" s="115" t="s">
        <v>101</v>
      </c>
      <c r="D11" s="116" t="s">
        <v>93</v>
      </c>
      <c r="E11" s="117">
        <f t="shared" si="13"/>
        <v>0</v>
      </c>
      <c r="F11" s="117"/>
      <c r="G11" s="117"/>
      <c r="H11" s="117"/>
      <c r="I11" s="117">
        <v>169.89</v>
      </c>
      <c r="J11" s="117">
        <f t="shared" si="0"/>
        <v>0</v>
      </c>
      <c r="K11" s="114"/>
      <c r="L11" s="114"/>
      <c r="M11" s="114"/>
      <c r="N11" s="114"/>
      <c r="O11" s="213">
        <f t="shared" si="1"/>
        <v>0</v>
      </c>
      <c r="P11" s="117">
        <f t="shared" si="22"/>
        <v>0</v>
      </c>
      <c r="Q11" s="118"/>
      <c r="R11" s="118"/>
      <c r="S11" s="117">
        <f t="shared" si="14"/>
        <v>0</v>
      </c>
      <c r="T11" s="118"/>
      <c r="U11" s="118"/>
      <c r="V11" s="117">
        <f t="shared" si="15"/>
        <v>0</v>
      </c>
      <c r="W11" s="118"/>
      <c r="X11" s="118"/>
      <c r="Y11" s="117">
        <f t="shared" si="3"/>
        <v>0</v>
      </c>
      <c r="Z11" s="117">
        <f t="shared" si="16"/>
        <v>0</v>
      </c>
      <c r="AA11" s="119" t="e">
        <f t="shared" si="4"/>
        <v>#DIV/0!</v>
      </c>
      <c r="AB11" s="117">
        <f t="shared" si="17"/>
        <v>0</v>
      </c>
      <c r="AC11" s="118"/>
      <c r="AD11" s="119">
        <f t="shared" si="5"/>
        <v>0</v>
      </c>
      <c r="AE11" s="118"/>
      <c r="AF11" s="118"/>
      <c r="AG11" s="118"/>
      <c r="AH11" s="118"/>
      <c r="AI11" s="152">
        <f t="shared" si="6"/>
        <v>0</v>
      </c>
      <c r="AJ11" s="118"/>
      <c r="AK11" s="120">
        <f t="shared" si="18"/>
        <v>0</v>
      </c>
      <c r="AL11" s="121">
        <f t="shared" si="19"/>
        <v>0</v>
      </c>
      <c r="AM11" s="122"/>
      <c r="AN11" s="123">
        <f t="shared" si="7"/>
        <v>0</v>
      </c>
      <c r="AO11" s="124">
        <f t="shared" si="8"/>
        <v>169.89</v>
      </c>
      <c r="AP11" s="124">
        <f t="shared" si="9"/>
        <v>0</v>
      </c>
      <c r="AQ11" s="124">
        <f t="shared" si="20"/>
        <v>0</v>
      </c>
      <c r="AR11" s="124">
        <f t="shared" si="21"/>
        <v>0</v>
      </c>
      <c r="AS11" s="124">
        <f t="array" ref="AS11">_xlfn.IFS(S11=0,AL11,S11&lt;0,AL11/-S11,S11&gt;0,AL11/S11)</f>
        <v>0</v>
      </c>
      <c r="AT11" s="119">
        <f t="shared" si="23"/>
        <v>0</v>
      </c>
      <c r="AU11" s="119">
        <f t="shared" si="24"/>
        <v>0</v>
      </c>
      <c r="AV11" s="125"/>
      <c r="AW11" s="120">
        <f t="shared" si="12"/>
        <v>0</v>
      </c>
    </row>
    <row r="12" spans="1:49" outlineLevel="1">
      <c r="A12" s="114"/>
      <c r="B12" s="115">
        <v>497821775</v>
      </c>
      <c r="C12" s="115" t="s">
        <v>102</v>
      </c>
      <c r="D12" s="116" t="s">
        <v>93</v>
      </c>
      <c r="E12" s="117">
        <f t="shared" si="13"/>
        <v>0</v>
      </c>
      <c r="F12" s="117"/>
      <c r="G12" s="117"/>
      <c r="H12" s="117"/>
      <c r="I12" s="117">
        <v>169.89</v>
      </c>
      <c r="J12" s="117">
        <f t="shared" si="0"/>
        <v>0</v>
      </c>
      <c r="K12" s="114"/>
      <c r="L12" s="114"/>
      <c r="M12" s="114"/>
      <c r="N12" s="114"/>
      <c r="O12" s="213">
        <f t="shared" si="1"/>
        <v>0</v>
      </c>
      <c r="P12" s="117">
        <f t="shared" si="22"/>
        <v>0</v>
      </c>
      <c r="Q12" s="118"/>
      <c r="R12" s="118"/>
      <c r="S12" s="117">
        <f t="shared" si="14"/>
        <v>0</v>
      </c>
      <c r="T12" s="118"/>
      <c r="U12" s="118"/>
      <c r="V12" s="117">
        <f t="shared" si="15"/>
        <v>0</v>
      </c>
      <c r="W12" s="118"/>
      <c r="X12" s="118"/>
      <c r="Y12" s="117">
        <f t="shared" si="3"/>
        <v>0</v>
      </c>
      <c r="Z12" s="117">
        <f t="shared" si="16"/>
        <v>0</v>
      </c>
      <c r="AA12" s="119" t="e">
        <f t="shared" si="4"/>
        <v>#DIV/0!</v>
      </c>
      <c r="AB12" s="117">
        <f t="shared" si="17"/>
        <v>0</v>
      </c>
      <c r="AC12" s="118"/>
      <c r="AD12" s="119">
        <f t="shared" si="5"/>
        <v>0</v>
      </c>
      <c r="AE12" s="118"/>
      <c r="AF12" s="118"/>
      <c r="AG12" s="118"/>
      <c r="AH12" s="118"/>
      <c r="AI12" s="152">
        <f t="shared" si="6"/>
        <v>0</v>
      </c>
      <c r="AJ12" s="118"/>
      <c r="AK12" s="120">
        <f t="shared" si="18"/>
        <v>0</v>
      </c>
      <c r="AL12" s="121">
        <f t="shared" si="19"/>
        <v>0</v>
      </c>
      <c r="AM12" s="122"/>
      <c r="AN12" s="123">
        <f t="shared" si="7"/>
        <v>0</v>
      </c>
      <c r="AO12" s="124">
        <f t="shared" si="8"/>
        <v>169.89</v>
      </c>
      <c r="AP12" s="124">
        <f t="shared" si="9"/>
        <v>0</v>
      </c>
      <c r="AQ12" s="124">
        <f t="shared" si="20"/>
        <v>0</v>
      </c>
      <c r="AR12" s="124">
        <f t="shared" si="21"/>
        <v>0</v>
      </c>
      <c r="AS12" s="124">
        <f t="array" ref="AS12">_xlfn.IFS(S12=0,AL12,S12&lt;0,AL12/-S12,S12&gt;0,AL12/S12)</f>
        <v>0</v>
      </c>
      <c r="AT12" s="119">
        <f t="shared" si="23"/>
        <v>0</v>
      </c>
      <c r="AU12" s="119">
        <f t="shared" si="24"/>
        <v>0</v>
      </c>
      <c r="AV12" s="125"/>
      <c r="AW12" s="120">
        <f t="shared" si="12"/>
        <v>0</v>
      </c>
    </row>
    <row r="13" spans="1:49" outlineLevel="1">
      <c r="A13" s="114"/>
      <c r="B13" s="115">
        <v>497823770</v>
      </c>
      <c r="C13" s="115" t="s">
        <v>103</v>
      </c>
      <c r="D13" s="116" t="s">
        <v>93</v>
      </c>
      <c r="E13" s="117">
        <f t="shared" si="13"/>
        <v>0</v>
      </c>
      <c r="F13" s="117"/>
      <c r="G13" s="117"/>
      <c r="H13" s="117"/>
      <c r="I13" s="117">
        <v>169.89</v>
      </c>
      <c r="J13" s="117">
        <f t="shared" si="0"/>
        <v>0</v>
      </c>
      <c r="K13" s="114"/>
      <c r="L13" s="114"/>
      <c r="M13" s="114"/>
      <c r="N13" s="114"/>
      <c r="O13" s="213">
        <f t="shared" si="1"/>
        <v>0</v>
      </c>
      <c r="P13" s="117">
        <f t="shared" si="22"/>
        <v>0</v>
      </c>
      <c r="Q13" s="118"/>
      <c r="R13" s="118"/>
      <c r="S13" s="117">
        <f t="shared" si="14"/>
        <v>0</v>
      </c>
      <c r="T13" s="118"/>
      <c r="U13" s="118"/>
      <c r="V13" s="117">
        <f t="shared" si="15"/>
        <v>0</v>
      </c>
      <c r="W13" s="118"/>
      <c r="X13" s="118"/>
      <c r="Y13" s="117">
        <f t="shared" si="3"/>
        <v>0</v>
      </c>
      <c r="Z13" s="117">
        <f t="shared" si="16"/>
        <v>0</v>
      </c>
      <c r="AA13" s="119" t="e">
        <f t="shared" si="4"/>
        <v>#DIV/0!</v>
      </c>
      <c r="AB13" s="117">
        <f t="shared" si="17"/>
        <v>0</v>
      </c>
      <c r="AC13" s="118"/>
      <c r="AD13" s="119">
        <f t="shared" si="5"/>
        <v>0</v>
      </c>
      <c r="AE13" s="118"/>
      <c r="AF13" s="118"/>
      <c r="AG13" s="118"/>
      <c r="AH13" s="118"/>
      <c r="AI13" s="152">
        <f t="shared" si="6"/>
        <v>0</v>
      </c>
      <c r="AJ13" s="118"/>
      <c r="AK13" s="120">
        <f t="shared" si="18"/>
        <v>0</v>
      </c>
      <c r="AL13" s="121">
        <f t="shared" si="19"/>
        <v>0</v>
      </c>
      <c r="AM13" s="122"/>
      <c r="AN13" s="123">
        <f t="shared" si="7"/>
        <v>0</v>
      </c>
      <c r="AO13" s="124">
        <f t="shared" si="8"/>
        <v>169.89</v>
      </c>
      <c r="AP13" s="124">
        <f t="shared" si="9"/>
        <v>0</v>
      </c>
      <c r="AQ13" s="124">
        <f t="shared" si="20"/>
        <v>0</v>
      </c>
      <c r="AR13" s="124">
        <f t="shared" si="21"/>
        <v>0</v>
      </c>
      <c r="AS13" s="124">
        <f t="array" ref="AS13">_xlfn.IFS(S13=0,AL13,S13&lt;0,AL13/-S13,S13&gt;0,AL13/S13)</f>
        <v>0</v>
      </c>
      <c r="AT13" s="119">
        <f t="shared" si="23"/>
        <v>0</v>
      </c>
      <c r="AU13" s="119">
        <f t="shared" si="24"/>
        <v>0</v>
      </c>
      <c r="AV13" s="125"/>
      <c r="AW13" s="120">
        <f t="shared" si="12"/>
        <v>0</v>
      </c>
    </row>
    <row r="14" spans="1:49" outlineLevel="1">
      <c r="A14" s="114"/>
      <c r="B14" s="115">
        <v>497824253</v>
      </c>
      <c r="C14" s="115" t="s">
        <v>104</v>
      </c>
      <c r="D14" s="116" t="s">
        <v>93</v>
      </c>
      <c r="E14" s="117">
        <f t="shared" si="13"/>
        <v>0</v>
      </c>
      <c r="F14" s="117"/>
      <c r="G14" s="117"/>
      <c r="H14" s="117"/>
      <c r="I14" s="117">
        <v>169.89</v>
      </c>
      <c r="J14" s="117">
        <f t="shared" si="0"/>
        <v>0</v>
      </c>
      <c r="K14" s="114"/>
      <c r="L14" s="114"/>
      <c r="M14" s="114"/>
      <c r="N14" s="114"/>
      <c r="O14" s="213">
        <f t="shared" si="1"/>
        <v>0</v>
      </c>
      <c r="P14" s="117">
        <f t="shared" si="22"/>
        <v>0</v>
      </c>
      <c r="Q14" s="118"/>
      <c r="R14" s="118"/>
      <c r="S14" s="117">
        <f t="shared" si="14"/>
        <v>0</v>
      </c>
      <c r="T14" s="118"/>
      <c r="U14" s="118"/>
      <c r="V14" s="117">
        <f t="shared" si="15"/>
        <v>0</v>
      </c>
      <c r="W14" s="118"/>
      <c r="X14" s="118"/>
      <c r="Y14" s="117">
        <f t="shared" si="3"/>
        <v>0</v>
      </c>
      <c r="Z14" s="117">
        <f t="shared" si="16"/>
        <v>0</v>
      </c>
      <c r="AA14" s="119" t="e">
        <f t="shared" si="4"/>
        <v>#DIV/0!</v>
      </c>
      <c r="AB14" s="117">
        <f t="shared" si="17"/>
        <v>0</v>
      </c>
      <c r="AC14" s="118"/>
      <c r="AD14" s="119">
        <f t="shared" si="5"/>
        <v>0</v>
      </c>
      <c r="AE14" s="118"/>
      <c r="AF14" s="118"/>
      <c r="AG14" s="118"/>
      <c r="AH14" s="118"/>
      <c r="AI14" s="152">
        <f t="shared" si="6"/>
        <v>0</v>
      </c>
      <c r="AJ14" s="118"/>
      <c r="AK14" s="120">
        <f t="shared" si="18"/>
        <v>0</v>
      </c>
      <c r="AL14" s="121">
        <f t="shared" si="19"/>
        <v>0</v>
      </c>
      <c r="AM14" s="122"/>
      <c r="AN14" s="123">
        <f t="shared" si="7"/>
        <v>0</v>
      </c>
      <c r="AO14" s="124">
        <f t="shared" si="8"/>
        <v>169.89</v>
      </c>
      <c r="AP14" s="124">
        <f t="shared" si="9"/>
        <v>0</v>
      </c>
      <c r="AQ14" s="124">
        <f t="shared" si="20"/>
        <v>0</v>
      </c>
      <c r="AR14" s="124">
        <f t="shared" si="21"/>
        <v>0</v>
      </c>
      <c r="AS14" s="124">
        <f t="array" ref="AS14">_xlfn.IFS(S14=0,AL14,S14&lt;0,AL14/-S14,S14&gt;0,AL14/S14)</f>
        <v>0</v>
      </c>
      <c r="AT14" s="119">
        <f t="shared" si="23"/>
        <v>0</v>
      </c>
      <c r="AU14" s="119">
        <f t="shared" si="24"/>
        <v>0</v>
      </c>
      <c r="AV14" s="125"/>
      <c r="AW14" s="120">
        <f t="shared" si="12"/>
        <v>0</v>
      </c>
    </row>
    <row r="15" spans="1:49" outlineLevel="1">
      <c r="A15" s="114"/>
      <c r="B15" s="115">
        <v>497824944</v>
      </c>
      <c r="C15" s="115" t="s">
        <v>105</v>
      </c>
      <c r="D15" s="116" t="s">
        <v>93</v>
      </c>
      <c r="E15" s="117">
        <f t="shared" si="13"/>
        <v>0</v>
      </c>
      <c r="F15" s="117"/>
      <c r="G15" s="117"/>
      <c r="H15" s="117"/>
      <c r="I15" s="117">
        <v>169.89</v>
      </c>
      <c r="J15" s="117">
        <f t="shared" si="0"/>
        <v>0</v>
      </c>
      <c r="K15" s="114"/>
      <c r="L15" s="114"/>
      <c r="M15" s="114"/>
      <c r="N15" s="114"/>
      <c r="O15" s="213">
        <f t="shared" si="1"/>
        <v>0</v>
      </c>
      <c r="P15" s="117">
        <f t="shared" si="22"/>
        <v>0</v>
      </c>
      <c r="Q15" s="118"/>
      <c r="R15" s="118"/>
      <c r="S15" s="117">
        <f t="shared" si="14"/>
        <v>0</v>
      </c>
      <c r="T15" s="118"/>
      <c r="U15" s="118"/>
      <c r="V15" s="117">
        <f t="shared" si="15"/>
        <v>0</v>
      </c>
      <c r="W15" s="118"/>
      <c r="X15" s="118"/>
      <c r="Y15" s="117">
        <f t="shared" si="3"/>
        <v>0</v>
      </c>
      <c r="Z15" s="117">
        <f t="shared" si="16"/>
        <v>0</v>
      </c>
      <c r="AA15" s="119" t="e">
        <f t="shared" si="4"/>
        <v>#DIV/0!</v>
      </c>
      <c r="AB15" s="117">
        <f t="shared" si="17"/>
        <v>0</v>
      </c>
      <c r="AC15" s="118"/>
      <c r="AD15" s="119">
        <f t="shared" si="5"/>
        <v>0</v>
      </c>
      <c r="AE15" s="118"/>
      <c r="AF15" s="118"/>
      <c r="AG15" s="118"/>
      <c r="AH15" s="118"/>
      <c r="AI15" s="152">
        <f t="shared" si="6"/>
        <v>0</v>
      </c>
      <c r="AJ15" s="118"/>
      <c r="AK15" s="120">
        <f t="shared" si="18"/>
        <v>0</v>
      </c>
      <c r="AL15" s="121">
        <f t="shared" si="19"/>
        <v>0</v>
      </c>
      <c r="AM15" s="122"/>
      <c r="AN15" s="123">
        <f t="shared" si="7"/>
        <v>0</v>
      </c>
      <c r="AO15" s="124">
        <f t="shared" si="8"/>
        <v>169.89</v>
      </c>
      <c r="AP15" s="124">
        <f t="shared" si="9"/>
        <v>0</v>
      </c>
      <c r="AQ15" s="124">
        <f t="shared" si="20"/>
        <v>0</v>
      </c>
      <c r="AR15" s="124">
        <f t="shared" si="21"/>
        <v>0</v>
      </c>
      <c r="AS15" s="124">
        <f t="array" ref="AS15">_xlfn.IFS(S15=0,AL15,S15&lt;0,AL15/-S15,S15&gt;0,AL15/S15)</f>
        <v>0</v>
      </c>
      <c r="AT15" s="119">
        <f t="shared" si="23"/>
        <v>0</v>
      </c>
      <c r="AU15" s="119">
        <f t="shared" si="24"/>
        <v>0</v>
      </c>
      <c r="AV15" s="125"/>
      <c r="AW15" s="120">
        <f t="shared" si="12"/>
        <v>0</v>
      </c>
    </row>
    <row r="16" spans="1:49" outlineLevel="1">
      <c r="A16" s="114"/>
      <c r="B16" s="115">
        <v>806868318</v>
      </c>
      <c r="C16" s="115" t="s">
        <v>174</v>
      </c>
      <c r="D16" s="116" t="s">
        <v>93</v>
      </c>
      <c r="E16" s="117">
        <f t="shared" si="13"/>
        <v>0</v>
      </c>
      <c r="F16" s="117"/>
      <c r="G16" s="117"/>
      <c r="H16" s="117"/>
      <c r="I16" s="117">
        <v>129.46</v>
      </c>
      <c r="J16" s="117">
        <f t="shared" si="0"/>
        <v>0</v>
      </c>
      <c r="K16" s="114"/>
      <c r="L16" s="114"/>
      <c r="M16" s="114"/>
      <c r="N16" s="114"/>
      <c r="O16" s="213">
        <f t="shared" si="1"/>
        <v>0</v>
      </c>
      <c r="P16" s="117">
        <f t="shared" si="22"/>
        <v>0</v>
      </c>
      <c r="Q16" s="118"/>
      <c r="R16" s="118"/>
      <c r="S16" s="117">
        <f t="shared" si="14"/>
        <v>0</v>
      </c>
      <c r="T16" s="118"/>
      <c r="U16" s="118"/>
      <c r="V16" s="117">
        <f t="shared" si="15"/>
        <v>0</v>
      </c>
      <c r="W16" s="118"/>
      <c r="X16" s="118"/>
      <c r="Y16" s="117">
        <f t="shared" si="3"/>
        <v>0</v>
      </c>
      <c r="Z16" s="117">
        <f t="shared" si="16"/>
        <v>0</v>
      </c>
      <c r="AA16" s="119" t="e">
        <f t="shared" ref="AA16:AA34" si="25">Y16/$Y$93</f>
        <v>#DIV/0!</v>
      </c>
      <c r="AB16" s="117">
        <f t="shared" si="17"/>
        <v>0</v>
      </c>
      <c r="AC16" s="118"/>
      <c r="AD16" s="119">
        <f t="shared" si="5"/>
        <v>0</v>
      </c>
      <c r="AE16" s="118"/>
      <c r="AF16" s="118"/>
      <c r="AG16" s="118"/>
      <c r="AH16" s="118"/>
      <c r="AI16" s="152">
        <f t="shared" ref="AI16:AI34" si="26">IFERROR($AI$93*H16/$H$93,0)</f>
        <v>0</v>
      </c>
      <c r="AJ16" s="118"/>
      <c r="AK16" s="120">
        <f t="shared" si="18"/>
        <v>0</v>
      </c>
      <c r="AL16" s="121">
        <f t="shared" si="19"/>
        <v>0</v>
      </c>
      <c r="AM16" s="122"/>
      <c r="AN16" s="123">
        <f t="shared" si="7"/>
        <v>0</v>
      </c>
      <c r="AO16" s="124">
        <f t="shared" si="8"/>
        <v>129.46</v>
      </c>
      <c r="AP16" s="124">
        <f t="shared" si="9"/>
        <v>0</v>
      </c>
      <c r="AQ16" s="124">
        <f t="shared" si="20"/>
        <v>0</v>
      </c>
      <c r="AR16" s="124">
        <f t="shared" si="21"/>
        <v>0</v>
      </c>
      <c r="AS16" s="124">
        <f t="array" ref="AS16">_xlfn.IFS(S16=0,AL16,S16&lt;0,AL16/-S16,S16&gt;0,AL16/S16)</f>
        <v>0</v>
      </c>
      <c r="AT16" s="119">
        <f t="shared" si="23"/>
        <v>0</v>
      </c>
      <c r="AU16" s="119">
        <f t="shared" si="24"/>
        <v>0</v>
      </c>
      <c r="AV16" s="125"/>
      <c r="AW16" s="120">
        <f t="shared" si="12"/>
        <v>0</v>
      </c>
    </row>
    <row r="17" spans="1:49" outlineLevel="1">
      <c r="A17" s="114"/>
      <c r="B17" s="115">
        <v>806885508</v>
      </c>
      <c r="C17" s="115" t="s">
        <v>175</v>
      </c>
      <c r="D17" s="116" t="s">
        <v>93</v>
      </c>
      <c r="E17" s="117">
        <f t="shared" si="13"/>
        <v>0</v>
      </c>
      <c r="F17" s="117"/>
      <c r="G17" s="117"/>
      <c r="H17" s="117"/>
      <c r="I17" s="117">
        <v>117.76</v>
      </c>
      <c r="J17" s="117">
        <f t="shared" si="0"/>
        <v>0</v>
      </c>
      <c r="K17" s="114"/>
      <c r="L17" s="114"/>
      <c r="M17" s="114"/>
      <c r="N17" s="114"/>
      <c r="O17" s="213">
        <f t="shared" si="1"/>
        <v>0</v>
      </c>
      <c r="P17" s="117">
        <f t="shared" si="22"/>
        <v>0</v>
      </c>
      <c r="Q17" s="118"/>
      <c r="R17" s="118"/>
      <c r="S17" s="117">
        <f t="shared" si="14"/>
        <v>0</v>
      </c>
      <c r="T17" s="118"/>
      <c r="U17" s="118"/>
      <c r="V17" s="117">
        <f t="shared" si="15"/>
        <v>0</v>
      </c>
      <c r="W17" s="118"/>
      <c r="X17" s="118"/>
      <c r="Y17" s="117">
        <f t="shared" si="3"/>
        <v>0</v>
      </c>
      <c r="Z17" s="117">
        <f t="shared" si="16"/>
        <v>0</v>
      </c>
      <c r="AA17" s="119" t="e">
        <f t="shared" si="25"/>
        <v>#DIV/0!</v>
      </c>
      <c r="AB17" s="117">
        <f t="shared" si="17"/>
        <v>0</v>
      </c>
      <c r="AC17" s="118"/>
      <c r="AD17" s="119">
        <f t="shared" si="5"/>
        <v>0</v>
      </c>
      <c r="AE17" s="118"/>
      <c r="AF17" s="118"/>
      <c r="AG17" s="118"/>
      <c r="AH17" s="118"/>
      <c r="AI17" s="152">
        <f t="shared" si="26"/>
        <v>0</v>
      </c>
      <c r="AJ17" s="118"/>
      <c r="AK17" s="120">
        <f t="shared" si="18"/>
        <v>0</v>
      </c>
      <c r="AL17" s="121">
        <f t="shared" si="19"/>
        <v>0</v>
      </c>
      <c r="AM17" s="122"/>
      <c r="AN17" s="123">
        <f t="shared" si="7"/>
        <v>0</v>
      </c>
      <c r="AO17" s="124">
        <f t="shared" si="8"/>
        <v>117.76</v>
      </c>
      <c r="AP17" s="124">
        <f t="shared" si="9"/>
        <v>0</v>
      </c>
      <c r="AQ17" s="124">
        <f t="shared" si="20"/>
        <v>0</v>
      </c>
      <c r="AR17" s="124">
        <f t="shared" si="21"/>
        <v>0</v>
      </c>
      <c r="AS17" s="124">
        <f t="array" ref="AS17">_xlfn.IFS(S17=0,AL17,S17&lt;0,AL17/-S17,S17&gt;0,AL17/S17)</f>
        <v>0</v>
      </c>
      <c r="AT17" s="119">
        <f t="shared" si="23"/>
        <v>0</v>
      </c>
      <c r="AU17" s="119">
        <f t="shared" si="24"/>
        <v>0</v>
      </c>
      <c r="AV17" s="125"/>
      <c r="AW17" s="120">
        <f t="shared" si="12"/>
        <v>0</v>
      </c>
    </row>
    <row r="18" spans="1:49" outlineLevel="1">
      <c r="A18" s="114"/>
      <c r="B18" s="115">
        <v>807019357</v>
      </c>
      <c r="C18" s="115" t="s">
        <v>176</v>
      </c>
      <c r="D18" s="116" t="s">
        <v>93</v>
      </c>
      <c r="E18" s="117">
        <f t="shared" si="13"/>
        <v>0</v>
      </c>
      <c r="F18" s="117"/>
      <c r="G18" s="117"/>
      <c r="H18" s="117"/>
      <c r="I18" s="117">
        <v>129.46</v>
      </c>
      <c r="J18" s="117">
        <f t="shared" si="0"/>
        <v>0</v>
      </c>
      <c r="K18" s="114"/>
      <c r="L18" s="114"/>
      <c r="M18" s="114"/>
      <c r="N18" s="114"/>
      <c r="O18" s="213">
        <f t="shared" si="1"/>
        <v>0</v>
      </c>
      <c r="P18" s="117">
        <f t="shared" si="22"/>
        <v>0</v>
      </c>
      <c r="Q18" s="118"/>
      <c r="R18" s="118"/>
      <c r="S18" s="117">
        <f t="shared" si="14"/>
        <v>0</v>
      </c>
      <c r="T18" s="118"/>
      <c r="U18" s="118"/>
      <c r="V18" s="117">
        <f t="shared" si="15"/>
        <v>0</v>
      </c>
      <c r="W18" s="118"/>
      <c r="X18" s="118"/>
      <c r="Y18" s="117">
        <f t="shared" si="3"/>
        <v>0</v>
      </c>
      <c r="Z18" s="117">
        <f t="shared" si="16"/>
        <v>0</v>
      </c>
      <c r="AA18" s="119" t="e">
        <f t="shared" si="25"/>
        <v>#DIV/0!</v>
      </c>
      <c r="AB18" s="117">
        <f t="shared" si="17"/>
        <v>0</v>
      </c>
      <c r="AC18" s="118"/>
      <c r="AD18" s="119">
        <f t="shared" si="5"/>
        <v>0</v>
      </c>
      <c r="AE18" s="118"/>
      <c r="AF18" s="118"/>
      <c r="AG18" s="118"/>
      <c r="AH18" s="118"/>
      <c r="AI18" s="152">
        <f t="shared" si="26"/>
        <v>0</v>
      </c>
      <c r="AJ18" s="118"/>
      <c r="AK18" s="120">
        <f t="shared" si="18"/>
        <v>0</v>
      </c>
      <c r="AL18" s="121">
        <f t="shared" si="19"/>
        <v>0</v>
      </c>
      <c r="AM18" s="122"/>
      <c r="AN18" s="123">
        <f t="shared" si="7"/>
        <v>0</v>
      </c>
      <c r="AO18" s="124">
        <f t="shared" si="8"/>
        <v>129.46</v>
      </c>
      <c r="AP18" s="124">
        <f t="shared" si="9"/>
        <v>0</v>
      </c>
      <c r="AQ18" s="124">
        <f t="shared" si="20"/>
        <v>0</v>
      </c>
      <c r="AR18" s="124">
        <f t="shared" si="21"/>
        <v>0</v>
      </c>
      <c r="AS18" s="124">
        <f t="array" ref="AS18">_xlfn.IFS(S18=0,AL18,S18&lt;0,AL18/-S18,S18&gt;0,AL18/S18)</f>
        <v>0</v>
      </c>
      <c r="AT18" s="119">
        <f t="shared" si="23"/>
        <v>0</v>
      </c>
      <c r="AU18" s="119">
        <f t="shared" si="24"/>
        <v>0</v>
      </c>
      <c r="AV18" s="125"/>
      <c r="AW18" s="120">
        <f t="shared" si="12"/>
        <v>0</v>
      </c>
    </row>
    <row r="19" spans="1:49" outlineLevel="1">
      <c r="A19" s="114"/>
      <c r="B19" s="115">
        <v>807030321</v>
      </c>
      <c r="C19" s="115" t="s">
        <v>177</v>
      </c>
      <c r="D19" s="116" t="s">
        <v>93</v>
      </c>
      <c r="E19" s="117">
        <f t="shared" si="13"/>
        <v>0</v>
      </c>
      <c r="F19" s="117"/>
      <c r="G19" s="117"/>
      <c r="H19" s="117"/>
      <c r="I19" s="117">
        <v>129.46</v>
      </c>
      <c r="J19" s="117">
        <f t="shared" si="0"/>
        <v>0</v>
      </c>
      <c r="K19" s="114"/>
      <c r="L19" s="114"/>
      <c r="M19" s="114"/>
      <c r="N19" s="114"/>
      <c r="O19" s="213">
        <f t="shared" si="1"/>
        <v>0</v>
      </c>
      <c r="P19" s="117">
        <f t="shared" si="22"/>
        <v>0</v>
      </c>
      <c r="Q19" s="118"/>
      <c r="R19" s="118"/>
      <c r="S19" s="117">
        <f t="shared" si="14"/>
        <v>0</v>
      </c>
      <c r="T19" s="118"/>
      <c r="U19" s="118"/>
      <c r="V19" s="117">
        <f t="shared" si="15"/>
        <v>0</v>
      </c>
      <c r="W19" s="118"/>
      <c r="X19" s="118"/>
      <c r="Y19" s="117">
        <f t="shared" si="3"/>
        <v>0</v>
      </c>
      <c r="Z19" s="117">
        <f t="shared" si="16"/>
        <v>0</v>
      </c>
      <c r="AA19" s="119" t="e">
        <f t="shared" si="25"/>
        <v>#DIV/0!</v>
      </c>
      <c r="AB19" s="117">
        <f t="shared" si="17"/>
        <v>0</v>
      </c>
      <c r="AC19" s="118"/>
      <c r="AD19" s="119">
        <f t="shared" si="5"/>
        <v>0</v>
      </c>
      <c r="AE19" s="118"/>
      <c r="AF19" s="118"/>
      <c r="AG19" s="118"/>
      <c r="AH19" s="118"/>
      <c r="AI19" s="152">
        <f t="shared" si="26"/>
        <v>0</v>
      </c>
      <c r="AJ19" s="118"/>
      <c r="AK19" s="120">
        <f t="shared" si="18"/>
        <v>0</v>
      </c>
      <c r="AL19" s="121">
        <f t="shared" si="19"/>
        <v>0</v>
      </c>
      <c r="AM19" s="122"/>
      <c r="AN19" s="123">
        <f t="shared" si="7"/>
        <v>0</v>
      </c>
      <c r="AO19" s="124">
        <f t="shared" si="8"/>
        <v>129.46</v>
      </c>
      <c r="AP19" s="124">
        <f t="shared" si="9"/>
        <v>0</v>
      </c>
      <c r="AQ19" s="124">
        <f t="shared" si="20"/>
        <v>0</v>
      </c>
      <c r="AR19" s="124">
        <f t="shared" si="21"/>
        <v>0</v>
      </c>
      <c r="AS19" s="124">
        <f t="array" ref="AS19">_xlfn.IFS(S19=0,AL19,S19&lt;0,AL19/-S19,S19&gt;0,AL19/S19)</f>
        <v>0</v>
      </c>
      <c r="AT19" s="119">
        <f t="shared" si="23"/>
        <v>0</v>
      </c>
      <c r="AU19" s="119">
        <f t="shared" si="24"/>
        <v>0</v>
      </c>
      <c r="AV19" s="125"/>
      <c r="AW19" s="120">
        <f t="shared" si="12"/>
        <v>0</v>
      </c>
    </row>
    <row r="20" spans="1:49" outlineLevel="1">
      <c r="A20" s="114"/>
      <c r="B20" s="115">
        <v>807031830</v>
      </c>
      <c r="C20" s="115" t="s">
        <v>178</v>
      </c>
      <c r="D20" s="116" t="s">
        <v>93</v>
      </c>
      <c r="E20" s="117">
        <f t="shared" si="13"/>
        <v>0</v>
      </c>
      <c r="F20" s="117"/>
      <c r="G20" s="117"/>
      <c r="H20" s="117"/>
      <c r="I20" s="117">
        <v>129.46</v>
      </c>
      <c r="J20" s="117">
        <f t="shared" si="0"/>
        <v>0</v>
      </c>
      <c r="K20" s="114"/>
      <c r="L20" s="114"/>
      <c r="M20" s="114"/>
      <c r="N20" s="114"/>
      <c r="O20" s="213">
        <f t="shared" si="1"/>
        <v>0</v>
      </c>
      <c r="P20" s="117">
        <f t="shared" si="22"/>
        <v>0</v>
      </c>
      <c r="Q20" s="118"/>
      <c r="R20" s="118"/>
      <c r="S20" s="117">
        <f t="shared" si="14"/>
        <v>0</v>
      </c>
      <c r="T20" s="118"/>
      <c r="U20" s="118"/>
      <c r="V20" s="117">
        <f t="shared" si="15"/>
        <v>0</v>
      </c>
      <c r="W20" s="118"/>
      <c r="X20" s="118"/>
      <c r="Y20" s="117">
        <f t="shared" si="3"/>
        <v>0</v>
      </c>
      <c r="Z20" s="117">
        <f t="shared" si="16"/>
        <v>0</v>
      </c>
      <c r="AA20" s="119" t="e">
        <f t="shared" si="25"/>
        <v>#DIV/0!</v>
      </c>
      <c r="AB20" s="117">
        <f t="shared" si="17"/>
        <v>0</v>
      </c>
      <c r="AC20" s="118"/>
      <c r="AD20" s="119">
        <f t="shared" si="5"/>
        <v>0</v>
      </c>
      <c r="AE20" s="118"/>
      <c r="AF20" s="118"/>
      <c r="AG20" s="118"/>
      <c r="AH20" s="118"/>
      <c r="AI20" s="152">
        <f t="shared" si="26"/>
        <v>0</v>
      </c>
      <c r="AJ20" s="118"/>
      <c r="AK20" s="120">
        <f t="shared" si="18"/>
        <v>0</v>
      </c>
      <c r="AL20" s="121">
        <f t="shared" si="19"/>
        <v>0</v>
      </c>
      <c r="AM20" s="122"/>
      <c r="AN20" s="123">
        <f t="shared" si="7"/>
        <v>0</v>
      </c>
      <c r="AO20" s="124">
        <f t="shared" si="8"/>
        <v>129.46</v>
      </c>
      <c r="AP20" s="124">
        <f t="shared" si="9"/>
        <v>0</v>
      </c>
      <c r="AQ20" s="124">
        <f t="shared" si="20"/>
        <v>0</v>
      </c>
      <c r="AR20" s="124">
        <f t="shared" si="21"/>
        <v>0</v>
      </c>
      <c r="AS20" s="124">
        <f t="array" ref="AS20">_xlfn.IFS(S20=0,AL20,S20&lt;0,AL20/-S20,S20&gt;0,AL20/S20)</f>
        <v>0</v>
      </c>
      <c r="AT20" s="119">
        <f t="shared" si="23"/>
        <v>0</v>
      </c>
      <c r="AU20" s="119">
        <f t="shared" si="24"/>
        <v>0</v>
      </c>
      <c r="AV20" s="125"/>
      <c r="AW20" s="120">
        <f t="shared" si="12"/>
        <v>0</v>
      </c>
    </row>
    <row r="21" spans="1:49" outlineLevel="1">
      <c r="A21" s="114"/>
      <c r="B21" s="115">
        <v>806776658</v>
      </c>
      <c r="C21" s="115" t="s">
        <v>179</v>
      </c>
      <c r="D21" s="116" t="s">
        <v>93</v>
      </c>
      <c r="E21" s="117">
        <f t="shared" si="13"/>
        <v>0</v>
      </c>
      <c r="F21" s="117"/>
      <c r="G21" s="117"/>
      <c r="H21" s="117"/>
      <c r="I21" s="117">
        <v>135.31</v>
      </c>
      <c r="J21" s="117">
        <f t="shared" si="0"/>
        <v>0</v>
      </c>
      <c r="K21" s="114"/>
      <c r="L21" s="114"/>
      <c r="M21" s="114"/>
      <c r="N21" s="114"/>
      <c r="O21" s="213">
        <f t="shared" si="1"/>
        <v>0</v>
      </c>
      <c r="P21" s="117">
        <f t="shared" si="22"/>
        <v>0</v>
      </c>
      <c r="Q21" s="118"/>
      <c r="R21" s="118"/>
      <c r="S21" s="117">
        <f t="shared" si="14"/>
        <v>0</v>
      </c>
      <c r="T21" s="118"/>
      <c r="U21" s="118"/>
      <c r="V21" s="117">
        <f t="shared" si="15"/>
        <v>0</v>
      </c>
      <c r="W21" s="118"/>
      <c r="X21" s="118"/>
      <c r="Y21" s="117">
        <f t="shared" si="3"/>
        <v>0</v>
      </c>
      <c r="Z21" s="117">
        <f t="shared" si="16"/>
        <v>0</v>
      </c>
      <c r="AA21" s="119" t="e">
        <f t="shared" si="25"/>
        <v>#DIV/0!</v>
      </c>
      <c r="AB21" s="117">
        <f t="shared" si="17"/>
        <v>0</v>
      </c>
      <c r="AC21" s="118"/>
      <c r="AD21" s="119">
        <f t="shared" si="5"/>
        <v>0</v>
      </c>
      <c r="AE21" s="118"/>
      <c r="AF21" s="118"/>
      <c r="AG21" s="118"/>
      <c r="AH21" s="118"/>
      <c r="AI21" s="152">
        <f t="shared" si="26"/>
        <v>0</v>
      </c>
      <c r="AJ21" s="118"/>
      <c r="AK21" s="120">
        <f t="shared" si="18"/>
        <v>0</v>
      </c>
      <c r="AL21" s="121">
        <f t="shared" si="19"/>
        <v>0</v>
      </c>
      <c r="AM21" s="122"/>
      <c r="AN21" s="123">
        <f t="shared" si="7"/>
        <v>0</v>
      </c>
      <c r="AO21" s="124">
        <f t="shared" si="8"/>
        <v>135.31</v>
      </c>
      <c r="AP21" s="124">
        <f t="shared" si="9"/>
        <v>0</v>
      </c>
      <c r="AQ21" s="124">
        <f t="shared" si="20"/>
        <v>0</v>
      </c>
      <c r="AR21" s="124">
        <f t="shared" si="21"/>
        <v>0</v>
      </c>
      <c r="AS21" s="124">
        <f t="array" ref="AS21">_xlfn.IFS(S21=0,AL21,S21&lt;0,AL21/-S21,S21&gt;0,AL21/S21)</f>
        <v>0</v>
      </c>
      <c r="AT21" s="119">
        <f t="shared" si="23"/>
        <v>0</v>
      </c>
      <c r="AU21" s="119">
        <f t="shared" si="24"/>
        <v>0</v>
      </c>
      <c r="AV21" s="125"/>
      <c r="AW21" s="120">
        <f t="shared" si="12"/>
        <v>0</v>
      </c>
    </row>
    <row r="22" spans="1:49" outlineLevel="1">
      <c r="A22" s="114"/>
      <c r="B22" s="115">
        <v>806769378</v>
      </c>
      <c r="C22" s="115" t="s">
        <v>180</v>
      </c>
      <c r="D22" s="116" t="s">
        <v>93</v>
      </c>
      <c r="E22" s="117">
        <f t="shared" si="13"/>
        <v>0</v>
      </c>
      <c r="F22" s="117"/>
      <c r="G22" s="117"/>
      <c r="H22" s="117"/>
      <c r="I22" s="117">
        <v>135.31</v>
      </c>
      <c r="J22" s="117">
        <f t="shared" si="0"/>
        <v>0</v>
      </c>
      <c r="K22" s="114"/>
      <c r="L22" s="114"/>
      <c r="M22" s="114"/>
      <c r="N22" s="114"/>
      <c r="O22" s="213">
        <f t="shared" si="1"/>
        <v>0</v>
      </c>
      <c r="P22" s="117">
        <f t="shared" si="22"/>
        <v>0</v>
      </c>
      <c r="Q22" s="118"/>
      <c r="R22" s="118"/>
      <c r="S22" s="117">
        <f t="shared" si="14"/>
        <v>0</v>
      </c>
      <c r="T22" s="118"/>
      <c r="U22" s="118"/>
      <c r="V22" s="117">
        <f t="shared" si="15"/>
        <v>0</v>
      </c>
      <c r="W22" s="118"/>
      <c r="X22" s="118"/>
      <c r="Y22" s="117">
        <f t="shared" si="3"/>
        <v>0</v>
      </c>
      <c r="Z22" s="117">
        <f t="shared" si="16"/>
        <v>0</v>
      </c>
      <c r="AA22" s="119" t="e">
        <f t="shared" si="25"/>
        <v>#DIV/0!</v>
      </c>
      <c r="AB22" s="117">
        <f t="shared" si="17"/>
        <v>0</v>
      </c>
      <c r="AC22" s="118"/>
      <c r="AD22" s="119">
        <f t="shared" si="5"/>
        <v>0</v>
      </c>
      <c r="AE22" s="118"/>
      <c r="AF22" s="118"/>
      <c r="AG22" s="118"/>
      <c r="AH22" s="118"/>
      <c r="AI22" s="152">
        <f t="shared" si="26"/>
        <v>0</v>
      </c>
      <c r="AJ22" s="118"/>
      <c r="AK22" s="120">
        <f t="shared" si="18"/>
        <v>0</v>
      </c>
      <c r="AL22" s="121">
        <f t="shared" si="19"/>
        <v>0</v>
      </c>
      <c r="AM22" s="122"/>
      <c r="AN22" s="123">
        <f t="shared" si="7"/>
        <v>0</v>
      </c>
      <c r="AO22" s="124">
        <f t="shared" si="8"/>
        <v>135.31</v>
      </c>
      <c r="AP22" s="124">
        <f t="shared" si="9"/>
        <v>0</v>
      </c>
      <c r="AQ22" s="124">
        <f t="shared" si="20"/>
        <v>0</v>
      </c>
      <c r="AR22" s="124">
        <f t="shared" si="21"/>
        <v>0</v>
      </c>
      <c r="AS22" s="124">
        <f t="array" ref="AS22">_xlfn.IFS(S22=0,AL22,S22&lt;0,AL22/-S22,S22&gt;0,AL22/S22)</f>
        <v>0</v>
      </c>
      <c r="AT22" s="119">
        <f t="shared" si="23"/>
        <v>0</v>
      </c>
      <c r="AU22" s="119">
        <f t="shared" si="24"/>
        <v>0</v>
      </c>
      <c r="AV22" s="125"/>
      <c r="AW22" s="120">
        <f t="shared" si="12"/>
        <v>0</v>
      </c>
    </row>
    <row r="23" spans="1:49" outlineLevel="1">
      <c r="A23" s="114"/>
      <c r="B23" s="115">
        <v>806737023</v>
      </c>
      <c r="C23" s="115" t="s">
        <v>181</v>
      </c>
      <c r="D23" s="116" t="s">
        <v>93</v>
      </c>
      <c r="E23" s="117">
        <f t="shared" si="13"/>
        <v>0</v>
      </c>
      <c r="F23" s="117"/>
      <c r="G23" s="117"/>
      <c r="H23" s="117"/>
      <c r="I23" s="117">
        <v>135.31</v>
      </c>
      <c r="J23" s="117">
        <f t="shared" si="0"/>
        <v>0</v>
      </c>
      <c r="K23" s="114"/>
      <c r="L23" s="114"/>
      <c r="M23" s="114"/>
      <c r="N23" s="114"/>
      <c r="O23" s="213">
        <f t="shared" si="1"/>
        <v>0</v>
      </c>
      <c r="P23" s="117">
        <f t="shared" si="22"/>
        <v>0</v>
      </c>
      <c r="Q23" s="118"/>
      <c r="R23" s="118"/>
      <c r="S23" s="117">
        <f t="shared" si="14"/>
        <v>0</v>
      </c>
      <c r="T23" s="118"/>
      <c r="U23" s="118"/>
      <c r="V23" s="117">
        <f t="shared" si="15"/>
        <v>0</v>
      </c>
      <c r="W23" s="118"/>
      <c r="X23" s="118"/>
      <c r="Y23" s="117">
        <f t="shared" si="3"/>
        <v>0</v>
      </c>
      <c r="Z23" s="117">
        <f t="shared" si="16"/>
        <v>0</v>
      </c>
      <c r="AA23" s="119" t="e">
        <f t="shared" si="25"/>
        <v>#DIV/0!</v>
      </c>
      <c r="AB23" s="117">
        <f t="shared" si="17"/>
        <v>0</v>
      </c>
      <c r="AC23" s="118"/>
      <c r="AD23" s="119">
        <f t="shared" si="5"/>
        <v>0</v>
      </c>
      <c r="AE23" s="118"/>
      <c r="AF23" s="118"/>
      <c r="AG23" s="118"/>
      <c r="AH23" s="118"/>
      <c r="AI23" s="152">
        <f t="shared" si="26"/>
        <v>0</v>
      </c>
      <c r="AJ23" s="118"/>
      <c r="AK23" s="120">
        <f t="shared" si="18"/>
        <v>0</v>
      </c>
      <c r="AL23" s="121">
        <f t="shared" si="19"/>
        <v>0</v>
      </c>
      <c r="AM23" s="122"/>
      <c r="AN23" s="123">
        <f t="shared" si="7"/>
        <v>0</v>
      </c>
      <c r="AO23" s="124">
        <f t="shared" si="8"/>
        <v>135.31</v>
      </c>
      <c r="AP23" s="124">
        <f t="shared" si="9"/>
        <v>0</v>
      </c>
      <c r="AQ23" s="124">
        <f t="shared" si="20"/>
        <v>0</v>
      </c>
      <c r="AR23" s="124">
        <f t="shared" si="21"/>
        <v>0</v>
      </c>
      <c r="AS23" s="124">
        <f t="array" ref="AS23">_xlfn.IFS(S23=0,AL23,S23&lt;0,AL23/-S23,S23&gt;0,AL23/S23)</f>
        <v>0</v>
      </c>
      <c r="AT23" s="119">
        <f t="shared" si="23"/>
        <v>0</v>
      </c>
      <c r="AU23" s="119">
        <f t="shared" si="24"/>
        <v>0</v>
      </c>
      <c r="AV23" s="125"/>
      <c r="AW23" s="120">
        <f t="shared" si="12"/>
        <v>0</v>
      </c>
    </row>
    <row r="24" spans="1:49" outlineLevel="1">
      <c r="A24" s="114"/>
      <c r="B24" s="115">
        <v>815383690</v>
      </c>
      <c r="C24" s="115" t="s">
        <v>182</v>
      </c>
      <c r="D24" s="116" t="s">
        <v>93</v>
      </c>
      <c r="E24" s="117">
        <f t="shared" si="13"/>
        <v>0</v>
      </c>
      <c r="F24" s="117"/>
      <c r="G24" s="117"/>
      <c r="H24" s="117"/>
      <c r="I24" s="117">
        <v>129.46</v>
      </c>
      <c r="J24" s="117">
        <f t="shared" si="0"/>
        <v>0</v>
      </c>
      <c r="K24" s="114"/>
      <c r="L24" s="114"/>
      <c r="M24" s="114"/>
      <c r="N24" s="114"/>
      <c r="O24" s="213">
        <f t="shared" si="1"/>
        <v>0</v>
      </c>
      <c r="P24" s="117">
        <f t="shared" si="22"/>
        <v>0</v>
      </c>
      <c r="Q24" s="118"/>
      <c r="R24" s="118"/>
      <c r="S24" s="117">
        <f t="shared" si="14"/>
        <v>0</v>
      </c>
      <c r="T24" s="118"/>
      <c r="U24" s="118"/>
      <c r="V24" s="117">
        <f t="shared" si="15"/>
        <v>0</v>
      </c>
      <c r="W24" s="118"/>
      <c r="X24" s="118"/>
      <c r="Y24" s="117">
        <f t="shared" si="3"/>
        <v>0</v>
      </c>
      <c r="Z24" s="117">
        <f t="shared" si="16"/>
        <v>0</v>
      </c>
      <c r="AA24" s="119" t="e">
        <f t="shared" si="25"/>
        <v>#DIV/0!</v>
      </c>
      <c r="AB24" s="117">
        <f t="shared" si="17"/>
        <v>0</v>
      </c>
      <c r="AC24" s="118"/>
      <c r="AD24" s="119">
        <f t="shared" si="5"/>
        <v>0</v>
      </c>
      <c r="AE24" s="118"/>
      <c r="AF24" s="118"/>
      <c r="AG24" s="118"/>
      <c r="AH24" s="118"/>
      <c r="AI24" s="152">
        <f t="shared" si="26"/>
        <v>0</v>
      </c>
      <c r="AJ24" s="118"/>
      <c r="AK24" s="120">
        <f t="shared" si="18"/>
        <v>0</v>
      </c>
      <c r="AL24" s="121">
        <f t="shared" si="19"/>
        <v>0</v>
      </c>
      <c r="AM24" s="122"/>
      <c r="AN24" s="123">
        <f t="shared" si="7"/>
        <v>0</v>
      </c>
      <c r="AO24" s="124">
        <f t="shared" si="8"/>
        <v>129.46</v>
      </c>
      <c r="AP24" s="124">
        <f t="shared" si="9"/>
        <v>0</v>
      </c>
      <c r="AQ24" s="124">
        <f t="shared" si="20"/>
        <v>0</v>
      </c>
      <c r="AR24" s="124">
        <f t="shared" si="21"/>
        <v>0</v>
      </c>
      <c r="AS24" s="124">
        <f t="array" ref="AS24">_xlfn.IFS(S24=0,AL24,S24&lt;0,AL24/-S24,S24&gt;0,AL24/S24)</f>
        <v>0</v>
      </c>
      <c r="AT24" s="119">
        <f t="shared" si="23"/>
        <v>0</v>
      </c>
      <c r="AU24" s="119">
        <f t="shared" si="24"/>
        <v>0</v>
      </c>
      <c r="AV24" s="125"/>
      <c r="AW24" s="120">
        <f t="shared" si="12"/>
        <v>0</v>
      </c>
    </row>
    <row r="25" spans="1:49" outlineLevel="1">
      <c r="A25" s="114"/>
      <c r="B25" s="115">
        <v>807104173</v>
      </c>
      <c r="C25" s="115" t="s">
        <v>183</v>
      </c>
      <c r="D25" s="116" t="s">
        <v>93</v>
      </c>
      <c r="E25" s="117">
        <f t="shared" si="13"/>
        <v>0</v>
      </c>
      <c r="F25" s="117"/>
      <c r="G25" s="117"/>
      <c r="H25" s="117"/>
      <c r="I25" s="117">
        <v>117.76</v>
      </c>
      <c r="J25" s="117">
        <f t="shared" si="0"/>
        <v>0</v>
      </c>
      <c r="K25" s="114"/>
      <c r="L25" s="114"/>
      <c r="M25" s="114"/>
      <c r="N25" s="114"/>
      <c r="O25" s="213">
        <f t="shared" si="1"/>
        <v>0</v>
      </c>
      <c r="P25" s="117">
        <f t="shared" si="22"/>
        <v>0</v>
      </c>
      <c r="Q25" s="118"/>
      <c r="R25" s="118"/>
      <c r="S25" s="117">
        <f t="shared" si="14"/>
        <v>0</v>
      </c>
      <c r="T25" s="118"/>
      <c r="U25" s="118"/>
      <c r="V25" s="117">
        <f t="shared" si="15"/>
        <v>0</v>
      </c>
      <c r="W25" s="118"/>
      <c r="X25" s="118"/>
      <c r="Y25" s="117">
        <f t="shared" si="3"/>
        <v>0</v>
      </c>
      <c r="Z25" s="117">
        <f t="shared" si="16"/>
        <v>0</v>
      </c>
      <c r="AA25" s="119" t="e">
        <f t="shared" si="25"/>
        <v>#DIV/0!</v>
      </c>
      <c r="AB25" s="117">
        <f t="shared" si="17"/>
        <v>0</v>
      </c>
      <c r="AC25" s="118"/>
      <c r="AD25" s="119">
        <f t="shared" si="5"/>
        <v>0</v>
      </c>
      <c r="AE25" s="118"/>
      <c r="AF25" s="118"/>
      <c r="AG25" s="118"/>
      <c r="AH25" s="118"/>
      <c r="AI25" s="152">
        <f t="shared" si="26"/>
        <v>0</v>
      </c>
      <c r="AJ25" s="118"/>
      <c r="AK25" s="120">
        <f t="shared" si="18"/>
        <v>0</v>
      </c>
      <c r="AL25" s="121">
        <f t="shared" si="19"/>
        <v>0</v>
      </c>
      <c r="AM25" s="122"/>
      <c r="AN25" s="123">
        <f t="shared" si="7"/>
        <v>0</v>
      </c>
      <c r="AO25" s="124">
        <f t="shared" si="8"/>
        <v>117.76</v>
      </c>
      <c r="AP25" s="124">
        <f t="shared" si="9"/>
        <v>0</v>
      </c>
      <c r="AQ25" s="124">
        <f t="shared" si="20"/>
        <v>0</v>
      </c>
      <c r="AR25" s="124">
        <f t="shared" si="21"/>
        <v>0</v>
      </c>
      <c r="AS25" s="124">
        <f t="array" ref="AS25">_xlfn.IFS(S25=0,AL25,S25&lt;0,AL25/-S25,S25&gt;0,AL25/S25)</f>
        <v>0</v>
      </c>
      <c r="AT25" s="119">
        <f t="shared" si="23"/>
        <v>0</v>
      </c>
      <c r="AU25" s="119">
        <f t="shared" si="24"/>
        <v>0</v>
      </c>
      <c r="AV25" s="125"/>
      <c r="AW25" s="120">
        <f t="shared" si="12"/>
        <v>0</v>
      </c>
    </row>
    <row r="26" spans="1:49" outlineLevel="1">
      <c r="A26" s="114"/>
      <c r="B26" s="115">
        <v>807130690</v>
      </c>
      <c r="C26" s="115" t="s">
        <v>184</v>
      </c>
      <c r="D26" s="116" t="s">
        <v>93</v>
      </c>
      <c r="E26" s="117">
        <f t="shared" si="13"/>
        <v>0</v>
      </c>
      <c r="F26" s="117"/>
      <c r="G26" s="117"/>
      <c r="H26" s="117"/>
      <c r="I26" s="117">
        <v>117.76</v>
      </c>
      <c r="J26" s="117">
        <f t="shared" si="0"/>
        <v>0</v>
      </c>
      <c r="K26" s="114"/>
      <c r="L26" s="114"/>
      <c r="M26" s="114"/>
      <c r="N26" s="114"/>
      <c r="O26" s="213">
        <f t="shared" si="1"/>
        <v>0</v>
      </c>
      <c r="P26" s="117">
        <f t="shared" si="22"/>
        <v>0</v>
      </c>
      <c r="Q26" s="118"/>
      <c r="R26" s="118"/>
      <c r="S26" s="117">
        <f t="shared" si="14"/>
        <v>0</v>
      </c>
      <c r="T26" s="118"/>
      <c r="U26" s="118"/>
      <c r="V26" s="117">
        <f t="shared" si="15"/>
        <v>0</v>
      </c>
      <c r="W26" s="118"/>
      <c r="X26" s="118"/>
      <c r="Y26" s="117">
        <f t="shared" si="3"/>
        <v>0</v>
      </c>
      <c r="Z26" s="117">
        <f t="shared" si="16"/>
        <v>0</v>
      </c>
      <c r="AA26" s="119" t="e">
        <f t="shared" si="25"/>
        <v>#DIV/0!</v>
      </c>
      <c r="AB26" s="117">
        <f t="shared" si="17"/>
        <v>0</v>
      </c>
      <c r="AC26" s="118"/>
      <c r="AD26" s="119">
        <f t="shared" si="5"/>
        <v>0</v>
      </c>
      <c r="AE26" s="118"/>
      <c r="AF26" s="118"/>
      <c r="AG26" s="118"/>
      <c r="AH26" s="118"/>
      <c r="AI26" s="152">
        <f t="shared" si="26"/>
        <v>0</v>
      </c>
      <c r="AJ26" s="118"/>
      <c r="AK26" s="120">
        <f t="shared" si="18"/>
        <v>0</v>
      </c>
      <c r="AL26" s="121">
        <f t="shared" si="19"/>
        <v>0</v>
      </c>
      <c r="AM26" s="122"/>
      <c r="AN26" s="123">
        <f t="shared" si="7"/>
        <v>0</v>
      </c>
      <c r="AO26" s="124">
        <f t="shared" si="8"/>
        <v>117.76</v>
      </c>
      <c r="AP26" s="124">
        <f t="shared" si="9"/>
        <v>0</v>
      </c>
      <c r="AQ26" s="124">
        <f t="shared" si="20"/>
        <v>0</v>
      </c>
      <c r="AR26" s="124">
        <f t="shared" si="21"/>
        <v>0</v>
      </c>
      <c r="AS26" s="124">
        <f t="array" ref="AS26">_xlfn.IFS(S26=0,AL26,S26&lt;0,AL26/-S26,S26&gt;0,AL26/S26)</f>
        <v>0</v>
      </c>
      <c r="AT26" s="119">
        <f t="shared" si="23"/>
        <v>0</v>
      </c>
      <c r="AU26" s="119">
        <f t="shared" si="24"/>
        <v>0</v>
      </c>
      <c r="AV26" s="125"/>
      <c r="AW26" s="120">
        <f t="shared" si="12"/>
        <v>0</v>
      </c>
    </row>
    <row r="27" spans="1:49" outlineLevel="1">
      <c r="A27" s="114"/>
      <c r="B27" s="115">
        <v>807111184</v>
      </c>
      <c r="C27" s="115" t="s">
        <v>185</v>
      </c>
      <c r="D27" s="116" t="s">
        <v>93</v>
      </c>
      <c r="E27" s="117">
        <f t="shared" si="13"/>
        <v>0</v>
      </c>
      <c r="F27" s="117"/>
      <c r="G27" s="117"/>
      <c r="H27" s="117"/>
      <c r="I27" s="117">
        <v>117.76</v>
      </c>
      <c r="J27" s="117">
        <f t="shared" si="0"/>
        <v>0</v>
      </c>
      <c r="K27" s="114"/>
      <c r="L27" s="114"/>
      <c r="M27" s="114"/>
      <c r="N27" s="114"/>
      <c r="O27" s="213">
        <f t="shared" si="1"/>
        <v>0</v>
      </c>
      <c r="P27" s="117">
        <f t="shared" si="22"/>
        <v>0</v>
      </c>
      <c r="Q27" s="118"/>
      <c r="R27" s="118"/>
      <c r="S27" s="117">
        <f t="shared" si="14"/>
        <v>0</v>
      </c>
      <c r="T27" s="118"/>
      <c r="U27" s="118"/>
      <c r="V27" s="117">
        <f t="shared" si="15"/>
        <v>0</v>
      </c>
      <c r="W27" s="118"/>
      <c r="X27" s="118"/>
      <c r="Y27" s="117">
        <f t="shared" si="3"/>
        <v>0</v>
      </c>
      <c r="Z27" s="117">
        <f t="shared" si="16"/>
        <v>0</v>
      </c>
      <c r="AA27" s="119" t="e">
        <f t="shared" si="25"/>
        <v>#DIV/0!</v>
      </c>
      <c r="AB27" s="117">
        <f t="shared" si="17"/>
        <v>0</v>
      </c>
      <c r="AC27" s="118"/>
      <c r="AD27" s="119">
        <f t="shared" si="5"/>
        <v>0</v>
      </c>
      <c r="AE27" s="118"/>
      <c r="AF27" s="118"/>
      <c r="AG27" s="118"/>
      <c r="AH27" s="118"/>
      <c r="AI27" s="152">
        <f t="shared" si="26"/>
        <v>0</v>
      </c>
      <c r="AJ27" s="118"/>
      <c r="AK27" s="120">
        <f t="shared" si="18"/>
        <v>0</v>
      </c>
      <c r="AL27" s="121">
        <f t="shared" si="19"/>
        <v>0</v>
      </c>
      <c r="AM27" s="122"/>
      <c r="AN27" s="123">
        <f t="shared" si="7"/>
        <v>0</v>
      </c>
      <c r="AO27" s="124">
        <f t="shared" si="8"/>
        <v>117.76</v>
      </c>
      <c r="AP27" s="124">
        <f t="shared" si="9"/>
        <v>0</v>
      </c>
      <c r="AQ27" s="124">
        <f t="shared" si="20"/>
        <v>0</v>
      </c>
      <c r="AR27" s="124">
        <f t="shared" si="21"/>
        <v>0</v>
      </c>
      <c r="AS27" s="124">
        <f t="array" ref="AS27">_xlfn.IFS(S27=0,AL27,S27&lt;0,AL27/-S27,S27&gt;0,AL27/S27)</f>
        <v>0</v>
      </c>
      <c r="AT27" s="119">
        <f t="shared" si="23"/>
        <v>0</v>
      </c>
      <c r="AU27" s="119">
        <f t="shared" si="24"/>
        <v>0</v>
      </c>
      <c r="AV27" s="125"/>
      <c r="AW27" s="120">
        <f t="shared" si="12"/>
        <v>0</v>
      </c>
    </row>
    <row r="28" spans="1:49" outlineLevel="1">
      <c r="A28" s="114"/>
      <c r="B28" s="115">
        <v>804632035</v>
      </c>
      <c r="C28" s="115" t="s">
        <v>186</v>
      </c>
      <c r="D28" s="116" t="s">
        <v>93</v>
      </c>
      <c r="E28" s="117">
        <f t="shared" si="13"/>
        <v>0</v>
      </c>
      <c r="F28" s="117"/>
      <c r="G28" s="117"/>
      <c r="H28" s="117"/>
      <c r="I28" s="117">
        <v>218.89</v>
      </c>
      <c r="J28" s="117">
        <f t="shared" si="0"/>
        <v>0</v>
      </c>
      <c r="K28" s="114"/>
      <c r="L28" s="114"/>
      <c r="M28" s="114"/>
      <c r="N28" s="114"/>
      <c r="O28" s="213">
        <f t="shared" si="1"/>
        <v>0</v>
      </c>
      <c r="P28" s="117">
        <f t="shared" si="22"/>
        <v>0</v>
      </c>
      <c r="Q28" s="118"/>
      <c r="R28" s="118"/>
      <c r="S28" s="117">
        <f t="shared" si="14"/>
        <v>0</v>
      </c>
      <c r="T28" s="118"/>
      <c r="U28" s="118"/>
      <c r="V28" s="117">
        <f t="shared" si="15"/>
        <v>0</v>
      </c>
      <c r="W28" s="118"/>
      <c r="X28" s="118"/>
      <c r="Y28" s="117">
        <f t="shared" si="3"/>
        <v>0</v>
      </c>
      <c r="Z28" s="117">
        <f t="shared" si="16"/>
        <v>0</v>
      </c>
      <c r="AA28" s="119" t="e">
        <f t="shared" si="25"/>
        <v>#DIV/0!</v>
      </c>
      <c r="AB28" s="117">
        <f t="shared" si="17"/>
        <v>0</v>
      </c>
      <c r="AC28" s="118"/>
      <c r="AD28" s="119">
        <f t="shared" si="5"/>
        <v>0</v>
      </c>
      <c r="AE28" s="118"/>
      <c r="AF28" s="118"/>
      <c r="AG28" s="118"/>
      <c r="AH28" s="118"/>
      <c r="AI28" s="152">
        <f t="shared" si="26"/>
        <v>0</v>
      </c>
      <c r="AJ28" s="118"/>
      <c r="AK28" s="120">
        <f t="shared" si="18"/>
        <v>0</v>
      </c>
      <c r="AL28" s="121">
        <f t="shared" si="19"/>
        <v>0</v>
      </c>
      <c r="AM28" s="122"/>
      <c r="AN28" s="123">
        <f t="shared" si="7"/>
        <v>0</v>
      </c>
      <c r="AO28" s="124">
        <f t="shared" si="8"/>
        <v>218.89</v>
      </c>
      <c r="AP28" s="124">
        <f t="shared" si="9"/>
        <v>0</v>
      </c>
      <c r="AQ28" s="124">
        <f t="shared" si="20"/>
        <v>0</v>
      </c>
      <c r="AR28" s="124">
        <f t="shared" si="21"/>
        <v>0</v>
      </c>
      <c r="AS28" s="124">
        <f t="array" ref="AS28">_xlfn.IFS(S28=0,AL28,S28&lt;0,AL28/-S28,S28&gt;0,AL28/S28)</f>
        <v>0</v>
      </c>
      <c r="AT28" s="119">
        <f t="shared" si="23"/>
        <v>0</v>
      </c>
      <c r="AU28" s="119">
        <f t="shared" si="24"/>
        <v>0</v>
      </c>
      <c r="AV28" s="125"/>
      <c r="AW28" s="120">
        <f t="shared" si="12"/>
        <v>0</v>
      </c>
    </row>
    <row r="29" spans="1:49" outlineLevel="1">
      <c r="A29" s="114"/>
      <c r="B29" s="115">
        <v>804647664</v>
      </c>
      <c r="C29" s="115" t="s">
        <v>187</v>
      </c>
      <c r="D29" s="116" t="s">
        <v>93</v>
      </c>
      <c r="E29" s="117">
        <f t="shared" si="13"/>
        <v>0</v>
      </c>
      <c r="F29" s="117"/>
      <c r="G29" s="117"/>
      <c r="H29" s="117"/>
      <c r="I29" s="117">
        <v>218.89</v>
      </c>
      <c r="J29" s="117">
        <f t="shared" si="0"/>
        <v>0</v>
      </c>
      <c r="K29" s="114"/>
      <c r="L29" s="114"/>
      <c r="M29" s="114"/>
      <c r="N29" s="114"/>
      <c r="O29" s="213">
        <f t="shared" si="1"/>
        <v>0</v>
      </c>
      <c r="P29" s="117">
        <f t="shared" si="22"/>
        <v>0</v>
      </c>
      <c r="Q29" s="118"/>
      <c r="R29" s="118"/>
      <c r="S29" s="117">
        <f t="shared" si="14"/>
        <v>0</v>
      </c>
      <c r="T29" s="118"/>
      <c r="U29" s="118"/>
      <c r="V29" s="117">
        <f t="shared" si="15"/>
        <v>0</v>
      </c>
      <c r="W29" s="118"/>
      <c r="X29" s="118"/>
      <c r="Y29" s="117">
        <f t="shared" si="3"/>
        <v>0</v>
      </c>
      <c r="Z29" s="117">
        <f t="shared" si="16"/>
        <v>0</v>
      </c>
      <c r="AA29" s="119" t="e">
        <f t="shared" si="25"/>
        <v>#DIV/0!</v>
      </c>
      <c r="AB29" s="117">
        <f t="shared" si="17"/>
        <v>0</v>
      </c>
      <c r="AC29" s="118"/>
      <c r="AD29" s="119">
        <f t="shared" si="5"/>
        <v>0</v>
      </c>
      <c r="AE29" s="118"/>
      <c r="AF29" s="118"/>
      <c r="AG29" s="118"/>
      <c r="AH29" s="118"/>
      <c r="AI29" s="152">
        <f t="shared" si="26"/>
        <v>0</v>
      </c>
      <c r="AJ29" s="118"/>
      <c r="AK29" s="120">
        <f t="shared" si="18"/>
        <v>0</v>
      </c>
      <c r="AL29" s="121">
        <f t="shared" si="19"/>
        <v>0</v>
      </c>
      <c r="AM29" s="122"/>
      <c r="AN29" s="123">
        <f t="shared" si="7"/>
        <v>0</v>
      </c>
      <c r="AO29" s="124">
        <f t="shared" si="8"/>
        <v>218.89</v>
      </c>
      <c r="AP29" s="124">
        <f t="shared" si="9"/>
        <v>0</v>
      </c>
      <c r="AQ29" s="124">
        <f t="shared" si="20"/>
        <v>0</v>
      </c>
      <c r="AR29" s="124">
        <f t="shared" si="21"/>
        <v>0</v>
      </c>
      <c r="AS29" s="124">
        <f t="array" ref="AS29">_xlfn.IFS(S29=0,AL29,S29&lt;0,AL29/-S29,S29&gt;0,AL29/S29)</f>
        <v>0</v>
      </c>
      <c r="AT29" s="119">
        <f t="shared" si="23"/>
        <v>0</v>
      </c>
      <c r="AU29" s="119">
        <f t="shared" si="24"/>
        <v>0</v>
      </c>
      <c r="AV29" s="125"/>
      <c r="AW29" s="120">
        <f t="shared" si="12"/>
        <v>0</v>
      </c>
    </row>
    <row r="30" spans="1:49" outlineLevel="1">
      <c r="A30" s="114"/>
      <c r="B30" s="115">
        <v>804587637</v>
      </c>
      <c r="C30" s="115" t="s">
        <v>188</v>
      </c>
      <c r="D30" s="116" t="s">
        <v>93</v>
      </c>
      <c r="E30" s="117">
        <f t="shared" si="13"/>
        <v>0</v>
      </c>
      <c r="F30" s="117"/>
      <c r="G30" s="117"/>
      <c r="H30" s="117"/>
      <c r="I30" s="117">
        <v>178.89</v>
      </c>
      <c r="J30" s="117">
        <f t="shared" si="0"/>
        <v>0</v>
      </c>
      <c r="K30" s="114"/>
      <c r="L30" s="114"/>
      <c r="M30" s="114"/>
      <c r="N30" s="114"/>
      <c r="O30" s="213">
        <f t="shared" si="1"/>
        <v>0</v>
      </c>
      <c r="P30" s="117">
        <f t="shared" si="22"/>
        <v>0</v>
      </c>
      <c r="Q30" s="118"/>
      <c r="R30" s="118"/>
      <c r="S30" s="117">
        <f t="shared" si="14"/>
        <v>0</v>
      </c>
      <c r="T30" s="118"/>
      <c r="U30" s="118"/>
      <c r="V30" s="117">
        <f t="shared" si="15"/>
        <v>0</v>
      </c>
      <c r="W30" s="118"/>
      <c r="X30" s="118"/>
      <c r="Y30" s="117">
        <f t="shared" si="3"/>
        <v>0</v>
      </c>
      <c r="Z30" s="117">
        <f t="shared" si="16"/>
        <v>0</v>
      </c>
      <c r="AA30" s="119" t="e">
        <f t="shared" si="25"/>
        <v>#DIV/0!</v>
      </c>
      <c r="AB30" s="117">
        <f t="shared" si="17"/>
        <v>0</v>
      </c>
      <c r="AC30" s="118"/>
      <c r="AD30" s="119">
        <f t="shared" si="5"/>
        <v>0</v>
      </c>
      <c r="AE30" s="118"/>
      <c r="AF30" s="118"/>
      <c r="AG30" s="118"/>
      <c r="AH30" s="118"/>
      <c r="AI30" s="152">
        <f t="shared" si="26"/>
        <v>0</v>
      </c>
      <c r="AJ30" s="118"/>
      <c r="AK30" s="120">
        <f t="shared" si="18"/>
        <v>0</v>
      </c>
      <c r="AL30" s="121">
        <f t="shared" si="19"/>
        <v>0</v>
      </c>
      <c r="AM30" s="122"/>
      <c r="AN30" s="123">
        <f t="shared" si="7"/>
        <v>0</v>
      </c>
      <c r="AO30" s="124">
        <f t="shared" si="8"/>
        <v>178.89</v>
      </c>
      <c r="AP30" s="124">
        <f t="shared" si="9"/>
        <v>0</v>
      </c>
      <c r="AQ30" s="124">
        <f t="shared" si="20"/>
        <v>0</v>
      </c>
      <c r="AR30" s="124">
        <f t="shared" si="21"/>
        <v>0</v>
      </c>
      <c r="AS30" s="124">
        <f t="array" ref="AS30">_xlfn.IFS(S30=0,AL30,S30&lt;0,AL30/-S30,S30&gt;0,AL30/S30)</f>
        <v>0</v>
      </c>
      <c r="AT30" s="119">
        <f t="shared" si="23"/>
        <v>0</v>
      </c>
      <c r="AU30" s="119">
        <f t="shared" si="24"/>
        <v>0</v>
      </c>
      <c r="AV30" s="125"/>
      <c r="AW30" s="120">
        <f t="shared" si="12"/>
        <v>0</v>
      </c>
    </row>
    <row r="31" spans="1:49" outlineLevel="1">
      <c r="A31" s="114"/>
      <c r="B31" s="115">
        <v>804573581</v>
      </c>
      <c r="C31" s="115" t="s">
        <v>189</v>
      </c>
      <c r="D31" s="116" t="s">
        <v>93</v>
      </c>
      <c r="E31" s="117">
        <f t="shared" si="13"/>
        <v>0</v>
      </c>
      <c r="F31" s="117"/>
      <c r="G31" s="117"/>
      <c r="H31" s="117"/>
      <c r="I31" s="117">
        <v>178.89</v>
      </c>
      <c r="J31" s="117">
        <f t="shared" si="0"/>
        <v>0</v>
      </c>
      <c r="K31" s="114"/>
      <c r="L31" s="114"/>
      <c r="M31" s="114"/>
      <c r="N31" s="114"/>
      <c r="O31" s="213">
        <f t="shared" si="1"/>
        <v>0</v>
      </c>
      <c r="P31" s="117">
        <f t="shared" si="22"/>
        <v>0</v>
      </c>
      <c r="Q31" s="118"/>
      <c r="R31" s="118"/>
      <c r="S31" s="117">
        <f t="shared" si="14"/>
        <v>0</v>
      </c>
      <c r="T31" s="118"/>
      <c r="U31" s="118"/>
      <c r="V31" s="117">
        <f t="shared" si="15"/>
        <v>0</v>
      </c>
      <c r="W31" s="118"/>
      <c r="X31" s="118"/>
      <c r="Y31" s="117">
        <f t="shared" si="3"/>
        <v>0</v>
      </c>
      <c r="Z31" s="117">
        <f t="shared" si="16"/>
        <v>0</v>
      </c>
      <c r="AA31" s="119" t="e">
        <f t="shared" si="25"/>
        <v>#DIV/0!</v>
      </c>
      <c r="AB31" s="117">
        <f t="shared" si="17"/>
        <v>0</v>
      </c>
      <c r="AC31" s="118"/>
      <c r="AD31" s="119">
        <f t="shared" si="5"/>
        <v>0</v>
      </c>
      <c r="AE31" s="118"/>
      <c r="AF31" s="118"/>
      <c r="AG31" s="118"/>
      <c r="AH31" s="118"/>
      <c r="AI31" s="152">
        <f t="shared" si="26"/>
        <v>0</v>
      </c>
      <c r="AJ31" s="118"/>
      <c r="AK31" s="120">
        <f t="shared" si="18"/>
        <v>0</v>
      </c>
      <c r="AL31" s="121">
        <f t="shared" si="19"/>
        <v>0</v>
      </c>
      <c r="AM31" s="122"/>
      <c r="AN31" s="123">
        <f t="shared" si="7"/>
        <v>0</v>
      </c>
      <c r="AO31" s="124">
        <f t="shared" si="8"/>
        <v>178.89</v>
      </c>
      <c r="AP31" s="124">
        <f t="shared" si="9"/>
        <v>0</v>
      </c>
      <c r="AQ31" s="124">
        <f t="shared" si="20"/>
        <v>0</v>
      </c>
      <c r="AR31" s="124">
        <f t="shared" si="21"/>
        <v>0</v>
      </c>
      <c r="AS31" s="124">
        <f t="array" ref="AS31">_xlfn.IFS(S31=0,AL31,S31&lt;0,AL31/-S31,S31&gt;0,AL31/S31)</f>
        <v>0</v>
      </c>
      <c r="AT31" s="119">
        <f t="shared" si="23"/>
        <v>0</v>
      </c>
      <c r="AU31" s="119">
        <f t="shared" si="24"/>
        <v>0</v>
      </c>
      <c r="AV31" s="125"/>
      <c r="AW31" s="120">
        <f t="shared" si="12"/>
        <v>0</v>
      </c>
    </row>
    <row r="32" spans="1:49" outlineLevel="1">
      <c r="A32" s="114"/>
      <c r="B32" s="115">
        <v>804546783</v>
      </c>
      <c r="C32" s="115" t="s">
        <v>190</v>
      </c>
      <c r="D32" s="116" t="s">
        <v>93</v>
      </c>
      <c r="E32" s="117">
        <f t="shared" si="13"/>
        <v>0</v>
      </c>
      <c r="F32" s="117"/>
      <c r="G32" s="117"/>
      <c r="H32" s="117"/>
      <c r="I32" s="117">
        <v>178.89</v>
      </c>
      <c r="J32" s="117">
        <f t="shared" si="0"/>
        <v>0</v>
      </c>
      <c r="K32" s="114"/>
      <c r="L32" s="114"/>
      <c r="M32" s="114"/>
      <c r="N32" s="114"/>
      <c r="O32" s="213">
        <f t="shared" si="1"/>
        <v>0</v>
      </c>
      <c r="P32" s="117">
        <f t="shared" si="22"/>
        <v>0</v>
      </c>
      <c r="Q32" s="118"/>
      <c r="R32" s="118"/>
      <c r="S32" s="117">
        <f t="shared" si="14"/>
        <v>0</v>
      </c>
      <c r="T32" s="118"/>
      <c r="U32" s="118"/>
      <c r="V32" s="117">
        <f t="shared" si="15"/>
        <v>0</v>
      </c>
      <c r="W32" s="118"/>
      <c r="X32" s="118"/>
      <c r="Y32" s="117">
        <f t="shared" si="3"/>
        <v>0</v>
      </c>
      <c r="Z32" s="117">
        <f t="shared" si="16"/>
        <v>0</v>
      </c>
      <c r="AA32" s="119" t="e">
        <f t="shared" si="25"/>
        <v>#DIV/0!</v>
      </c>
      <c r="AB32" s="117">
        <f t="shared" si="17"/>
        <v>0</v>
      </c>
      <c r="AC32" s="118"/>
      <c r="AD32" s="119">
        <f t="shared" si="5"/>
        <v>0</v>
      </c>
      <c r="AE32" s="118"/>
      <c r="AF32" s="118"/>
      <c r="AG32" s="118"/>
      <c r="AH32" s="118"/>
      <c r="AI32" s="152">
        <f t="shared" si="26"/>
        <v>0</v>
      </c>
      <c r="AJ32" s="118"/>
      <c r="AK32" s="120">
        <f t="shared" si="18"/>
        <v>0</v>
      </c>
      <c r="AL32" s="121">
        <f t="shared" si="19"/>
        <v>0</v>
      </c>
      <c r="AM32" s="122"/>
      <c r="AN32" s="123">
        <f t="shared" si="7"/>
        <v>0</v>
      </c>
      <c r="AO32" s="124">
        <f t="shared" si="8"/>
        <v>178.89</v>
      </c>
      <c r="AP32" s="124">
        <f t="shared" si="9"/>
        <v>0</v>
      </c>
      <c r="AQ32" s="124">
        <f t="shared" si="20"/>
        <v>0</v>
      </c>
      <c r="AR32" s="124">
        <f t="shared" si="21"/>
        <v>0</v>
      </c>
      <c r="AS32" s="124">
        <f t="array" ref="AS32">_xlfn.IFS(S32=0,AL32,S32&lt;0,AL32/-S32,S32&gt;0,AL32/S32)</f>
        <v>0</v>
      </c>
      <c r="AT32" s="119">
        <f t="shared" si="23"/>
        <v>0</v>
      </c>
      <c r="AU32" s="119">
        <f t="shared" si="24"/>
        <v>0</v>
      </c>
      <c r="AV32" s="125"/>
      <c r="AW32" s="120">
        <f t="shared" si="12"/>
        <v>0</v>
      </c>
    </row>
    <row r="33" spans="1:49" outlineLevel="1">
      <c r="A33" s="114"/>
      <c r="B33" s="115">
        <v>804671683</v>
      </c>
      <c r="C33" s="115" t="s">
        <v>191</v>
      </c>
      <c r="D33" s="116" t="s">
        <v>93</v>
      </c>
      <c r="E33" s="117">
        <f t="shared" si="13"/>
        <v>0</v>
      </c>
      <c r="F33" s="117"/>
      <c r="G33" s="117"/>
      <c r="H33" s="117"/>
      <c r="I33" s="117">
        <v>178.89</v>
      </c>
      <c r="J33" s="117">
        <f t="shared" si="0"/>
        <v>0</v>
      </c>
      <c r="K33" s="114"/>
      <c r="L33" s="114"/>
      <c r="M33" s="114"/>
      <c r="N33" s="114"/>
      <c r="O33" s="213">
        <f t="shared" si="1"/>
        <v>0</v>
      </c>
      <c r="P33" s="117">
        <f t="shared" si="22"/>
        <v>0</v>
      </c>
      <c r="Q33" s="118"/>
      <c r="R33" s="118"/>
      <c r="S33" s="117">
        <f t="shared" si="14"/>
        <v>0</v>
      </c>
      <c r="T33" s="118"/>
      <c r="U33" s="118"/>
      <c r="V33" s="117">
        <f t="shared" si="15"/>
        <v>0</v>
      </c>
      <c r="W33" s="118"/>
      <c r="X33" s="118"/>
      <c r="Y33" s="117">
        <f t="shared" si="3"/>
        <v>0</v>
      </c>
      <c r="Z33" s="117">
        <f t="shared" si="16"/>
        <v>0</v>
      </c>
      <c r="AA33" s="119" t="e">
        <f t="shared" si="25"/>
        <v>#DIV/0!</v>
      </c>
      <c r="AB33" s="117">
        <f t="shared" si="17"/>
        <v>0</v>
      </c>
      <c r="AC33" s="118"/>
      <c r="AD33" s="119">
        <f t="shared" si="5"/>
        <v>0</v>
      </c>
      <c r="AE33" s="118"/>
      <c r="AF33" s="118"/>
      <c r="AG33" s="118"/>
      <c r="AH33" s="118"/>
      <c r="AI33" s="152">
        <f t="shared" si="26"/>
        <v>0</v>
      </c>
      <c r="AJ33" s="118"/>
      <c r="AK33" s="120">
        <f t="shared" si="18"/>
        <v>0</v>
      </c>
      <c r="AL33" s="121">
        <f t="shared" si="19"/>
        <v>0</v>
      </c>
      <c r="AM33" s="122"/>
      <c r="AN33" s="123">
        <f t="shared" si="7"/>
        <v>0</v>
      </c>
      <c r="AO33" s="124">
        <f t="shared" si="8"/>
        <v>178.89</v>
      </c>
      <c r="AP33" s="124">
        <f t="shared" si="9"/>
        <v>0</v>
      </c>
      <c r="AQ33" s="124">
        <f t="shared" si="20"/>
        <v>0</v>
      </c>
      <c r="AR33" s="124">
        <f t="shared" si="21"/>
        <v>0</v>
      </c>
      <c r="AS33" s="124">
        <f t="array" ref="AS33">_xlfn.IFS(S33=0,AL33,S33&lt;0,AL33/-S33,S33&gt;0,AL33/S33)</f>
        <v>0</v>
      </c>
      <c r="AT33" s="119">
        <f t="shared" si="23"/>
        <v>0</v>
      </c>
      <c r="AU33" s="119">
        <f t="shared" si="24"/>
        <v>0</v>
      </c>
      <c r="AV33" s="125"/>
      <c r="AW33" s="120">
        <f t="shared" si="12"/>
        <v>0</v>
      </c>
    </row>
    <row r="34" spans="1:49" outlineLevel="1">
      <c r="A34" s="114"/>
      <c r="B34" s="115">
        <v>804691336</v>
      </c>
      <c r="C34" s="115" t="s">
        <v>192</v>
      </c>
      <c r="D34" s="116" t="s">
        <v>93</v>
      </c>
      <c r="E34" s="117">
        <f t="shared" si="13"/>
        <v>0</v>
      </c>
      <c r="F34" s="117"/>
      <c r="G34" s="117"/>
      <c r="H34" s="117"/>
      <c r="I34" s="117">
        <v>178.89</v>
      </c>
      <c r="J34" s="117">
        <f t="shared" si="0"/>
        <v>0</v>
      </c>
      <c r="K34" s="114"/>
      <c r="L34" s="114"/>
      <c r="M34" s="114"/>
      <c r="N34" s="114"/>
      <c r="O34" s="213">
        <f t="shared" si="1"/>
        <v>0</v>
      </c>
      <c r="P34" s="117">
        <f t="shared" si="22"/>
        <v>0</v>
      </c>
      <c r="Q34" s="118"/>
      <c r="R34" s="118"/>
      <c r="S34" s="117">
        <f t="shared" si="14"/>
        <v>0</v>
      </c>
      <c r="T34" s="118"/>
      <c r="U34" s="118"/>
      <c r="V34" s="117">
        <f t="shared" si="15"/>
        <v>0</v>
      </c>
      <c r="W34" s="118"/>
      <c r="X34" s="118"/>
      <c r="Y34" s="117">
        <f t="shared" si="3"/>
        <v>0</v>
      </c>
      <c r="Z34" s="117">
        <f t="shared" si="16"/>
        <v>0</v>
      </c>
      <c r="AA34" s="119" t="e">
        <f t="shared" si="25"/>
        <v>#DIV/0!</v>
      </c>
      <c r="AB34" s="117">
        <f t="shared" si="17"/>
        <v>0</v>
      </c>
      <c r="AC34" s="118"/>
      <c r="AD34" s="119">
        <f t="shared" si="5"/>
        <v>0</v>
      </c>
      <c r="AE34" s="118"/>
      <c r="AF34" s="118"/>
      <c r="AG34" s="118"/>
      <c r="AH34" s="118"/>
      <c r="AI34" s="152">
        <f t="shared" si="26"/>
        <v>0</v>
      </c>
      <c r="AJ34" s="118"/>
      <c r="AK34" s="120">
        <f t="shared" si="18"/>
        <v>0</v>
      </c>
      <c r="AL34" s="121">
        <f t="shared" si="19"/>
        <v>0</v>
      </c>
      <c r="AM34" s="122"/>
      <c r="AN34" s="123">
        <f t="shared" si="7"/>
        <v>0</v>
      </c>
      <c r="AO34" s="124">
        <f t="shared" si="8"/>
        <v>178.89</v>
      </c>
      <c r="AP34" s="124">
        <f t="shared" si="9"/>
        <v>0</v>
      </c>
      <c r="AQ34" s="124">
        <f t="shared" si="20"/>
        <v>0</v>
      </c>
      <c r="AR34" s="124">
        <f t="shared" si="21"/>
        <v>0</v>
      </c>
      <c r="AS34" s="124">
        <f t="array" ref="AS34">_xlfn.IFS(S34=0,AL34,S34&lt;0,AL34/-S34,S34&gt;0,AL34/S34)</f>
        <v>0</v>
      </c>
      <c r="AT34" s="119">
        <f t="shared" si="23"/>
        <v>0</v>
      </c>
      <c r="AU34" s="119">
        <f t="shared" si="24"/>
        <v>0</v>
      </c>
      <c r="AV34" s="125"/>
      <c r="AW34" s="120">
        <f t="shared" si="12"/>
        <v>0</v>
      </c>
    </row>
    <row r="35" spans="1:49" s="140" customFormat="1" outlineLevel="1">
      <c r="A35" s="127"/>
      <c r="B35" s="128"/>
      <c r="C35" s="129"/>
      <c r="D35" s="130"/>
      <c r="E35" s="131"/>
      <c r="F35" s="131"/>
      <c r="G35" s="131"/>
      <c r="H35" s="131"/>
      <c r="I35" s="131"/>
      <c r="J35" s="131"/>
      <c r="K35" s="129"/>
      <c r="L35" s="129"/>
      <c r="M35" s="129"/>
      <c r="N35" s="129"/>
      <c r="O35" s="131"/>
      <c r="P35" s="131"/>
      <c r="Q35" s="132"/>
      <c r="R35" s="132"/>
      <c r="S35" s="131"/>
      <c r="T35" s="118"/>
      <c r="U35" s="118"/>
      <c r="V35" s="131"/>
      <c r="W35" s="132"/>
      <c r="X35" s="132"/>
      <c r="Y35" s="131"/>
      <c r="Z35" s="131"/>
      <c r="AA35" s="133"/>
      <c r="AB35" s="131"/>
      <c r="AC35" s="132"/>
      <c r="AD35" s="133"/>
      <c r="AE35" s="132"/>
      <c r="AF35" s="132"/>
      <c r="AG35" s="132"/>
      <c r="AH35" s="132"/>
      <c r="AI35" s="134"/>
      <c r="AJ35" s="132"/>
      <c r="AK35" s="135"/>
      <c r="AL35" s="136"/>
      <c r="AM35" s="137"/>
      <c r="AN35" s="138">
        <f t="shared" ref="AN35:AU35" si="27">AVERAGE(AN3:AN6)</f>
        <v>0</v>
      </c>
      <c r="AO35" s="138">
        <f t="shared" si="27"/>
        <v>128.0625</v>
      </c>
      <c r="AP35" s="138">
        <f t="shared" si="27"/>
        <v>0</v>
      </c>
      <c r="AQ35" s="138">
        <f t="shared" si="27"/>
        <v>0</v>
      </c>
      <c r="AR35" s="138">
        <f t="shared" si="27"/>
        <v>0</v>
      </c>
      <c r="AS35" s="138">
        <f t="shared" si="27"/>
        <v>0</v>
      </c>
      <c r="AT35" s="139">
        <f t="shared" si="27"/>
        <v>0</v>
      </c>
      <c r="AU35" s="138">
        <f t="shared" si="27"/>
        <v>0</v>
      </c>
      <c r="AV35" s="125"/>
      <c r="AW35" s="135"/>
    </row>
    <row r="36" spans="1:49" s="148" customFormat="1">
      <c r="A36" s="141" t="s">
        <v>106</v>
      </c>
      <c r="B36" s="142"/>
      <c r="C36" s="143"/>
      <c r="D36" s="143"/>
      <c r="E36" s="143">
        <f>SUM(E3:E34)</f>
        <v>0</v>
      </c>
      <c r="F36" s="143">
        <f>SUM(F3:F34)</f>
        <v>0</v>
      </c>
      <c r="G36" s="143">
        <f>SUM(G3:G34)</f>
        <v>0</v>
      </c>
      <c r="H36" s="143">
        <f>SUM(H3:H34)</f>
        <v>0</v>
      </c>
      <c r="I36" s="143"/>
      <c r="J36" s="143">
        <f>SUM(J3:J34)</f>
        <v>0</v>
      </c>
      <c r="K36" s="143"/>
      <c r="L36" s="143">
        <f>SUM(L3:L34)</f>
        <v>0</v>
      </c>
      <c r="M36" s="143"/>
      <c r="N36" s="143"/>
      <c r="O36" s="143"/>
      <c r="P36" s="143"/>
      <c r="Q36" s="143">
        <f t="shared" ref="Q36:AC36" si="28">SUM(Q3:Q34)</f>
        <v>0</v>
      </c>
      <c r="R36" s="143">
        <f t="shared" si="28"/>
        <v>0</v>
      </c>
      <c r="S36" s="143">
        <f t="shared" si="28"/>
        <v>0</v>
      </c>
      <c r="T36" s="143">
        <f t="shared" si="28"/>
        <v>0</v>
      </c>
      <c r="U36" s="143">
        <f t="shared" si="28"/>
        <v>0</v>
      </c>
      <c r="V36" s="143">
        <f t="shared" si="28"/>
        <v>0</v>
      </c>
      <c r="W36" s="143">
        <f t="shared" si="28"/>
        <v>0</v>
      </c>
      <c r="X36" s="143">
        <f t="shared" si="28"/>
        <v>0</v>
      </c>
      <c r="Y36" s="143">
        <f t="shared" si="28"/>
        <v>0</v>
      </c>
      <c r="Z36" s="143">
        <f t="shared" si="28"/>
        <v>0</v>
      </c>
      <c r="AA36" s="144" t="e">
        <f t="shared" si="28"/>
        <v>#DIV/0!</v>
      </c>
      <c r="AB36" s="145">
        <f t="shared" si="28"/>
        <v>0</v>
      </c>
      <c r="AC36" s="145">
        <f t="shared" si="28"/>
        <v>0</v>
      </c>
      <c r="AD36" s="144" t="e">
        <f>AC36/Y36</f>
        <v>#DIV/0!</v>
      </c>
      <c r="AE36" s="143">
        <f t="shared" ref="AE36:AL36" si="29">SUM(AE3:AE34)</f>
        <v>0</v>
      </c>
      <c r="AF36" s="143">
        <f t="shared" si="29"/>
        <v>0</v>
      </c>
      <c r="AG36" s="143">
        <f t="shared" si="29"/>
        <v>0</v>
      </c>
      <c r="AH36" s="143">
        <f t="shared" si="29"/>
        <v>0</v>
      </c>
      <c r="AI36" s="143">
        <f t="shared" si="29"/>
        <v>0</v>
      </c>
      <c r="AJ36" s="143">
        <f t="shared" si="29"/>
        <v>0</v>
      </c>
      <c r="AK36" s="143">
        <f t="shared" si="29"/>
        <v>0</v>
      </c>
      <c r="AL36" s="143">
        <f t="shared" si="29"/>
        <v>0</v>
      </c>
      <c r="AM36" s="146"/>
      <c r="AN36" s="143"/>
      <c r="AO36" s="143"/>
      <c r="AP36" s="143"/>
      <c r="AQ36" s="143"/>
      <c r="AR36" s="143" t="e">
        <f>(AF36+AG36)/Q36</f>
        <v>#DIV/0!</v>
      </c>
      <c r="AS36" s="143"/>
      <c r="AT36" s="143"/>
      <c r="AU36" s="143"/>
      <c r="AV36" s="147"/>
      <c r="AW36" s="143">
        <f>SUM(AW3:AW6)</f>
        <v>0</v>
      </c>
    </row>
    <row r="37" spans="1:49">
      <c r="A37" s="114"/>
      <c r="B37" s="115"/>
      <c r="C37" s="115"/>
      <c r="D37" s="149"/>
      <c r="E37" s="118"/>
      <c r="F37" s="118"/>
      <c r="G37" s="118"/>
      <c r="H37" s="118"/>
      <c r="I37" s="118"/>
      <c r="J37" s="118"/>
      <c r="K37" s="114"/>
      <c r="L37" s="114"/>
      <c r="M37" s="114"/>
      <c r="N37" s="114"/>
      <c r="O37" s="118"/>
      <c r="P37" s="118"/>
      <c r="Q37" s="118"/>
      <c r="R37" s="118"/>
      <c r="S37" s="118"/>
      <c r="T37" s="118"/>
      <c r="U37" s="118"/>
      <c r="V37" s="118"/>
      <c r="W37" s="118"/>
      <c r="X37" s="118"/>
      <c r="Y37" s="118"/>
      <c r="Z37" s="118"/>
      <c r="AA37" s="150"/>
      <c r="AB37" s="118"/>
      <c r="AC37" s="118"/>
      <c r="AD37" s="150"/>
      <c r="AE37" s="118"/>
      <c r="AF37" s="346"/>
      <c r="AG37" s="346"/>
      <c r="AH37" s="281"/>
      <c r="AI37" s="152"/>
      <c r="AJ37" s="118"/>
      <c r="AK37" s="153"/>
      <c r="AL37" s="154"/>
      <c r="AM37" s="122"/>
      <c r="AN37" s="155"/>
      <c r="AO37" s="156"/>
      <c r="AP37" s="156"/>
      <c r="AQ37" s="156"/>
      <c r="AR37" s="156"/>
      <c r="AS37" s="156"/>
      <c r="AT37" s="157"/>
      <c r="AU37" s="157"/>
      <c r="AV37" s="125"/>
      <c r="AW37" s="153"/>
    </row>
    <row r="38" spans="1:49" hidden="1" outlineLevel="1">
      <c r="A38" s="114"/>
      <c r="B38" s="115"/>
      <c r="C38" s="115"/>
      <c r="D38" s="116"/>
      <c r="E38" s="117">
        <f t="shared" ref="E38:E69" si="30">SUM(F38:H38)</f>
        <v>0</v>
      </c>
      <c r="F38" s="117"/>
      <c r="G38" s="117"/>
      <c r="H38" s="117"/>
      <c r="I38" s="117"/>
      <c r="J38" s="117">
        <f t="shared" ref="J38:J89" si="31">E38*I38</f>
        <v>0</v>
      </c>
      <c r="K38" s="114"/>
      <c r="L38" s="114"/>
      <c r="M38" s="114"/>
      <c r="N38" s="114"/>
      <c r="O38" s="117">
        <f t="shared" ref="O38:O89" si="32">L38/7</f>
        <v>0</v>
      </c>
      <c r="P38" s="117">
        <f t="shared" ref="P38:P89" si="33">S38/7</f>
        <v>0</v>
      </c>
      <c r="Q38" s="118"/>
      <c r="R38" s="118"/>
      <c r="S38" s="117">
        <f t="shared" ref="S38:S89" si="34">Q38+R38</f>
        <v>0</v>
      </c>
      <c r="T38" s="117"/>
      <c r="U38" s="117"/>
      <c r="V38" s="117">
        <f t="shared" ref="V38:V89" si="35">T38+U38</f>
        <v>0</v>
      </c>
      <c r="W38" s="118"/>
      <c r="X38" s="118"/>
      <c r="Y38" s="117">
        <f t="shared" ref="Y38:Y89" si="36">W38+X38</f>
        <v>0</v>
      </c>
      <c r="Z38" s="117">
        <f t="shared" ref="Z38:Z84" si="37">L38*M38*N38/100</f>
        <v>0</v>
      </c>
      <c r="AA38" s="119" t="e">
        <f>Y38/$Y$93</f>
        <v>#DIV/0!</v>
      </c>
      <c r="AB38" s="117">
        <f t="shared" ref="AB38:AB89" si="38">S38*I38</f>
        <v>0</v>
      </c>
      <c r="AC38" s="118"/>
      <c r="AD38" s="119">
        <f t="shared" ref="AD38:AD89" si="39">IF(Y38=0,0,AC38/Y38)</f>
        <v>0</v>
      </c>
      <c r="AE38" s="118"/>
      <c r="AF38" s="118"/>
      <c r="AG38" s="118"/>
      <c r="AH38" s="118"/>
      <c r="AI38" s="152" t="e">
        <f t="shared" ref="AI38:AI89" si="40">$AI$93*H38/$H$93</f>
        <v>#DIV/0!</v>
      </c>
      <c r="AJ38" s="118"/>
      <c r="AK38" s="120">
        <f t="shared" ref="AK38:AK89" si="41">V38*1%</f>
        <v>0</v>
      </c>
      <c r="AL38" s="121" t="e">
        <f t="shared" ref="AL38:AL89" si="42">Y38-AB38-AC38-AE38-AF38-AG38-AH38-AI38-AK38-AJ38</f>
        <v>#DIV/0!</v>
      </c>
      <c r="AM38" s="122"/>
      <c r="AN38" s="123">
        <f t="shared" ref="AN38:AN89" si="43">IF(S38=0,0,Y38/S38)</f>
        <v>0</v>
      </c>
      <c r="AO38" s="124">
        <f t="shared" ref="AO38:AO89" si="44">I38</f>
        <v>0</v>
      </c>
      <c r="AP38" s="124">
        <f t="shared" ref="AP38:AP89" si="45">IF(S38=0,0,AC38/S38)</f>
        <v>0</v>
      </c>
      <c r="AQ38" s="124">
        <f t="shared" ref="AQ38:AQ89" si="46">IF(Q38=0,AE38/1,AE38/Q38)</f>
        <v>0</v>
      </c>
      <c r="AR38" s="124">
        <f t="shared" ref="AR38:AR89" si="47">IF(Q38=0,0,(AF38+AG38)/Q38)</f>
        <v>0</v>
      </c>
      <c r="AS38" s="124" t="e">
        <f t="array" ref="AS38">_xlfn.IFS(S38=0,AL38,S38&lt;0,AL38/-S38,S38&gt;0,AL38/S38)</f>
        <v>#DIV/0!</v>
      </c>
      <c r="AT38" s="119">
        <f t="shared" ref="AT38:AT89" si="48">IF(AN38=0,0,AS38/AN38)</f>
        <v>0</v>
      </c>
      <c r="AU38" s="119">
        <f t="shared" ref="AU38:AU89" si="49">IF(AO38=0,0,AS38/AO38)</f>
        <v>0</v>
      </c>
      <c r="AV38" s="125"/>
      <c r="AW38" s="120" t="e">
        <f t="shared" ref="AW38:AW89" si="50">AS38*E38</f>
        <v>#DIV/0!</v>
      </c>
    </row>
    <row r="39" spans="1:49" hidden="1" outlineLevel="1">
      <c r="A39" s="114"/>
      <c r="B39" s="115"/>
      <c r="C39" s="115"/>
      <c r="D39" s="116"/>
      <c r="E39" s="117">
        <f t="shared" si="30"/>
        <v>0</v>
      </c>
      <c r="F39" s="117"/>
      <c r="G39" s="117"/>
      <c r="H39" s="117"/>
      <c r="I39" s="117"/>
      <c r="J39" s="117">
        <f t="shared" si="31"/>
        <v>0</v>
      </c>
      <c r="K39" s="114"/>
      <c r="L39" s="114"/>
      <c r="M39" s="114"/>
      <c r="N39" s="114"/>
      <c r="O39" s="117">
        <f t="shared" si="32"/>
        <v>0</v>
      </c>
      <c r="P39" s="117">
        <f t="shared" si="33"/>
        <v>0</v>
      </c>
      <c r="Q39" s="118"/>
      <c r="R39" s="118"/>
      <c r="S39" s="117">
        <f t="shared" si="34"/>
        <v>0</v>
      </c>
      <c r="T39" s="117"/>
      <c r="U39" s="117"/>
      <c r="V39" s="117">
        <f t="shared" si="35"/>
        <v>0</v>
      </c>
      <c r="W39" s="118"/>
      <c r="X39" s="118"/>
      <c r="Y39" s="117">
        <f t="shared" si="36"/>
        <v>0</v>
      </c>
      <c r="Z39" s="117">
        <f t="shared" si="37"/>
        <v>0</v>
      </c>
      <c r="AA39" s="119" t="e">
        <f t="shared" ref="AA39:AA89" si="51">Y39/$Y$93</f>
        <v>#DIV/0!</v>
      </c>
      <c r="AB39" s="117">
        <f t="shared" si="38"/>
        <v>0</v>
      </c>
      <c r="AC39" s="118"/>
      <c r="AD39" s="119">
        <f t="shared" si="39"/>
        <v>0</v>
      </c>
      <c r="AE39" s="118"/>
      <c r="AF39" s="118"/>
      <c r="AG39" s="118"/>
      <c r="AH39" s="118"/>
      <c r="AI39" s="152" t="e">
        <f t="shared" si="40"/>
        <v>#DIV/0!</v>
      </c>
      <c r="AJ39" s="118"/>
      <c r="AK39" s="120">
        <f t="shared" si="41"/>
        <v>0</v>
      </c>
      <c r="AL39" s="121" t="e">
        <f t="shared" si="42"/>
        <v>#DIV/0!</v>
      </c>
      <c r="AM39" s="122"/>
      <c r="AN39" s="123">
        <f t="shared" si="43"/>
        <v>0</v>
      </c>
      <c r="AO39" s="124">
        <f t="shared" si="44"/>
        <v>0</v>
      </c>
      <c r="AP39" s="124">
        <f t="shared" si="45"/>
        <v>0</v>
      </c>
      <c r="AQ39" s="124">
        <f t="shared" si="46"/>
        <v>0</v>
      </c>
      <c r="AR39" s="124">
        <f t="shared" si="47"/>
        <v>0</v>
      </c>
      <c r="AS39" s="124" t="e">
        <f t="array" ref="AS39">_xlfn.IFS(S39=0,AL39,S39&lt;0,AL39/-S39,S39&gt;0,AL39/S39)</f>
        <v>#DIV/0!</v>
      </c>
      <c r="AT39" s="119">
        <f t="shared" si="48"/>
        <v>0</v>
      </c>
      <c r="AU39" s="119">
        <f t="shared" si="49"/>
        <v>0</v>
      </c>
      <c r="AV39" s="125"/>
      <c r="AW39" s="120" t="e">
        <f t="shared" si="50"/>
        <v>#DIV/0!</v>
      </c>
    </row>
    <row r="40" spans="1:49" hidden="1" outlineLevel="1">
      <c r="A40" s="114"/>
      <c r="B40" s="115"/>
      <c r="C40" s="115"/>
      <c r="D40" s="116"/>
      <c r="E40" s="117">
        <f t="shared" si="30"/>
        <v>0</v>
      </c>
      <c r="F40" s="117"/>
      <c r="G40" s="117"/>
      <c r="H40" s="117"/>
      <c r="I40" s="117"/>
      <c r="J40" s="117">
        <f t="shared" si="31"/>
        <v>0</v>
      </c>
      <c r="K40" s="114"/>
      <c r="L40" s="114"/>
      <c r="M40" s="114"/>
      <c r="N40" s="114"/>
      <c r="O40" s="117">
        <f t="shared" si="32"/>
        <v>0</v>
      </c>
      <c r="P40" s="117">
        <f t="shared" si="33"/>
        <v>0</v>
      </c>
      <c r="Q40" s="118"/>
      <c r="R40" s="118"/>
      <c r="S40" s="117">
        <f t="shared" si="34"/>
        <v>0</v>
      </c>
      <c r="T40" s="117"/>
      <c r="U40" s="117"/>
      <c r="V40" s="117">
        <f t="shared" si="35"/>
        <v>0</v>
      </c>
      <c r="W40" s="118"/>
      <c r="X40" s="118"/>
      <c r="Y40" s="117">
        <f t="shared" si="36"/>
        <v>0</v>
      </c>
      <c r="Z40" s="117">
        <f t="shared" si="37"/>
        <v>0</v>
      </c>
      <c r="AA40" s="119" t="e">
        <f t="shared" si="51"/>
        <v>#DIV/0!</v>
      </c>
      <c r="AB40" s="117">
        <f t="shared" si="38"/>
        <v>0</v>
      </c>
      <c r="AC40" s="118"/>
      <c r="AD40" s="119">
        <f t="shared" si="39"/>
        <v>0</v>
      </c>
      <c r="AE40" s="118"/>
      <c r="AF40" s="118"/>
      <c r="AG40" s="118"/>
      <c r="AH40" s="118"/>
      <c r="AI40" s="152" t="e">
        <f t="shared" si="40"/>
        <v>#DIV/0!</v>
      </c>
      <c r="AJ40" s="118"/>
      <c r="AK40" s="120">
        <f t="shared" si="41"/>
        <v>0</v>
      </c>
      <c r="AL40" s="121" t="e">
        <f t="shared" si="42"/>
        <v>#DIV/0!</v>
      </c>
      <c r="AM40" s="122"/>
      <c r="AN40" s="123">
        <f t="shared" si="43"/>
        <v>0</v>
      </c>
      <c r="AO40" s="124">
        <f t="shared" si="44"/>
        <v>0</v>
      </c>
      <c r="AP40" s="124">
        <f t="shared" si="45"/>
        <v>0</v>
      </c>
      <c r="AQ40" s="124">
        <f t="shared" si="46"/>
        <v>0</v>
      </c>
      <c r="AR40" s="124">
        <f t="shared" si="47"/>
        <v>0</v>
      </c>
      <c r="AS40" s="124" t="e">
        <f t="array" ref="AS40">_xlfn.IFS(S40=0,AL40,S40&lt;0,AL40/-S40,S40&gt;0,AL40/S40)</f>
        <v>#DIV/0!</v>
      </c>
      <c r="AT40" s="119">
        <f t="shared" si="48"/>
        <v>0</v>
      </c>
      <c r="AU40" s="119">
        <f t="shared" si="49"/>
        <v>0</v>
      </c>
      <c r="AV40" s="125"/>
      <c r="AW40" s="120" t="e">
        <f t="shared" si="50"/>
        <v>#DIV/0!</v>
      </c>
    </row>
    <row r="41" spans="1:49" hidden="1" outlineLevel="1">
      <c r="A41" s="114"/>
      <c r="B41" s="115"/>
      <c r="C41" s="115"/>
      <c r="D41" s="116"/>
      <c r="E41" s="117">
        <f t="shared" si="30"/>
        <v>0</v>
      </c>
      <c r="F41" s="117"/>
      <c r="G41" s="117"/>
      <c r="H41" s="117"/>
      <c r="I41" s="117"/>
      <c r="J41" s="117">
        <f t="shared" si="31"/>
        <v>0</v>
      </c>
      <c r="K41" s="114"/>
      <c r="L41" s="114"/>
      <c r="M41" s="114"/>
      <c r="N41" s="114"/>
      <c r="O41" s="117">
        <f t="shared" si="32"/>
        <v>0</v>
      </c>
      <c r="P41" s="117">
        <f t="shared" si="33"/>
        <v>0</v>
      </c>
      <c r="Q41" s="118"/>
      <c r="R41" s="118"/>
      <c r="S41" s="117">
        <f t="shared" si="34"/>
        <v>0</v>
      </c>
      <c r="T41" s="117"/>
      <c r="U41" s="117"/>
      <c r="V41" s="117">
        <f t="shared" si="35"/>
        <v>0</v>
      </c>
      <c r="W41" s="118"/>
      <c r="X41" s="118"/>
      <c r="Y41" s="117">
        <f t="shared" si="36"/>
        <v>0</v>
      </c>
      <c r="Z41" s="117">
        <f t="shared" si="37"/>
        <v>0</v>
      </c>
      <c r="AA41" s="119" t="e">
        <f t="shared" si="51"/>
        <v>#DIV/0!</v>
      </c>
      <c r="AB41" s="117">
        <f t="shared" si="38"/>
        <v>0</v>
      </c>
      <c r="AC41" s="118"/>
      <c r="AD41" s="119">
        <f t="shared" si="39"/>
        <v>0</v>
      </c>
      <c r="AE41" s="118"/>
      <c r="AF41" s="118"/>
      <c r="AG41" s="118"/>
      <c r="AH41" s="118"/>
      <c r="AI41" s="152" t="e">
        <f t="shared" si="40"/>
        <v>#DIV/0!</v>
      </c>
      <c r="AJ41" s="118"/>
      <c r="AK41" s="120">
        <f t="shared" si="41"/>
        <v>0</v>
      </c>
      <c r="AL41" s="121" t="e">
        <f t="shared" si="42"/>
        <v>#DIV/0!</v>
      </c>
      <c r="AM41" s="122"/>
      <c r="AN41" s="123">
        <f t="shared" si="43"/>
        <v>0</v>
      </c>
      <c r="AO41" s="124">
        <f t="shared" si="44"/>
        <v>0</v>
      </c>
      <c r="AP41" s="124">
        <f t="shared" si="45"/>
        <v>0</v>
      </c>
      <c r="AQ41" s="124">
        <f t="shared" si="46"/>
        <v>0</v>
      </c>
      <c r="AR41" s="124">
        <f t="shared" si="47"/>
        <v>0</v>
      </c>
      <c r="AS41" s="124" t="e">
        <f t="array" ref="AS41">_xlfn.IFS(S41=0,AL41,S41&lt;0,AL41/-S41,S41&gt;0,AL41/S41)</f>
        <v>#DIV/0!</v>
      </c>
      <c r="AT41" s="119">
        <f t="shared" si="48"/>
        <v>0</v>
      </c>
      <c r="AU41" s="119">
        <f t="shared" si="49"/>
        <v>0</v>
      </c>
      <c r="AV41" s="125"/>
      <c r="AW41" s="120" t="e">
        <f t="shared" si="50"/>
        <v>#DIV/0!</v>
      </c>
    </row>
    <row r="42" spans="1:49" hidden="1" outlineLevel="1">
      <c r="A42" s="114"/>
      <c r="B42" s="115"/>
      <c r="C42" s="115"/>
      <c r="D42" s="116"/>
      <c r="E42" s="117">
        <f t="shared" si="30"/>
        <v>0</v>
      </c>
      <c r="F42" s="117"/>
      <c r="G42" s="117"/>
      <c r="H42" s="117"/>
      <c r="I42" s="117"/>
      <c r="J42" s="117">
        <f t="shared" si="31"/>
        <v>0</v>
      </c>
      <c r="K42" s="114"/>
      <c r="L42" s="114"/>
      <c r="M42" s="114"/>
      <c r="N42" s="114"/>
      <c r="O42" s="117">
        <f t="shared" si="32"/>
        <v>0</v>
      </c>
      <c r="P42" s="117">
        <f t="shared" si="33"/>
        <v>0</v>
      </c>
      <c r="Q42" s="118"/>
      <c r="R42" s="118"/>
      <c r="S42" s="117">
        <f t="shared" si="34"/>
        <v>0</v>
      </c>
      <c r="T42" s="117"/>
      <c r="U42" s="117"/>
      <c r="V42" s="117">
        <f t="shared" si="35"/>
        <v>0</v>
      </c>
      <c r="W42" s="118"/>
      <c r="X42" s="118"/>
      <c r="Y42" s="117">
        <f t="shared" si="36"/>
        <v>0</v>
      </c>
      <c r="Z42" s="117">
        <f t="shared" si="37"/>
        <v>0</v>
      </c>
      <c r="AA42" s="119" t="e">
        <f t="shared" si="51"/>
        <v>#DIV/0!</v>
      </c>
      <c r="AB42" s="117">
        <f t="shared" si="38"/>
        <v>0</v>
      </c>
      <c r="AC42" s="118"/>
      <c r="AD42" s="119">
        <f t="shared" si="39"/>
        <v>0</v>
      </c>
      <c r="AE42" s="118"/>
      <c r="AF42" s="118"/>
      <c r="AG42" s="118"/>
      <c r="AH42" s="118"/>
      <c r="AI42" s="152" t="e">
        <f t="shared" si="40"/>
        <v>#DIV/0!</v>
      </c>
      <c r="AJ42" s="118"/>
      <c r="AK42" s="120">
        <f t="shared" si="41"/>
        <v>0</v>
      </c>
      <c r="AL42" s="121" t="e">
        <f t="shared" si="42"/>
        <v>#DIV/0!</v>
      </c>
      <c r="AM42" s="122"/>
      <c r="AN42" s="123">
        <f t="shared" si="43"/>
        <v>0</v>
      </c>
      <c r="AO42" s="124">
        <f t="shared" si="44"/>
        <v>0</v>
      </c>
      <c r="AP42" s="124">
        <f t="shared" si="45"/>
        <v>0</v>
      </c>
      <c r="AQ42" s="124">
        <f t="shared" si="46"/>
        <v>0</v>
      </c>
      <c r="AR42" s="124">
        <f t="shared" si="47"/>
        <v>0</v>
      </c>
      <c r="AS42" s="124" t="e">
        <f t="array" ref="AS42">_xlfn.IFS(S42=0,AL42,S42&lt;0,AL42/-S42,S42&gt;0,AL42/S42)</f>
        <v>#DIV/0!</v>
      </c>
      <c r="AT42" s="119">
        <f t="shared" si="48"/>
        <v>0</v>
      </c>
      <c r="AU42" s="119">
        <f t="shared" si="49"/>
        <v>0</v>
      </c>
      <c r="AV42" s="125"/>
      <c r="AW42" s="120" t="e">
        <f t="shared" si="50"/>
        <v>#DIV/0!</v>
      </c>
    </row>
    <row r="43" spans="1:49" hidden="1" outlineLevel="1">
      <c r="A43" s="114"/>
      <c r="B43" s="115"/>
      <c r="C43" s="115"/>
      <c r="D43" s="116"/>
      <c r="E43" s="117">
        <f t="shared" si="30"/>
        <v>0</v>
      </c>
      <c r="F43" s="117"/>
      <c r="G43" s="117"/>
      <c r="H43" s="117"/>
      <c r="I43" s="117"/>
      <c r="J43" s="117">
        <f t="shared" si="31"/>
        <v>0</v>
      </c>
      <c r="K43" s="114"/>
      <c r="L43" s="114"/>
      <c r="M43" s="114"/>
      <c r="N43" s="114"/>
      <c r="O43" s="117">
        <f t="shared" si="32"/>
        <v>0</v>
      </c>
      <c r="P43" s="117">
        <f t="shared" si="33"/>
        <v>0</v>
      </c>
      <c r="Q43" s="118"/>
      <c r="R43" s="118"/>
      <c r="S43" s="117">
        <f t="shared" si="34"/>
        <v>0</v>
      </c>
      <c r="T43" s="117"/>
      <c r="U43" s="117"/>
      <c r="V43" s="117">
        <f t="shared" si="35"/>
        <v>0</v>
      </c>
      <c r="W43" s="118"/>
      <c r="X43" s="118"/>
      <c r="Y43" s="117">
        <f t="shared" si="36"/>
        <v>0</v>
      </c>
      <c r="Z43" s="117">
        <f t="shared" si="37"/>
        <v>0</v>
      </c>
      <c r="AA43" s="119" t="e">
        <f t="shared" si="51"/>
        <v>#DIV/0!</v>
      </c>
      <c r="AB43" s="117">
        <f t="shared" si="38"/>
        <v>0</v>
      </c>
      <c r="AC43" s="118"/>
      <c r="AD43" s="119">
        <f t="shared" si="39"/>
        <v>0</v>
      </c>
      <c r="AE43" s="118"/>
      <c r="AF43" s="118"/>
      <c r="AG43" s="118"/>
      <c r="AH43" s="118"/>
      <c r="AI43" s="152" t="e">
        <f t="shared" si="40"/>
        <v>#DIV/0!</v>
      </c>
      <c r="AJ43" s="118"/>
      <c r="AK43" s="120">
        <f t="shared" si="41"/>
        <v>0</v>
      </c>
      <c r="AL43" s="121" t="e">
        <f t="shared" si="42"/>
        <v>#DIV/0!</v>
      </c>
      <c r="AM43" s="122"/>
      <c r="AN43" s="123">
        <f t="shared" si="43"/>
        <v>0</v>
      </c>
      <c r="AO43" s="124">
        <f t="shared" si="44"/>
        <v>0</v>
      </c>
      <c r="AP43" s="124">
        <f t="shared" si="45"/>
        <v>0</v>
      </c>
      <c r="AQ43" s="124">
        <f t="shared" si="46"/>
        <v>0</v>
      </c>
      <c r="AR43" s="124">
        <f t="shared" si="47"/>
        <v>0</v>
      </c>
      <c r="AS43" s="124" t="e">
        <f t="array" ref="AS43">_xlfn.IFS(S43=0,AL43,S43&lt;0,AL43/-S43,S43&gt;0,AL43/S43)</f>
        <v>#DIV/0!</v>
      </c>
      <c r="AT43" s="119">
        <f t="shared" si="48"/>
        <v>0</v>
      </c>
      <c r="AU43" s="119">
        <f t="shared" si="49"/>
        <v>0</v>
      </c>
      <c r="AV43" s="125"/>
      <c r="AW43" s="120" t="e">
        <f t="shared" si="50"/>
        <v>#DIV/0!</v>
      </c>
    </row>
    <row r="44" spans="1:49" hidden="1" outlineLevel="1">
      <c r="A44" s="114"/>
      <c r="B44" s="115"/>
      <c r="C44" s="115"/>
      <c r="D44" s="116"/>
      <c r="E44" s="117">
        <f t="shared" si="30"/>
        <v>0</v>
      </c>
      <c r="F44" s="117"/>
      <c r="G44" s="117"/>
      <c r="H44" s="117"/>
      <c r="I44" s="117"/>
      <c r="J44" s="117">
        <f t="shared" si="31"/>
        <v>0</v>
      </c>
      <c r="K44" s="114"/>
      <c r="L44" s="114"/>
      <c r="M44" s="114"/>
      <c r="N44" s="114"/>
      <c r="O44" s="117">
        <f t="shared" si="32"/>
        <v>0</v>
      </c>
      <c r="P44" s="117">
        <f t="shared" si="33"/>
        <v>0</v>
      </c>
      <c r="Q44" s="118"/>
      <c r="R44" s="118"/>
      <c r="S44" s="117">
        <f t="shared" si="34"/>
        <v>0</v>
      </c>
      <c r="T44" s="117"/>
      <c r="U44" s="117"/>
      <c r="V44" s="117">
        <f t="shared" si="35"/>
        <v>0</v>
      </c>
      <c r="W44" s="118"/>
      <c r="X44" s="118"/>
      <c r="Y44" s="117">
        <f t="shared" si="36"/>
        <v>0</v>
      </c>
      <c r="Z44" s="117">
        <f t="shared" si="37"/>
        <v>0</v>
      </c>
      <c r="AA44" s="119" t="e">
        <f t="shared" si="51"/>
        <v>#DIV/0!</v>
      </c>
      <c r="AB44" s="117">
        <f t="shared" si="38"/>
        <v>0</v>
      </c>
      <c r="AC44" s="118"/>
      <c r="AD44" s="119">
        <f t="shared" si="39"/>
        <v>0</v>
      </c>
      <c r="AE44" s="118"/>
      <c r="AF44" s="118"/>
      <c r="AG44" s="118"/>
      <c r="AH44" s="118"/>
      <c r="AI44" s="152" t="e">
        <f t="shared" si="40"/>
        <v>#DIV/0!</v>
      </c>
      <c r="AJ44" s="118"/>
      <c r="AK44" s="120">
        <f t="shared" si="41"/>
        <v>0</v>
      </c>
      <c r="AL44" s="121" t="e">
        <f t="shared" si="42"/>
        <v>#DIV/0!</v>
      </c>
      <c r="AM44" s="122"/>
      <c r="AN44" s="123">
        <f t="shared" si="43"/>
        <v>0</v>
      </c>
      <c r="AO44" s="124">
        <f t="shared" si="44"/>
        <v>0</v>
      </c>
      <c r="AP44" s="124">
        <f t="shared" si="45"/>
        <v>0</v>
      </c>
      <c r="AQ44" s="124">
        <f t="shared" si="46"/>
        <v>0</v>
      </c>
      <c r="AR44" s="124">
        <f t="shared" si="47"/>
        <v>0</v>
      </c>
      <c r="AS44" s="124" t="e">
        <f t="array" ref="AS44">_xlfn.IFS(S44=0,AL44,S44&lt;0,AL44/-S44,S44&gt;0,AL44/S44)</f>
        <v>#DIV/0!</v>
      </c>
      <c r="AT44" s="119">
        <f t="shared" si="48"/>
        <v>0</v>
      </c>
      <c r="AU44" s="119">
        <f t="shared" si="49"/>
        <v>0</v>
      </c>
      <c r="AV44" s="125"/>
      <c r="AW44" s="120" t="e">
        <f t="shared" si="50"/>
        <v>#DIV/0!</v>
      </c>
    </row>
    <row r="45" spans="1:49" hidden="1" outlineLevel="1">
      <c r="A45" s="114"/>
      <c r="B45" s="115"/>
      <c r="C45" s="115"/>
      <c r="D45" s="116"/>
      <c r="E45" s="117">
        <f t="shared" si="30"/>
        <v>0</v>
      </c>
      <c r="F45" s="117"/>
      <c r="G45" s="117"/>
      <c r="H45" s="117"/>
      <c r="I45" s="117"/>
      <c r="J45" s="117">
        <f t="shared" si="31"/>
        <v>0</v>
      </c>
      <c r="K45" s="114"/>
      <c r="L45" s="114"/>
      <c r="M45" s="114"/>
      <c r="N45" s="114"/>
      <c r="O45" s="117">
        <f t="shared" si="32"/>
        <v>0</v>
      </c>
      <c r="P45" s="117">
        <f t="shared" si="33"/>
        <v>0</v>
      </c>
      <c r="Q45" s="118"/>
      <c r="R45" s="118"/>
      <c r="S45" s="117">
        <f t="shared" si="34"/>
        <v>0</v>
      </c>
      <c r="T45" s="117"/>
      <c r="U45" s="117"/>
      <c r="V45" s="117">
        <f t="shared" si="35"/>
        <v>0</v>
      </c>
      <c r="W45" s="118"/>
      <c r="X45" s="118"/>
      <c r="Y45" s="117">
        <f t="shared" si="36"/>
        <v>0</v>
      </c>
      <c r="Z45" s="117">
        <f t="shared" si="37"/>
        <v>0</v>
      </c>
      <c r="AA45" s="119" t="e">
        <f t="shared" si="51"/>
        <v>#DIV/0!</v>
      </c>
      <c r="AB45" s="117">
        <f t="shared" si="38"/>
        <v>0</v>
      </c>
      <c r="AC45" s="118"/>
      <c r="AD45" s="119">
        <f t="shared" si="39"/>
        <v>0</v>
      </c>
      <c r="AE45" s="118"/>
      <c r="AF45" s="118"/>
      <c r="AG45" s="118"/>
      <c r="AH45" s="118"/>
      <c r="AI45" s="152" t="e">
        <f t="shared" si="40"/>
        <v>#DIV/0!</v>
      </c>
      <c r="AJ45" s="118"/>
      <c r="AK45" s="120">
        <f t="shared" si="41"/>
        <v>0</v>
      </c>
      <c r="AL45" s="121" t="e">
        <f t="shared" si="42"/>
        <v>#DIV/0!</v>
      </c>
      <c r="AM45" s="122"/>
      <c r="AN45" s="123">
        <f t="shared" si="43"/>
        <v>0</v>
      </c>
      <c r="AO45" s="124">
        <f t="shared" si="44"/>
        <v>0</v>
      </c>
      <c r="AP45" s="124">
        <f t="shared" si="45"/>
        <v>0</v>
      </c>
      <c r="AQ45" s="124">
        <f t="shared" si="46"/>
        <v>0</v>
      </c>
      <c r="AR45" s="124">
        <f t="shared" si="47"/>
        <v>0</v>
      </c>
      <c r="AS45" s="124" t="e">
        <f t="array" ref="AS45">_xlfn.IFS(S45=0,AL45,S45&lt;0,AL45/-S45,S45&gt;0,AL45/S45)</f>
        <v>#DIV/0!</v>
      </c>
      <c r="AT45" s="119">
        <f t="shared" si="48"/>
        <v>0</v>
      </c>
      <c r="AU45" s="119">
        <f t="shared" si="49"/>
        <v>0</v>
      </c>
      <c r="AV45" s="125"/>
      <c r="AW45" s="120" t="e">
        <f t="shared" si="50"/>
        <v>#DIV/0!</v>
      </c>
    </row>
    <row r="46" spans="1:49" hidden="1" outlineLevel="1">
      <c r="A46" s="114"/>
      <c r="B46" s="115"/>
      <c r="C46" s="115"/>
      <c r="D46" s="116"/>
      <c r="E46" s="117">
        <f t="shared" si="30"/>
        <v>0</v>
      </c>
      <c r="F46" s="117"/>
      <c r="G46" s="117"/>
      <c r="H46" s="117"/>
      <c r="I46" s="117"/>
      <c r="J46" s="117">
        <f t="shared" si="31"/>
        <v>0</v>
      </c>
      <c r="K46" s="114"/>
      <c r="L46" s="114"/>
      <c r="M46" s="114"/>
      <c r="N46" s="114"/>
      <c r="O46" s="117">
        <f t="shared" si="32"/>
        <v>0</v>
      </c>
      <c r="P46" s="117">
        <f t="shared" si="33"/>
        <v>0</v>
      </c>
      <c r="Q46" s="118"/>
      <c r="R46" s="118"/>
      <c r="S46" s="117">
        <f t="shared" si="34"/>
        <v>0</v>
      </c>
      <c r="T46" s="117"/>
      <c r="U46" s="117"/>
      <c r="V46" s="117">
        <f t="shared" si="35"/>
        <v>0</v>
      </c>
      <c r="W46" s="118"/>
      <c r="X46" s="118"/>
      <c r="Y46" s="117">
        <f t="shared" si="36"/>
        <v>0</v>
      </c>
      <c r="Z46" s="117">
        <f t="shared" si="37"/>
        <v>0</v>
      </c>
      <c r="AA46" s="119" t="e">
        <f t="shared" si="51"/>
        <v>#DIV/0!</v>
      </c>
      <c r="AB46" s="117">
        <f t="shared" si="38"/>
        <v>0</v>
      </c>
      <c r="AC46" s="118"/>
      <c r="AD46" s="119">
        <f t="shared" si="39"/>
        <v>0</v>
      </c>
      <c r="AE46" s="118"/>
      <c r="AF46" s="118"/>
      <c r="AG46" s="118"/>
      <c r="AH46" s="118"/>
      <c r="AI46" s="152" t="e">
        <f t="shared" si="40"/>
        <v>#DIV/0!</v>
      </c>
      <c r="AJ46" s="118"/>
      <c r="AK46" s="120">
        <f t="shared" si="41"/>
        <v>0</v>
      </c>
      <c r="AL46" s="121" t="e">
        <f t="shared" si="42"/>
        <v>#DIV/0!</v>
      </c>
      <c r="AM46" s="122"/>
      <c r="AN46" s="123">
        <f t="shared" si="43"/>
        <v>0</v>
      </c>
      <c r="AO46" s="124">
        <f t="shared" si="44"/>
        <v>0</v>
      </c>
      <c r="AP46" s="124">
        <f t="shared" si="45"/>
        <v>0</v>
      </c>
      <c r="AQ46" s="124">
        <f t="shared" si="46"/>
        <v>0</v>
      </c>
      <c r="AR46" s="124">
        <f t="shared" si="47"/>
        <v>0</v>
      </c>
      <c r="AS46" s="124" t="e">
        <f t="array" ref="AS46">_xlfn.IFS(S46=0,AL46,S46&lt;0,AL46/-S46,S46&gt;0,AL46/S46)</f>
        <v>#DIV/0!</v>
      </c>
      <c r="AT46" s="119">
        <f t="shared" si="48"/>
        <v>0</v>
      </c>
      <c r="AU46" s="119">
        <f t="shared" si="49"/>
        <v>0</v>
      </c>
      <c r="AV46" s="125"/>
      <c r="AW46" s="120" t="e">
        <f t="shared" si="50"/>
        <v>#DIV/0!</v>
      </c>
    </row>
    <row r="47" spans="1:49" hidden="1" outlineLevel="1">
      <c r="A47" s="114"/>
      <c r="B47" s="115"/>
      <c r="C47" s="115"/>
      <c r="D47" s="116"/>
      <c r="E47" s="117">
        <f t="shared" si="30"/>
        <v>0</v>
      </c>
      <c r="F47" s="117"/>
      <c r="G47" s="117"/>
      <c r="H47" s="117"/>
      <c r="I47" s="117"/>
      <c r="J47" s="117">
        <f t="shared" si="31"/>
        <v>0</v>
      </c>
      <c r="K47" s="114"/>
      <c r="L47" s="114"/>
      <c r="M47" s="114"/>
      <c r="N47" s="114"/>
      <c r="O47" s="117">
        <f t="shared" si="32"/>
        <v>0</v>
      </c>
      <c r="P47" s="117">
        <f t="shared" si="33"/>
        <v>0</v>
      </c>
      <c r="Q47" s="118"/>
      <c r="R47" s="118"/>
      <c r="S47" s="117">
        <f t="shared" si="34"/>
        <v>0</v>
      </c>
      <c r="T47" s="117"/>
      <c r="U47" s="117"/>
      <c r="V47" s="117">
        <f t="shared" si="35"/>
        <v>0</v>
      </c>
      <c r="W47" s="118"/>
      <c r="X47" s="118"/>
      <c r="Y47" s="117">
        <f t="shared" si="36"/>
        <v>0</v>
      </c>
      <c r="Z47" s="117">
        <f t="shared" si="37"/>
        <v>0</v>
      </c>
      <c r="AA47" s="119" t="e">
        <f t="shared" si="51"/>
        <v>#DIV/0!</v>
      </c>
      <c r="AB47" s="117">
        <f t="shared" si="38"/>
        <v>0</v>
      </c>
      <c r="AC47" s="118"/>
      <c r="AD47" s="119">
        <f t="shared" si="39"/>
        <v>0</v>
      </c>
      <c r="AE47" s="118"/>
      <c r="AF47" s="118"/>
      <c r="AG47" s="118"/>
      <c r="AH47" s="118"/>
      <c r="AI47" s="152" t="e">
        <f t="shared" si="40"/>
        <v>#DIV/0!</v>
      </c>
      <c r="AJ47" s="118"/>
      <c r="AK47" s="120">
        <f t="shared" si="41"/>
        <v>0</v>
      </c>
      <c r="AL47" s="121" t="e">
        <f t="shared" si="42"/>
        <v>#DIV/0!</v>
      </c>
      <c r="AM47" s="122"/>
      <c r="AN47" s="123">
        <f t="shared" si="43"/>
        <v>0</v>
      </c>
      <c r="AO47" s="124">
        <f t="shared" si="44"/>
        <v>0</v>
      </c>
      <c r="AP47" s="124">
        <f t="shared" si="45"/>
        <v>0</v>
      </c>
      <c r="AQ47" s="124">
        <f t="shared" si="46"/>
        <v>0</v>
      </c>
      <c r="AR47" s="124">
        <f t="shared" si="47"/>
        <v>0</v>
      </c>
      <c r="AS47" s="124" t="e">
        <f t="array" ref="AS47">_xlfn.IFS(S47=0,AL47,S47&lt;0,AL47/-S47,S47&gt;0,AL47/S47)</f>
        <v>#DIV/0!</v>
      </c>
      <c r="AT47" s="119">
        <f t="shared" si="48"/>
        <v>0</v>
      </c>
      <c r="AU47" s="119">
        <f t="shared" si="49"/>
        <v>0</v>
      </c>
      <c r="AV47" s="125"/>
      <c r="AW47" s="120" t="e">
        <f t="shared" si="50"/>
        <v>#DIV/0!</v>
      </c>
    </row>
    <row r="48" spans="1:49" hidden="1" outlineLevel="1">
      <c r="A48" s="114"/>
      <c r="B48" s="115"/>
      <c r="C48" s="115"/>
      <c r="D48" s="116"/>
      <c r="E48" s="117">
        <f t="shared" si="30"/>
        <v>0</v>
      </c>
      <c r="F48" s="117"/>
      <c r="G48" s="117"/>
      <c r="H48" s="117"/>
      <c r="I48" s="117"/>
      <c r="J48" s="117">
        <f t="shared" si="31"/>
        <v>0</v>
      </c>
      <c r="K48" s="114"/>
      <c r="L48" s="114"/>
      <c r="M48" s="114"/>
      <c r="N48" s="114"/>
      <c r="O48" s="117">
        <f t="shared" si="32"/>
        <v>0</v>
      </c>
      <c r="P48" s="117">
        <f t="shared" si="33"/>
        <v>0</v>
      </c>
      <c r="Q48" s="118"/>
      <c r="R48" s="118"/>
      <c r="S48" s="117">
        <f t="shared" si="34"/>
        <v>0</v>
      </c>
      <c r="T48" s="117"/>
      <c r="U48" s="117"/>
      <c r="V48" s="117">
        <f t="shared" si="35"/>
        <v>0</v>
      </c>
      <c r="W48" s="118"/>
      <c r="X48" s="118"/>
      <c r="Y48" s="117">
        <f t="shared" si="36"/>
        <v>0</v>
      </c>
      <c r="Z48" s="117">
        <f t="shared" si="37"/>
        <v>0</v>
      </c>
      <c r="AA48" s="119" t="e">
        <f t="shared" si="51"/>
        <v>#DIV/0!</v>
      </c>
      <c r="AB48" s="117">
        <f t="shared" si="38"/>
        <v>0</v>
      </c>
      <c r="AC48" s="118"/>
      <c r="AD48" s="119">
        <f t="shared" si="39"/>
        <v>0</v>
      </c>
      <c r="AE48" s="118"/>
      <c r="AF48" s="118"/>
      <c r="AG48" s="118"/>
      <c r="AH48" s="118"/>
      <c r="AI48" s="152" t="e">
        <f t="shared" si="40"/>
        <v>#DIV/0!</v>
      </c>
      <c r="AJ48" s="118"/>
      <c r="AK48" s="120">
        <f t="shared" si="41"/>
        <v>0</v>
      </c>
      <c r="AL48" s="121" t="e">
        <f t="shared" si="42"/>
        <v>#DIV/0!</v>
      </c>
      <c r="AM48" s="122"/>
      <c r="AN48" s="123">
        <f t="shared" si="43"/>
        <v>0</v>
      </c>
      <c r="AO48" s="124">
        <f t="shared" si="44"/>
        <v>0</v>
      </c>
      <c r="AP48" s="124">
        <f t="shared" si="45"/>
        <v>0</v>
      </c>
      <c r="AQ48" s="124">
        <f t="shared" si="46"/>
        <v>0</v>
      </c>
      <c r="AR48" s="124">
        <f t="shared" si="47"/>
        <v>0</v>
      </c>
      <c r="AS48" s="124" t="e">
        <f t="array" ref="AS48">_xlfn.IFS(S48=0,AL48,S48&lt;0,AL48/-S48,S48&gt;0,AL48/S48)</f>
        <v>#DIV/0!</v>
      </c>
      <c r="AT48" s="119">
        <f t="shared" si="48"/>
        <v>0</v>
      </c>
      <c r="AU48" s="119">
        <f t="shared" si="49"/>
        <v>0</v>
      </c>
      <c r="AV48" s="125"/>
      <c r="AW48" s="120" t="e">
        <f t="shared" si="50"/>
        <v>#DIV/0!</v>
      </c>
    </row>
    <row r="49" spans="1:49" hidden="1" outlineLevel="1">
      <c r="A49" s="114"/>
      <c r="B49" s="115"/>
      <c r="C49" s="115"/>
      <c r="D49" s="116"/>
      <c r="E49" s="117">
        <f t="shared" si="30"/>
        <v>0</v>
      </c>
      <c r="F49" s="117"/>
      <c r="G49" s="117"/>
      <c r="H49" s="117"/>
      <c r="I49" s="117"/>
      <c r="J49" s="117">
        <f t="shared" si="31"/>
        <v>0</v>
      </c>
      <c r="K49" s="114"/>
      <c r="L49" s="114"/>
      <c r="M49" s="114"/>
      <c r="N49" s="114"/>
      <c r="O49" s="117">
        <f t="shared" si="32"/>
        <v>0</v>
      </c>
      <c r="P49" s="117">
        <f t="shared" si="33"/>
        <v>0</v>
      </c>
      <c r="Q49" s="118"/>
      <c r="R49" s="118"/>
      <c r="S49" s="117">
        <f t="shared" si="34"/>
        <v>0</v>
      </c>
      <c r="T49" s="117"/>
      <c r="U49" s="117"/>
      <c r="V49" s="117">
        <f t="shared" si="35"/>
        <v>0</v>
      </c>
      <c r="W49" s="118"/>
      <c r="X49" s="118"/>
      <c r="Y49" s="117">
        <f t="shared" si="36"/>
        <v>0</v>
      </c>
      <c r="Z49" s="117">
        <f t="shared" si="37"/>
        <v>0</v>
      </c>
      <c r="AA49" s="119" t="e">
        <f t="shared" si="51"/>
        <v>#DIV/0!</v>
      </c>
      <c r="AB49" s="117">
        <f t="shared" si="38"/>
        <v>0</v>
      </c>
      <c r="AC49" s="118"/>
      <c r="AD49" s="119">
        <f t="shared" si="39"/>
        <v>0</v>
      </c>
      <c r="AE49" s="118"/>
      <c r="AF49" s="118"/>
      <c r="AG49" s="118"/>
      <c r="AH49" s="118"/>
      <c r="AI49" s="152" t="e">
        <f t="shared" si="40"/>
        <v>#DIV/0!</v>
      </c>
      <c r="AJ49" s="118"/>
      <c r="AK49" s="120">
        <f t="shared" si="41"/>
        <v>0</v>
      </c>
      <c r="AL49" s="121" t="e">
        <f t="shared" si="42"/>
        <v>#DIV/0!</v>
      </c>
      <c r="AM49" s="122"/>
      <c r="AN49" s="123">
        <f t="shared" si="43"/>
        <v>0</v>
      </c>
      <c r="AO49" s="124">
        <f t="shared" si="44"/>
        <v>0</v>
      </c>
      <c r="AP49" s="124">
        <f t="shared" si="45"/>
        <v>0</v>
      </c>
      <c r="AQ49" s="124">
        <f t="shared" si="46"/>
        <v>0</v>
      </c>
      <c r="AR49" s="124">
        <f t="shared" si="47"/>
        <v>0</v>
      </c>
      <c r="AS49" s="124" t="e">
        <f t="array" ref="AS49">_xlfn.IFS(S49=0,AL49,S49&lt;0,AL49/-S49,S49&gt;0,AL49/S49)</f>
        <v>#DIV/0!</v>
      </c>
      <c r="AT49" s="119">
        <f t="shared" si="48"/>
        <v>0</v>
      </c>
      <c r="AU49" s="119">
        <f t="shared" si="49"/>
        <v>0</v>
      </c>
      <c r="AV49" s="125"/>
      <c r="AW49" s="120" t="e">
        <f t="shared" si="50"/>
        <v>#DIV/0!</v>
      </c>
    </row>
    <row r="50" spans="1:49" hidden="1" outlineLevel="1">
      <c r="A50" s="114"/>
      <c r="B50" s="115"/>
      <c r="C50" s="115"/>
      <c r="D50" s="116"/>
      <c r="E50" s="117">
        <f t="shared" si="30"/>
        <v>0</v>
      </c>
      <c r="F50" s="117"/>
      <c r="G50" s="117"/>
      <c r="H50" s="117"/>
      <c r="I50" s="117"/>
      <c r="J50" s="117">
        <f t="shared" si="31"/>
        <v>0</v>
      </c>
      <c r="K50" s="114"/>
      <c r="L50" s="114"/>
      <c r="M50" s="114"/>
      <c r="N50" s="114"/>
      <c r="O50" s="117">
        <f t="shared" si="32"/>
        <v>0</v>
      </c>
      <c r="P50" s="117">
        <f t="shared" si="33"/>
        <v>0</v>
      </c>
      <c r="Q50" s="118"/>
      <c r="R50" s="118"/>
      <c r="S50" s="117">
        <f t="shared" si="34"/>
        <v>0</v>
      </c>
      <c r="T50" s="117"/>
      <c r="U50" s="117"/>
      <c r="V50" s="117">
        <f t="shared" si="35"/>
        <v>0</v>
      </c>
      <c r="W50" s="118"/>
      <c r="X50" s="118"/>
      <c r="Y50" s="117">
        <f t="shared" si="36"/>
        <v>0</v>
      </c>
      <c r="Z50" s="117">
        <f t="shared" si="37"/>
        <v>0</v>
      </c>
      <c r="AA50" s="119" t="e">
        <f t="shared" si="51"/>
        <v>#DIV/0!</v>
      </c>
      <c r="AB50" s="117">
        <f t="shared" si="38"/>
        <v>0</v>
      </c>
      <c r="AC50" s="118"/>
      <c r="AD50" s="119">
        <f t="shared" si="39"/>
        <v>0</v>
      </c>
      <c r="AE50" s="118"/>
      <c r="AF50" s="118"/>
      <c r="AG50" s="118"/>
      <c r="AH50" s="118"/>
      <c r="AI50" s="152" t="e">
        <f t="shared" si="40"/>
        <v>#DIV/0!</v>
      </c>
      <c r="AJ50" s="118"/>
      <c r="AK50" s="120">
        <f t="shared" si="41"/>
        <v>0</v>
      </c>
      <c r="AL50" s="121" t="e">
        <f t="shared" si="42"/>
        <v>#DIV/0!</v>
      </c>
      <c r="AM50" s="122"/>
      <c r="AN50" s="123">
        <f t="shared" si="43"/>
        <v>0</v>
      </c>
      <c r="AO50" s="124">
        <f t="shared" si="44"/>
        <v>0</v>
      </c>
      <c r="AP50" s="124">
        <f t="shared" si="45"/>
        <v>0</v>
      </c>
      <c r="AQ50" s="124">
        <f t="shared" si="46"/>
        <v>0</v>
      </c>
      <c r="AR50" s="124">
        <f t="shared" si="47"/>
        <v>0</v>
      </c>
      <c r="AS50" s="124" t="e">
        <f t="array" ref="AS50">_xlfn.IFS(S50=0,AL50,S50&lt;0,AL50/-S50,S50&gt;0,AL50/S50)</f>
        <v>#DIV/0!</v>
      </c>
      <c r="AT50" s="119">
        <f t="shared" si="48"/>
        <v>0</v>
      </c>
      <c r="AU50" s="119">
        <f t="shared" si="49"/>
        <v>0</v>
      </c>
      <c r="AV50" s="125"/>
      <c r="AW50" s="120" t="e">
        <f t="shared" si="50"/>
        <v>#DIV/0!</v>
      </c>
    </row>
    <row r="51" spans="1:49" hidden="1" outlineLevel="1">
      <c r="A51" s="114"/>
      <c r="B51" s="115"/>
      <c r="C51" s="115"/>
      <c r="D51" s="116"/>
      <c r="E51" s="117">
        <f t="shared" si="30"/>
        <v>0</v>
      </c>
      <c r="F51" s="117"/>
      <c r="G51" s="117"/>
      <c r="H51" s="117"/>
      <c r="I51" s="117"/>
      <c r="J51" s="117">
        <f t="shared" si="31"/>
        <v>0</v>
      </c>
      <c r="K51" s="114"/>
      <c r="L51" s="114"/>
      <c r="M51" s="114"/>
      <c r="N51" s="114"/>
      <c r="O51" s="117">
        <f t="shared" si="32"/>
        <v>0</v>
      </c>
      <c r="P51" s="117">
        <f t="shared" si="33"/>
        <v>0</v>
      </c>
      <c r="Q51" s="118"/>
      <c r="R51" s="118"/>
      <c r="S51" s="117">
        <f t="shared" si="34"/>
        <v>0</v>
      </c>
      <c r="T51" s="117"/>
      <c r="U51" s="117"/>
      <c r="V51" s="117">
        <f t="shared" si="35"/>
        <v>0</v>
      </c>
      <c r="W51" s="118"/>
      <c r="X51" s="118"/>
      <c r="Y51" s="117">
        <f t="shared" si="36"/>
        <v>0</v>
      </c>
      <c r="Z51" s="117">
        <f t="shared" si="37"/>
        <v>0</v>
      </c>
      <c r="AA51" s="119" t="e">
        <f t="shared" si="51"/>
        <v>#DIV/0!</v>
      </c>
      <c r="AB51" s="117">
        <f t="shared" si="38"/>
        <v>0</v>
      </c>
      <c r="AC51" s="118"/>
      <c r="AD51" s="119">
        <f t="shared" si="39"/>
        <v>0</v>
      </c>
      <c r="AE51" s="118"/>
      <c r="AF51" s="118"/>
      <c r="AG51" s="118"/>
      <c r="AH51" s="118"/>
      <c r="AI51" s="152" t="e">
        <f t="shared" si="40"/>
        <v>#DIV/0!</v>
      </c>
      <c r="AJ51" s="118"/>
      <c r="AK51" s="120">
        <f t="shared" si="41"/>
        <v>0</v>
      </c>
      <c r="AL51" s="121" t="e">
        <f t="shared" si="42"/>
        <v>#DIV/0!</v>
      </c>
      <c r="AM51" s="122"/>
      <c r="AN51" s="123">
        <f t="shared" si="43"/>
        <v>0</v>
      </c>
      <c r="AO51" s="124">
        <f t="shared" si="44"/>
        <v>0</v>
      </c>
      <c r="AP51" s="124">
        <f t="shared" si="45"/>
        <v>0</v>
      </c>
      <c r="AQ51" s="124">
        <f t="shared" si="46"/>
        <v>0</v>
      </c>
      <c r="AR51" s="124">
        <f t="shared" si="47"/>
        <v>0</v>
      </c>
      <c r="AS51" s="124" t="e">
        <f t="array" ref="AS51">_xlfn.IFS(S51=0,AL51,S51&lt;0,AL51/-S51,S51&gt;0,AL51/S51)</f>
        <v>#DIV/0!</v>
      </c>
      <c r="AT51" s="119">
        <f t="shared" si="48"/>
        <v>0</v>
      </c>
      <c r="AU51" s="119">
        <f t="shared" si="49"/>
        <v>0</v>
      </c>
      <c r="AV51" s="125"/>
      <c r="AW51" s="120" t="e">
        <f t="shared" si="50"/>
        <v>#DIV/0!</v>
      </c>
    </row>
    <row r="52" spans="1:49" hidden="1" outlineLevel="1">
      <c r="A52" s="114"/>
      <c r="B52" s="115"/>
      <c r="C52" s="115"/>
      <c r="D52" s="116"/>
      <c r="E52" s="117">
        <f t="shared" si="30"/>
        <v>0</v>
      </c>
      <c r="F52" s="117"/>
      <c r="G52" s="117"/>
      <c r="H52" s="117"/>
      <c r="I52" s="117"/>
      <c r="J52" s="117">
        <f t="shared" si="31"/>
        <v>0</v>
      </c>
      <c r="K52" s="114"/>
      <c r="L52" s="114"/>
      <c r="M52" s="114"/>
      <c r="N52" s="114"/>
      <c r="O52" s="117">
        <f t="shared" si="32"/>
        <v>0</v>
      </c>
      <c r="P52" s="117">
        <f t="shared" si="33"/>
        <v>0</v>
      </c>
      <c r="Q52" s="118"/>
      <c r="R52" s="118"/>
      <c r="S52" s="117">
        <f t="shared" si="34"/>
        <v>0</v>
      </c>
      <c r="T52" s="117"/>
      <c r="U52" s="117"/>
      <c r="V52" s="117">
        <f t="shared" si="35"/>
        <v>0</v>
      </c>
      <c r="W52" s="118"/>
      <c r="X52" s="118"/>
      <c r="Y52" s="117">
        <f t="shared" si="36"/>
        <v>0</v>
      </c>
      <c r="Z52" s="117">
        <f t="shared" si="37"/>
        <v>0</v>
      </c>
      <c r="AA52" s="119" t="e">
        <f t="shared" si="51"/>
        <v>#DIV/0!</v>
      </c>
      <c r="AB52" s="117">
        <f t="shared" si="38"/>
        <v>0</v>
      </c>
      <c r="AC52" s="118"/>
      <c r="AD52" s="119">
        <f t="shared" si="39"/>
        <v>0</v>
      </c>
      <c r="AE52" s="118"/>
      <c r="AF52" s="118"/>
      <c r="AG52" s="118"/>
      <c r="AH52" s="118"/>
      <c r="AI52" s="152" t="e">
        <f t="shared" si="40"/>
        <v>#DIV/0!</v>
      </c>
      <c r="AJ52" s="118"/>
      <c r="AK52" s="120">
        <f t="shared" si="41"/>
        <v>0</v>
      </c>
      <c r="AL52" s="121" t="e">
        <f t="shared" si="42"/>
        <v>#DIV/0!</v>
      </c>
      <c r="AM52" s="122"/>
      <c r="AN52" s="123">
        <f t="shared" si="43"/>
        <v>0</v>
      </c>
      <c r="AO52" s="124">
        <f t="shared" si="44"/>
        <v>0</v>
      </c>
      <c r="AP52" s="124">
        <f t="shared" si="45"/>
        <v>0</v>
      </c>
      <c r="AQ52" s="124">
        <f t="shared" si="46"/>
        <v>0</v>
      </c>
      <c r="AR52" s="124">
        <f t="shared" si="47"/>
        <v>0</v>
      </c>
      <c r="AS52" s="124" t="e">
        <f t="array" ref="AS52">_xlfn.IFS(S52=0,AL52,S52&lt;0,AL52/-S52,S52&gt;0,AL52/S52)</f>
        <v>#DIV/0!</v>
      </c>
      <c r="AT52" s="119">
        <f t="shared" si="48"/>
        <v>0</v>
      </c>
      <c r="AU52" s="119">
        <f t="shared" si="49"/>
        <v>0</v>
      </c>
      <c r="AV52" s="125"/>
      <c r="AW52" s="120" t="e">
        <f t="shared" si="50"/>
        <v>#DIV/0!</v>
      </c>
    </row>
    <row r="53" spans="1:49" hidden="1" outlineLevel="1">
      <c r="A53" s="114"/>
      <c r="B53" s="115"/>
      <c r="C53" s="115"/>
      <c r="D53" s="116"/>
      <c r="E53" s="117">
        <f t="shared" si="30"/>
        <v>0</v>
      </c>
      <c r="F53" s="117"/>
      <c r="G53" s="117"/>
      <c r="H53" s="117"/>
      <c r="I53" s="117"/>
      <c r="J53" s="117">
        <f t="shared" si="31"/>
        <v>0</v>
      </c>
      <c r="K53" s="114"/>
      <c r="L53" s="114"/>
      <c r="M53" s="114"/>
      <c r="N53" s="114"/>
      <c r="O53" s="117">
        <f t="shared" si="32"/>
        <v>0</v>
      </c>
      <c r="P53" s="117">
        <f t="shared" si="33"/>
        <v>0</v>
      </c>
      <c r="Q53" s="118"/>
      <c r="R53" s="118"/>
      <c r="S53" s="117">
        <f t="shared" si="34"/>
        <v>0</v>
      </c>
      <c r="T53" s="117"/>
      <c r="U53" s="117"/>
      <c r="V53" s="117">
        <f t="shared" si="35"/>
        <v>0</v>
      </c>
      <c r="W53" s="118"/>
      <c r="X53" s="118"/>
      <c r="Y53" s="117">
        <f t="shared" si="36"/>
        <v>0</v>
      </c>
      <c r="Z53" s="117">
        <f t="shared" si="37"/>
        <v>0</v>
      </c>
      <c r="AA53" s="119" t="e">
        <f t="shared" si="51"/>
        <v>#DIV/0!</v>
      </c>
      <c r="AB53" s="117">
        <f t="shared" si="38"/>
        <v>0</v>
      </c>
      <c r="AC53" s="118"/>
      <c r="AD53" s="119">
        <f t="shared" si="39"/>
        <v>0</v>
      </c>
      <c r="AE53" s="118"/>
      <c r="AF53" s="118"/>
      <c r="AG53" s="118"/>
      <c r="AH53" s="118"/>
      <c r="AI53" s="152" t="e">
        <f t="shared" si="40"/>
        <v>#DIV/0!</v>
      </c>
      <c r="AJ53" s="118"/>
      <c r="AK53" s="120">
        <f t="shared" si="41"/>
        <v>0</v>
      </c>
      <c r="AL53" s="121" t="e">
        <f t="shared" si="42"/>
        <v>#DIV/0!</v>
      </c>
      <c r="AM53" s="122"/>
      <c r="AN53" s="123">
        <f t="shared" si="43"/>
        <v>0</v>
      </c>
      <c r="AO53" s="124">
        <f t="shared" si="44"/>
        <v>0</v>
      </c>
      <c r="AP53" s="124">
        <f t="shared" si="45"/>
        <v>0</v>
      </c>
      <c r="AQ53" s="124">
        <f t="shared" si="46"/>
        <v>0</v>
      </c>
      <c r="AR53" s="124">
        <f t="shared" si="47"/>
        <v>0</v>
      </c>
      <c r="AS53" s="124" t="e">
        <f t="array" ref="AS53">_xlfn.IFS(S53=0,AL53,S53&lt;0,AL53/-S53,S53&gt;0,AL53/S53)</f>
        <v>#DIV/0!</v>
      </c>
      <c r="AT53" s="119">
        <f t="shared" si="48"/>
        <v>0</v>
      </c>
      <c r="AU53" s="119">
        <f t="shared" si="49"/>
        <v>0</v>
      </c>
      <c r="AV53" s="125"/>
      <c r="AW53" s="120" t="e">
        <f t="shared" si="50"/>
        <v>#DIV/0!</v>
      </c>
    </row>
    <row r="54" spans="1:49" hidden="1" outlineLevel="1">
      <c r="A54" s="114"/>
      <c r="B54" s="115"/>
      <c r="C54" s="115"/>
      <c r="D54" s="116"/>
      <c r="E54" s="117">
        <f t="shared" si="30"/>
        <v>0</v>
      </c>
      <c r="F54" s="117"/>
      <c r="G54" s="117"/>
      <c r="H54" s="117"/>
      <c r="I54" s="117"/>
      <c r="J54" s="117">
        <f t="shared" si="31"/>
        <v>0</v>
      </c>
      <c r="K54" s="114"/>
      <c r="L54" s="114"/>
      <c r="M54" s="114"/>
      <c r="N54" s="114"/>
      <c r="O54" s="117">
        <f t="shared" si="32"/>
        <v>0</v>
      </c>
      <c r="P54" s="117">
        <f t="shared" si="33"/>
        <v>0</v>
      </c>
      <c r="Q54" s="118"/>
      <c r="R54" s="118"/>
      <c r="S54" s="117">
        <f t="shared" si="34"/>
        <v>0</v>
      </c>
      <c r="T54" s="117"/>
      <c r="U54" s="117"/>
      <c r="V54" s="117">
        <f t="shared" si="35"/>
        <v>0</v>
      </c>
      <c r="W54" s="118"/>
      <c r="X54" s="118"/>
      <c r="Y54" s="117">
        <f t="shared" si="36"/>
        <v>0</v>
      </c>
      <c r="Z54" s="117">
        <f t="shared" si="37"/>
        <v>0</v>
      </c>
      <c r="AA54" s="119" t="e">
        <f t="shared" si="51"/>
        <v>#DIV/0!</v>
      </c>
      <c r="AB54" s="117">
        <f t="shared" si="38"/>
        <v>0</v>
      </c>
      <c r="AC54" s="118"/>
      <c r="AD54" s="119">
        <f t="shared" si="39"/>
        <v>0</v>
      </c>
      <c r="AE54" s="118"/>
      <c r="AF54" s="118"/>
      <c r="AG54" s="118"/>
      <c r="AH54" s="118"/>
      <c r="AI54" s="152" t="e">
        <f t="shared" si="40"/>
        <v>#DIV/0!</v>
      </c>
      <c r="AJ54" s="118"/>
      <c r="AK54" s="120">
        <f t="shared" si="41"/>
        <v>0</v>
      </c>
      <c r="AL54" s="121" t="e">
        <f t="shared" si="42"/>
        <v>#DIV/0!</v>
      </c>
      <c r="AM54" s="122"/>
      <c r="AN54" s="123">
        <f t="shared" si="43"/>
        <v>0</v>
      </c>
      <c r="AO54" s="124">
        <f t="shared" si="44"/>
        <v>0</v>
      </c>
      <c r="AP54" s="124">
        <f t="shared" si="45"/>
        <v>0</v>
      </c>
      <c r="AQ54" s="124">
        <f t="shared" si="46"/>
        <v>0</v>
      </c>
      <c r="AR54" s="124">
        <f t="shared" si="47"/>
        <v>0</v>
      </c>
      <c r="AS54" s="124" t="e">
        <f t="array" ref="AS54">_xlfn.IFS(S54=0,AL54,S54&lt;0,AL54/-S54,S54&gt;0,AL54/S54)</f>
        <v>#DIV/0!</v>
      </c>
      <c r="AT54" s="119">
        <f t="shared" si="48"/>
        <v>0</v>
      </c>
      <c r="AU54" s="119">
        <f t="shared" si="49"/>
        <v>0</v>
      </c>
      <c r="AV54" s="125"/>
      <c r="AW54" s="120" t="e">
        <f t="shared" si="50"/>
        <v>#DIV/0!</v>
      </c>
    </row>
    <row r="55" spans="1:49" hidden="1" outlineLevel="1">
      <c r="A55" s="114"/>
      <c r="B55" s="115"/>
      <c r="C55" s="115"/>
      <c r="D55" s="116"/>
      <c r="E55" s="117">
        <f t="shared" si="30"/>
        <v>0</v>
      </c>
      <c r="F55" s="117"/>
      <c r="G55" s="117"/>
      <c r="H55" s="117"/>
      <c r="I55" s="117"/>
      <c r="J55" s="117">
        <f t="shared" si="31"/>
        <v>0</v>
      </c>
      <c r="K55" s="114"/>
      <c r="L55" s="114"/>
      <c r="M55" s="114"/>
      <c r="N55" s="114"/>
      <c r="O55" s="117">
        <f t="shared" si="32"/>
        <v>0</v>
      </c>
      <c r="P55" s="117">
        <f t="shared" si="33"/>
        <v>0</v>
      </c>
      <c r="Q55" s="118"/>
      <c r="R55" s="118"/>
      <c r="S55" s="117">
        <f t="shared" si="34"/>
        <v>0</v>
      </c>
      <c r="T55" s="117"/>
      <c r="U55" s="117"/>
      <c r="V55" s="117">
        <f t="shared" si="35"/>
        <v>0</v>
      </c>
      <c r="W55" s="118"/>
      <c r="X55" s="118"/>
      <c r="Y55" s="117">
        <f t="shared" si="36"/>
        <v>0</v>
      </c>
      <c r="Z55" s="117">
        <f t="shared" si="37"/>
        <v>0</v>
      </c>
      <c r="AA55" s="119" t="e">
        <f t="shared" si="51"/>
        <v>#DIV/0!</v>
      </c>
      <c r="AB55" s="117">
        <f t="shared" si="38"/>
        <v>0</v>
      </c>
      <c r="AC55" s="118"/>
      <c r="AD55" s="119">
        <f t="shared" si="39"/>
        <v>0</v>
      </c>
      <c r="AE55" s="118"/>
      <c r="AF55" s="118"/>
      <c r="AG55" s="118"/>
      <c r="AH55" s="118"/>
      <c r="AI55" s="152" t="e">
        <f t="shared" si="40"/>
        <v>#DIV/0!</v>
      </c>
      <c r="AJ55" s="118"/>
      <c r="AK55" s="120">
        <f t="shared" si="41"/>
        <v>0</v>
      </c>
      <c r="AL55" s="121" t="e">
        <f t="shared" si="42"/>
        <v>#DIV/0!</v>
      </c>
      <c r="AM55" s="122"/>
      <c r="AN55" s="123">
        <f t="shared" si="43"/>
        <v>0</v>
      </c>
      <c r="AO55" s="124">
        <f t="shared" si="44"/>
        <v>0</v>
      </c>
      <c r="AP55" s="124">
        <f t="shared" si="45"/>
        <v>0</v>
      </c>
      <c r="AQ55" s="124">
        <f t="shared" si="46"/>
        <v>0</v>
      </c>
      <c r="AR55" s="124">
        <f t="shared" si="47"/>
        <v>0</v>
      </c>
      <c r="AS55" s="124" t="e">
        <f t="array" ref="AS55">_xlfn.IFS(S55=0,AL55,S55&lt;0,AL55/-S55,S55&gt;0,AL55/S55)</f>
        <v>#DIV/0!</v>
      </c>
      <c r="AT55" s="119">
        <f t="shared" si="48"/>
        <v>0</v>
      </c>
      <c r="AU55" s="119">
        <f t="shared" si="49"/>
        <v>0</v>
      </c>
      <c r="AV55" s="125"/>
      <c r="AW55" s="120" t="e">
        <f t="shared" si="50"/>
        <v>#DIV/0!</v>
      </c>
    </row>
    <row r="56" spans="1:49" hidden="1" outlineLevel="1">
      <c r="A56" s="114"/>
      <c r="B56" s="115"/>
      <c r="C56" s="115"/>
      <c r="D56" s="116"/>
      <c r="E56" s="117">
        <f t="shared" si="30"/>
        <v>0</v>
      </c>
      <c r="F56" s="117"/>
      <c r="G56" s="117"/>
      <c r="H56" s="117"/>
      <c r="I56" s="117"/>
      <c r="J56" s="117">
        <f t="shared" si="31"/>
        <v>0</v>
      </c>
      <c r="K56" s="114"/>
      <c r="L56" s="114"/>
      <c r="M56" s="114"/>
      <c r="N56" s="114"/>
      <c r="O56" s="117">
        <f t="shared" si="32"/>
        <v>0</v>
      </c>
      <c r="P56" s="117">
        <f t="shared" si="33"/>
        <v>0</v>
      </c>
      <c r="Q56" s="118"/>
      <c r="R56" s="118"/>
      <c r="S56" s="117">
        <f t="shared" si="34"/>
        <v>0</v>
      </c>
      <c r="T56" s="117"/>
      <c r="U56" s="117"/>
      <c r="V56" s="117">
        <f t="shared" si="35"/>
        <v>0</v>
      </c>
      <c r="W56" s="118"/>
      <c r="X56" s="118"/>
      <c r="Y56" s="117">
        <f t="shared" si="36"/>
        <v>0</v>
      </c>
      <c r="Z56" s="117">
        <f t="shared" si="37"/>
        <v>0</v>
      </c>
      <c r="AA56" s="119" t="e">
        <f t="shared" si="51"/>
        <v>#DIV/0!</v>
      </c>
      <c r="AB56" s="117">
        <f t="shared" si="38"/>
        <v>0</v>
      </c>
      <c r="AC56" s="118"/>
      <c r="AD56" s="119">
        <f t="shared" si="39"/>
        <v>0</v>
      </c>
      <c r="AE56" s="118"/>
      <c r="AF56" s="118"/>
      <c r="AG56" s="118"/>
      <c r="AH56" s="118"/>
      <c r="AI56" s="152" t="e">
        <f t="shared" si="40"/>
        <v>#DIV/0!</v>
      </c>
      <c r="AJ56" s="118"/>
      <c r="AK56" s="120">
        <f t="shared" si="41"/>
        <v>0</v>
      </c>
      <c r="AL56" s="121" t="e">
        <f t="shared" si="42"/>
        <v>#DIV/0!</v>
      </c>
      <c r="AM56" s="122"/>
      <c r="AN56" s="123">
        <f t="shared" si="43"/>
        <v>0</v>
      </c>
      <c r="AO56" s="124">
        <f t="shared" si="44"/>
        <v>0</v>
      </c>
      <c r="AP56" s="124">
        <f t="shared" si="45"/>
        <v>0</v>
      </c>
      <c r="AQ56" s="124">
        <f t="shared" si="46"/>
        <v>0</v>
      </c>
      <c r="AR56" s="124">
        <f t="shared" si="47"/>
        <v>0</v>
      </c>
      <c r="AS56" s="124" t="e">
        <f t="array" ref="AS56">_xlfn.IFS(S56=0,AL56,S56&lt;0,AL56/-S56,S56&gt;0,AL56/S56)</f>
        <v>#DIV/0!</v>
      </c>
      <c r="AT56" s="119">
        <f t="shared" si="48"/>
        <v>0</v>
      </c>
      <c r="AU56" s="119">
        <f t="shared" si="49"/>
        <v>0</v>
      </c>
      <c r="AV56" s="125"/>
      <c r="AW56" s="120" t="e">
        <f t="shared" si="50"/>
        <v>#DIV/0!</v>
      </c>
    </row>
    <row r="57" spans="1:49" hidden="1" outlineLevel="1">
      <c r="A57" s="114"/>
      <c r="B57" s="115"/>
      <c r="C57" s="115"/>
      <c r="D57" s="116"/>
      <c r="E57" s="117">
        <f t="shared" si="30"/>
        <v>0</v>
      </c>
      <c r="F57" s="117"/>
      <c r="G57" s="117"/>
      <c r="H57" s="117"/>
      <c r="I57" s="117"/>
      <c r="J57" s="117">
        <f t="shared" si="31"/>
        <v>0</v>
      </c>
      <c r="K57" s="114"/>
      <c r="L57" s="114"/>
      <c r="M57" s="114"/>
      <c r="N57" s="114"/>
      <c r="O57" s="117">
        <f t="shared" si="32"/>
        <v>0</v>
      </c>
      <c r="P57" s="117">
        <f t="shared" si="33"/>
        <v>0</v>
      </c>
      <c r="Q57" s="118"/>
      <c r="R57" s="118"/>
      <c r="S57" s="117">
        <f t="shared" si="34"/>
        <v>0</v>
      </c>
      <c r="T57" s="117"/>
      <c r="U57" s="117"/>
      <c r="V57" s="117">
        <f t="shared" si="35"/>
        <v>0</v>
      </c>
      <c r="W57" s="118"/>
      <c r="X57" s="118"/>
      <c r="Y57" s="117">
        <f t="shared" si="36"/>
        <v>0</v>
      </c>
      <c r="Z57" s="117">
        <f t="shared" si="37"/>
        <v>0</v>
      </c>
      <c r="AA57" s="119" t="e">
        <f t="shared" si="51"/>
        <v>#DIV/0!</v>
      </c>
      <c r="AB57" s="117">
        <f t="shared" si="38"/>
        <v>0</v>
      </c>
      <c r="AC57" s="118"/>
      <c r="AD57" s="119">
        <f t="shared" si="39"/>
        <v>0</v>
      </c>
      <c r="AE57" s="118"/>
      <c r="AF57" s="118"/>
      <c r="AG57" s="118"/>
      <c r="AH57" s="118"/>
      <c r="AI57" s="152" t="e">
        <f t="shared" si="40"/>
        <v>#DIV/0!</v>
      </c>
      <c r="AJ57" s="118"/>
      <c r="AK57" s="120">
        <f t="shared" si="41"/>
        <v>0</v>
      </c>
      <c r="AL57" s="121" t="e">
        <f t="shared" si="42"/>
        <v>#DIV/0!</v>
      </c>
      <c r="AM57" s="122"/>
      <c r="AN57" s="123">
        <f t="shared" si="43"/>
        <v>0</v>
      </c>
      <c r="AO57" s="124">
        <f t="shared" si="44"/>
        <v>0</v>
      </c>
      <c r="AP57" s="124">
        <f t="shared" si="45"/>
        <v>0</v>
      </c>
      <c r="AQ57" s="124">
        <f t="shared" si="46"/>
        <v>0</v>
      </c>
      <c r="AR57" s="124">
        <f t="shared" si="47"/>
        <v>0</v>
      </c>
      <c r="AS57" s="124" t="e">
        <f t="array" ref="AS57">_xlfn.IFS(S57=0,AL57,S57&lt;0,AL57/-S57,S57&gt;0,AL57/S57)</f>
        <v>#DIV/0!</v>
      </c>
      <c r="AT57" s="119">
        <f t="shared" si="48"/>
        <v>0</v>
      </c>
      <c r="AU57" s="119">
        <f t="shared" si="49"/>
        <v>0</v>
      </c>
      <c r="AV57" s="125"/>
      <c r="AW57" s="120" t="e">
        <f t="shared" si="50"/>
        <v>#DIV/0!</v>
      </c>
    </row>
    <row r="58" spans="1:49" hidden="1" outlineLevel="1">
      <c r="A58" s="114"/>
      <c r="B58" s="115"/>
      <c r="C58" s="115"/>
      <c r="D58" s="116"/>
      <c r="E58" s="117">
        <f t="shared" si="30"/>
        <v>0</v>
      </c>
      <c r="F58" s="117"/>
      <c r="G58" s="117"/>
      <c r="H58" s="117"/>
      <c r="I58" s="117"/>
      <c r="J58" s="117">
        <f t="shared" si="31"/>
        <v>0</v>
      </c>
      <c r="K58" s="114"/>
      <c r="L58" s="114"/>
      <c r="M58" s="114"/>
      <c r="N58" s="114"/>
      <c r="O58" s="117">
        <f t="shared" si="32"/>
        <v>0</v>
      </c>
      <c r="P58" s="117">
        <f t="shared" si="33"/>
        <v>0</v>
      </c>
      <c r="Q58" s="118"/>
      <c r="R58" s="118"/>
      <c r="S58" s="117">
        <f t="shared" si="34"/>
        <v>0</v>
      </c>
      <c r="T58" s="117"/>
      <c r="U58" s="117"/>
      <c r="V58" s="117">
        <f t="shared" si="35"/>
        <v>0</v>
      </c>
      <c r="W58" s="118"/>
      <c r="X58" s="118"/>
      <c r="Y58" s="117">
        <f t="shared" si="36"/>
        <v>0</v>
      </c>
      <c r="Z58" s="117">
        <f t="shared" si="37"/>
        <v>0</v>
      </c>
      <c r="AA58" s="119" t="e">
        <f t="shared" si="51"/>
        <v>#DIV/0!</v>
      </c>
      <c r="AB58" s="117">
        <f t="shared" si="38"/>
        <v>0</v>
      </c>
      <c r="AC58" s="118"/>
      <c r="AD58" s="119">
        <f t="shared" si="39"/>
        <v>0</v>
      </c>
      <c r="AE58" s="118"/>
      <c r="AF58" s="118"/>
      <c r="AG58" s="118"/>
      <c r="AH58" s="118"/>
      <c r="AI58" s="152" t="e">
        <f t="shared" si="40"/>
        <v>#DIV/0!</v>
      </c>
      <c r="AJ58" s="118"/>
      <c r="AK58" s="120">
        <f t="shared" si="41"/>
        <v>0</v>
      </c>
      <c r="AL58" s="121" t="e">
        <f t="shared" si="42"/>
        <v>#DIV/0!</v>
      </c>
      <c r="AM58" s="122"/>
      <c r="AN58" s="123">
        <f t="shared" si="43"/>
        <v>0</v>
      </c>
      <c r="AO58" s="124">
        <f t="shared" si="44"/>
        <v>0</v>
      </c>
      <c r="AP58" s="124">
        <f t="shared" si="45"/>
        <v>0</v>
      </c>
      <c r="AQ58" s="124">
        <f t="shared" si="46"/>
        <v>0</v>
      </c>
      <c r="AR58" s="124">
        <f t="shared" si="47"/>
        <v>0</v>
      </c>
      <c r="AS58" s="124" t="e">
        <f t="array" ref="AS58">_xlfn.IFS(S58=0,AL58,S58&lt;0,AL58/-S58,S58&gt;0,AL58/S58)</f>
        <v>#DIV/0!</v>
      </c>
      <c r="AT58" s="119">
        <f t="shared" si="48"/>
        <v>0</v>
      </c>
      <c r="AU58" s="119">
        <f t="shared" si="49"/>
        <v>0</v>
      </c>
      <c r="AV58" s="125"/>
      <c r="AW58" s="120" t="e">
        <f t="shared" si="50"/>
        <v>#DIV/0!</v>
      </c>
    </row>
    <row r="59" spans="1:49" hidden="1" outlineLevel="1">
      <c r="A59" s="114"/>
      <c r="B59" s="115"/>
      <c r="C59" s="115"/>
      <c r="D59" s="116"/>
      <c r="E59" s="117">
        <f t="shared" si="30"/>
        <v>0</v>
      </c>
      <c r="F59" s="117"/>
      <c r="G59" s="117"/>
      <c r="H59" s="117"/>
      <c r="I59" s="117"/>
      <c r="J59" s="117">
        <f t="shared" si="31"/>
        <v>0</v>
      </c>
      <c r="K59" s="114"/>
      <c r="L59" s="114"/>
      <c r="M59" s="114"/>
      <c r="N59" s="114"/>
      <c r="O59" s="117">
        <f t="shared" si="32"/>
        <v>0</v>
      </c>
      <c r="P59" s="117">
        <f t="shared" si="33"/>
        <v>0</v>
      </c>
      <c r="Q59" s="118"/>
      <c r="R59" s="118"/>
      <c r="S59" s="117">
        <f t="shared" si="34"/>
        <v>0</v>
      </c>
      <c r="T59" s="117"/>
      <c r="U59" s="117"/>
      <c r="V59" s="117">
        <f t="shared" si="35"/>
        <v>0</v>
      </c>
      <c r="W59" s="118"/>
      <c r="X59" s="118"/>
      <c r="Y59" s="117">
        <f t="shared" si="36"/>
        <v>0</v>
      </c>
      <c r="Z59" s="117">
        <f t="shared" si="37"/>
        <v>0</v>
      </c>
      <c r="AA59" s="119" t="e">
        <f t="shared" si="51"/>
        <v>#DIV/0!</v>
      </c>
      <c r="AB59" s="117">
        <f t="shared" si="38"/>
        <v>0</v>
      </c>
      <c r="AC59" s="118"/>
      <c r="AD59" s="119">
        <f t="shared" si="39"/>
        <v>0</v>
      </c>
      <c r="AE59" s="118"/>
      <c r="AF59" s="118"/>
      <c r="AG59" s="118"/>
      <c r="AH59" s="118"/>
      <c r="AI59" s="152" t="e">
        <f t="shared" si="40"/>
        <v>#DIV/0!</v>
      </c>
      <c r="AJ59" s="118"/>
      <c r="AK59" s="120">
        <f t="shared" si="41"/>
        <v>0</v>
      </c>
      <c r="AL59" s="121" t="e">
        <f t="shared" si="42"/>
        <v>#DIV/0!</v>
      </c>
      <c r="AM59" s="122"/>
      <c r="AN59" s="123">
        <f t="shared" si="43"/>
        <v>0</v>
      </c>
      <c r="AO59" s="124">
        <f t="shared" si="44"/>
        <v>0</v>
      </c>
      <c r="AP59" s="124">
        <f t="shared" si="45"/>
        <v>0</v>
      </c>
      <c r="AQ59" s="124">
        <f t="shared" si="46"/>
        <v>0</v>
      </c>
      <c r="AR59" s="124">
        <f t="shared" si="47"/>
        <v>0</v>
      </c>
      <c r="AS59" s="124" t="e">
        <f t="array" ref="AS59">_xlfn.IFS(S59=0,AL59,S59&lt;0,AL59/-S59,S59&gt;0,AL59/S59)</f>
        <v>#DIV/0!</v>
      </c>
      <c r="AT59" s="119">
        <f t="shared" si="48"/>
        <v>0</v>
      </c>
      <c r="AU59" s="119">
        <f t="shared" si="49"/>
        <v>0</v>
      </c>
      <c r="AV59" s="125"/>
      <c r="AW59" s="120" t="e">
        <f t="shared" si="50"/>
        <v>#DIV/0!</v>
      </c>
    </row>
    <row r="60" spans="1:49" hidden="1" outlineLevel="1">
      <c r="A60" s="114"/>
      <c r="B60" s="115"/>
      <c r="C60" s="115"/>
      <c r="D60" s="116"/>
      <c r="E60" s="117">
        <f t="shared" si="30"/>
        <v>0</v>
      </c>
      <c r="F60" s="117"/>
      <c r="G60" s="117"/>
      <c r="H60" s="117"/>
      <c r="I60" s="117"/>
      <c r="J60" s="117">
        <f t="shared" si="31"/>
        <v>0</v>
      </c>
      <c r="K60" s="114"/>
      <c r="L60" s="114"/>
      <c r="M60" s="114"/>
      <c r="N60" s="114"/>
      <c r="O60" s="117">
        <f t="shared" si="32"/>
        <v>0</v>
      </c>
      <c r="P60" s="117">
        <f t="shared" si="33"/>
        <v>0</v>
      </c>
      <c r="Q60" s="118"/>
      <c r="R60" s="118"/>
      <c r="S60" s="117">
        <f t="shared" si="34"/>
        <v>0</v>
      </c>
      <c r="T60" s="117"/>
      <c r="U60" s="117"/>
      <c r="V60" s="117">
        <f t="shared" si="35"/>
        <v>0</v>
      </c>
      <c r="W60" s="118"/>
      <c r="X60" s="118"/>
      <c r="Y60" s="117">
        <f t="shared" si="36"/>
        <v>0</v>
      </c>
      <c r="Z60" s="117">
        <f t="shared" si="37"/>
        <v>0</v>
      </c>
      <c r="AA60" s="119" t="e">
        <f t="shared" si="51"/>
        <v>#DIV/0!</v>
      </c>
      <c r="AB60" s="117">
        <f t="shared" si="38"/>
        <v>0</v>
      </c>
      <c r="AC60" s="118"/>
      <c r="AD60" s="119">
        <f t="shared" si="39"/>
        <v>0</v>
      </c>
      <c r="AE60" s="118"/>
      <c r="AF60" s="118"/>
      <c r="AG60" s="118"/>
      <c r="AH60" s="118"/>
      <c r="AI60" s="152" t="e">
        <f t="shared" si="40"/>
        <v>#DIV/0!</v>
      </c>
      <c r="AJ60" s="118"/>
      <c r="AK60" s="120">
        <f t="shared" si="41"/>
        <v>0</v>
      </c>
      <c r="AL60" s="121" t="e">
        <f t="shared" si="42"/>
        <v>#DIV/0!</v>
      </c>
      <c r="AM60" s="122"/>
      <c r="AN60" s="123">
        <f t="shared" si="43"/>
        <v>0</v>
      </c>
      <c r="AO60" s="124">
        <f t="shared" si="44"/>
        <v>0</v>
      </c>
      <c r="AP60" s="124">
        <f t="shared" si="45"/>
        <v>0</v>
      </c>
      <c r="AQ60" s="124">
        <f t="shared" si="46"/>
        <v>0</v>
      </c>
      <c r="AR60" s="124">
        <f t="shared" si="47"/>
        <v>0</v>
      </c>
      <c r="AS60" s="124" t="e">
        <f t="array" ref="AS60">_xlfn.IFS(S60=0,AL60,S60&lt;0,AL60/-S60,S60&gt;0,AL60/S60)</f>
        <v>#DIV/0!</v>
      </c>
      <c r="AT60" s="119">
        <f t="shared" si="48"/>
        <v>0</v>
      </c>
      <c r="AU60" s="119">
        <f t="shared" si="49"/>
        <v>0</v>
      </c>
      <c r="AV60" s="125"/>
      <c r="AW60" s="120" t="e">
        <f t="shared" si="50"/>
        <v>#DIV/0!</v>
      </c>
    </row>
    <row r="61" spans="1:49" hidden="1" outlineLevel="1">
      <c r="A61" s="114"/>
      <c r="B61" s="115"/>
      <c r="C61" s="115"/>
      <c r="D61" s="116"/>
      <c r="E61" s="117">
        <f t="shared" si="30"/>
        <v>0</v>
      </c>
      <c r="F61" s="117"/>
      <c r="G61" s="117"/>
      <c r="H61" s="117"/>
      <c r="I61" s="117"/>
      <c r="J61" s="117">
        <f t="shared" si="31"/>
        <v>0</v>
      </c>
      <c r="K61" s="114"/>
      <c r="L61" s="114"/>
      <c r="M61" s="114"/>
      <c r="N61" s="114"/>
      <c r="O61" s="117">
        <f t="shared" si="32"/>
        <v>0</v>
      </c>
      <c r="P61" s="117">
        <f t="shared" si="33"/>
        <v>0</v>
      </c>
      <c r="Q61" s="118"/>
      <c r="R61" s="118"/>
      <c r="S61" s="117">
        <f t="shared" si="34"/>
        <v>0</v>
      </c>
      <c r="T61" s="117"/>
      <c r="U61" s="117"/>
      <c r="V61" s="117">
        <f t="shared" si="35"/>
        <v>0</v>
      </c>
      <c r="W61" s="118"/>
      <c r="X61" s="118"/>
      <c r="Y61" s="117">
        <f t="shared" si="36"/>
        <v>0</v>
      </c>
      <c r="Z61" s="117">
        <f t="shared" si="37"/>
        <v>0</v>
      </c>
      <c r="AA61" s="119" t="e">
        <f t="shared" si="51"/>
        <v>#DIV/0!</v>
      </c>
      <c r="AB61" s="117">
        <f t="shared" si="38"/>
        <v>0</v>
      </c>
      <c r="AC61" s="118"/>
      <c r="AD61" s="119">
        <f t="shared" si="39"/>
        <v>0</v>
      </c>
      <c r="AE61" s="118"/>
      <c r="AF61" s="118"/>
      <c r="AG61" s="118"/>
      <c r="AH61" s="118"/>
      <c r="AI61" s="152" t="e">
        <f t="shared" si="40"/>
        <v>#DIV/0!</v>
      </c>
      <c r="AJ61" s="118"/>
      <c r="AK61" s="120">
        <f t="shared" si="41"/>
        <v>0</v>
      </c>
      <c r="AL61" s="121" t="e">
        <f t="shared" si="42"/>
        <v>#DIV/0!</v>
      </c>
      <c r="AM61" s="122"/>
      <c r="AN61" s="123">
        <f t="shared" si="43"/>
        <v>0</v>
      </c>
      <c r="AO61" s="124">
        <f t="shared" si="44"/>
        <v>0</v>
      </c>
      <c r="AP61" s="124">
        <f t="shared" si="45"/>
        <v>0</v>
      </c>
      <c r="AQ61" s="124">
        <f t="shared" si="46"/>
        <v>0</v>
      </c>
      <c r="AR61" s="124">
        <f t="shared" si="47"/>
        <v>0</v>
      </c>
      <c r="AS61" s="124" t="e">
        <f t="array" ref="AS61">_xlfn.IFS(S61=0,AL61,S61&lt;0,AL61/-S61,S61&gt;0,AL61/S61)</f>
        <v>#DIV/0!</v>
      </c>
      <c r="AT61" s="119">
        <f t="shared" si="48"/>
        <v>0</v>
      </c>
      <c r="AU61" s="119">
        <f t="shared" si="49"/>
        <v>0</v>
      </c>
      <c r="AV61" s="125"/>
      <c r="AW61" s="120" t="e">
        <f t="shared" si="50"/>
        <v>#DIV/0!</v>
      </c>
    </row>
    <row r="62" spans="1:49" hidden="1" outlineLevel="1">
      <c r="A62" s="114"/>
      <c r="B62" s="115"/>
      <c r="C62" s="115"/>
      <c r="D62" s="116"/>
      <c r="E62" s="117">
        <f t="shared" si="30"/>
        <v>0</v>
      </c>
      <c r="F62" s="117"/>
      <c r="G62" s="117"/>
      <c r="H62" s="117"/>
      <c r="I62" s="117"/>
      <c r="J62" s="117">
        <f t="shared" si="31"/>
        <v>0</v>
      </c>
      <c r="K62" s="114"/>
      <c r="L62" s="114"/>
      <c r="M62" s="114"/>
      <c r="N62" s="114"/>
      <c r="O62" s="117">
        <f t="shared" si="32"/>
        <v>0</v>
      </c>
      <c r="P62" s="117">
        <f t="shared" si="33"/>
        <v>0</v>
      </c>
      <c r="Q62" s="118"/>
      <c r="R62" s="118"/>
      <c r="S62" s="117">
        <f t="shared" si="34"/>
        <v>0</v>
      </c>
      <c r="T62" s="117"/>
      <c r="U62" s="117"/>
      <c r="V62" s="117">
        <f t="shared" si="35"/>
        <v>0</v>
      </c>
      <c r="W62" s="118"/>
      <c r="X62" s="118"/>
      <c r="Y62" s="117">
        <f t="shared" si="36"/>
        <v>0</v>
      </c>
      <c r="Z62" s="117">
        <f t="shared" si="37"/>
        <v>0</v>
      </c>
      <c r="AA62" s="119" t="e">
        <f t="shared" si="51"/>
        <v>#DIV/0!</v>
      </c>
      <c r="AB62" s="117">
        <f t="shared" si="38"/>
        <v>0</v>
      </c>
      <c r="AC62" s="118"/>
      <c r="AD62" s="119">
        <f t="shared" si="39"/>
        <v>0</v>
      </c>
      <c r="AE62" s="118"/>
      <c r="AF62" s="118"/>
      <c r="AG62" s="118"/>
      <c r="AH62" s="118"/>
      <c r="AI62" s="152" t="e">
        <f t="shared" si="40"/>
        <v>#DIV/0!</v>
      </c>
      <c r="AJ62" s="118"/>
      <c r="AK62" s="120">
        <f t="shared" si="41"/>
        <v>0</v>
      </c>
      <c r="AL62" s="121" t="e">
        <f t="shared" si="42"/>
        <v>#DIV/0!</v>
      </c>
      <c r="AM62" s="122"/>
      <c r="AN62" s="123">
        <f t="shared" si="43"/>
        <v>0</v>
      </c>
      <c r="AO62" s="124">
        <f t="shared" si="44"/>
        <v>0</v>
      </c>
      <c r="AP62" s="124">
        <f t="shared" si="45"/>
        <v>0</v>
      </c>
      <c r="AQ62" s="124">
        <f t="shared" si="46"/>
        <v>0</v>
      </c>
      <c r="AR62" s="124">
        <f t="shared" si="47"/>
        <v>0</v>
      </c>
      <c r="AS62" s="124" t="e">
        <f t="array" ref="AS62">_xlfn.IFS(S62=0,AL62,S62&lt;0,AL62/-S62,S62&gt;0,AL62/S62)</f>
        <v>#DIV/0!</v>
      </c>
      <c r="AT62" s="119">
        <f t="shared" si="48"/>
        <v>0</v>
      </c>
      <c r="AU62" s="119">
        <f t="shared" si="49"/>
        <v>0</v>
      </c>
      <c r="AV62" s="125"/>
      <c r="AW62" s="120" t="e">
        <f t="shared" si="50"/>
        <v>#DIV/0!</v>
      </c>
    </row>
    <row r="63" spans="1:49" hidden="1" outlineLevel="1">
      <c r="A63" s="114"/>
      <c r="B63" s="115"/>
      <c r="C63" s="115"/>
      <c r="D63" s="149"/>
      <c r="E63" s="118">
        <f t="shared" si="30"/>
        <v>0</v>
      </c>
      <c r="F63" s="117"/>
      <c r="G63" s="117"/>
      <c r="H63" s="117"/>
      <c r="I63" s="117"/>
      <c r="J63" s="117">
        <f t="shared" si="31"/>
        <v>0</v>
      </c>
      <c r="K63" s="114"/>
      <c r="L63" s="114"/>
      <c r="M63" s="114"/>
      <c r="N63" s="114"/>
      <c r="O63" s="117">
        <f t="shared" si="32"/>
        <v>0</v>
      </c>
      <c r="P63" s="117">
        <f t="shared" si="33"/>
        <v>0</v>
      </c>
      <c r="Q63" s="118"/>
      <c r="R63" s="118"/>
      <c r="S63" s="117">
        <f t="shared" si="34"/>
        <v>0</v>
      </c>
      <c r="T63" s="117"/>
      <c r="U63" s="117"/>
      <c r="V63" s="117">
        <f t="shared" si="35"/>
        <v>0</v>
      </c>
      <c r="W63" s="118"/>
      <c r="X63" s="118"/>
      <c r="Y63" s="117">
        <f t="shared" si="36"/>
        <v>0</v>
      </c>
      <c r="Z63" s="117">
        <f t="shared" si="37"/>
        <v>0</v>
      </c>
      <c r="AA63" s="119" t="e">
        <f t="shared" si="51"/>
        <v>#DIV/0!</v>
      </c>
      <c r="AB63" s="117">
        <f t="shared" si="38"/>
        <v>0</v>
      </c>
      <c r="AC63" s="118"/>
      <c r="AD63" s="119">
        <f t="shared" si="39"/>
        <v>0</v>
      </c>
      <c r="AE63" s="118"/>
      <c r="AF63" s="118"/>
      <c r="AG63" s="118"/>
      <c r="AH63" s="118"/>
      <c r="AI63" s="152" t="e">
        <f t="shared" si="40"/>
        <v>#DIV/0!</v>
      </c>
      <c r="AJ63" s="118"/>
      <c r="AK63" s="120">
        <f t="shared" si="41"/>
        <v>0</v>
      </c>
      <c r="AL63" s="121" t="e">
        <f t="shared" si="42"/>
        <v>#DIV/0!</v>
      </c>
      <c r="AM63" s="122"/>
      <c r="AN63" s="123">
        <f t="shared" si="43"/>
        <v>0</v>
      </c>
      <c r="AO63" s="124">
        <f t="shared" si="44"/>
        <v>0</v>
      </c>
      <c r="AP63" s="124">
        <f t="shared" si="45"/>
        <v>0</v>
      </c>
      <c r="AQ63" s="124">
        <f t="shared" si="46"/>
        <v>0</v>
      </c>
      <c r="AR63" s="124">
        <f t="shared" si="47"/>
        <v>0</v>
      </c>
      <c r="AS63" s="124" t="e">
        <f t="array" ref="AS63">_xlfn.IFS(S63=0,AL63,S63&lt;0,AL63/-S63,S63&gt;0,AL63/S63)</f>
        <v>#DIV/0!</v>
      </c>
      <c r="AT63" s="119">
        <f t="shared" si="48"/>
        <v>0</v>
      </c>
      <c r="AU63" s="119">
        <f t="shared" si="49"/>
        <v>0</v>
      </c>
      <c r="AV63" s="125"/>
      <c r="AW63" s="120" t="e">
        <f t="shared" si="50"/>
        <v>#DIV/0!</v>
      </c>
    </row>
    <row r="64" spans="1:49" hidden="1" outlineLevel="1">
      <c r="A64" s="114"/>
      <c r="B64" s="115"/>
      <c r="C64" s="115"/>
      <c r="D64" s="149"/>
      <c r="E64" s="118">
        <f t="shared" si="30"/>
        <v>0</v>
      </c>
      <c r="F64" s="117"/>
      <c r="G64" s="117"/>
      <c r="H64" s="117"/>
      <c r="I64" s="117"/>
      <c r="J64" s="117">
        <f t="shared" si="31"/>
        <v>0</v>
      </c>
      <c r="K64" s="114"/>
      <c r="L64" s="114"/>
      <c r="M64" s="114"/>
      <c r="N64" s="114"/>
      <c r="O64" s="117">
        <f t="shared" si="32"/>
        <v>0</v>
      </c>
      <c r="P64" s="117">
        <f t="shared" si="33"/>
        <v>0</v>
      </c>
      <c r="Q64" s="118"/>
      <c r="R64" s="118"/>
      <c r="S64" s="117">
        <f t="shared" si="34"/>
        <v>0</v>
      </c>
      <c r="T64" s="117"/>
      <c r="U64" s="117"/>
      <c r="V64" s="117">
        <f t="shared" si="35"/>
        <v>0</v>
      </c>
      <c r="W64" s="118"/>
      <c r="X64" s="118"/>
      <c r="Y64" s="117">
        <f t="shared" si="36"/>
        <v>0</v>
      </c>
      <c r="Z64" s="117">
        <f t="shared" si="37"/>
        <v>0</v>
      </c>
      <c r="AA64" s="119" t="e">
        <f t="shared" si="51"/>
        <v>#DIV/0!</v>
      </c>
      <c r="AB64" s="117">
        <f t="shared" si="38"/>
        <v>0</v>
      </c>
      <c r="AC64" s="118"/>
      <c r="AD64" s="119">
        <f t="shared" si="39"/>
        <v>0</v>
      </c>
      <c r="AE64" s="118"/>
      <c r="AF64" s="118"/>
      <c r="AG64" s="118"/>
      <c r="AH64" s="118"/>
      <c r="AI64" s="152" t="e">
        <f t="shared" si="40"/>
        <v>#DIV/0!</v>
      </c>
      <c r="AJ64" s="118"/>
      <c r="AK64" s="120">
        <f t="shared" si="41"/>
        <v>0</v>
      </c>
      <c r="AL64" s="121" t="e">
        <f t="shared" si="42"/>
        <v>#DIV/0!</v>
      </c>
      <c r="AM64" s="122"/>
      <c r="AN64" s="123">
        <f t="shared" si="43"/>
        <v>0</v>
      </c>
      <c r="AO64" s="124">
        <f t="shared" si="44"/>
        <v>0</v>
      </c>
      <c r="AP64" s="124">
        <f t="shared" si="45"/>
        <v>0</v>
      </c>
      <c r="AQ64" s="124">
        <f t="shared" si="46"/>
        <v>0</v>
      </c>
      <c r="AR64" s="124">
        <f t="shared" si="47"/>
        <v>0</v>
      </c>
      <c r="AS64" s="124" t="e">
        <f t="array" ref="AS64">_xlfn.IFS(S64=0,AL64,S64&lt;0,AL64/-S64,S64&gt;0,AL64/S64)</f>
        <v>#DIV/0!</v>
      </c>
      <c r="AT64" s="119">
        <f t="shared" si="48"/>
        <v>0</v>
      </c>
      <c r="AU64" s="119">
        <f t="shared" si="49"/>
        <v>0</v>
      </c>
      <c r="AV64" s="125"/>
      <c r="AW64" s="120" t="e">
        <f t="shared" si="50"/>
        <v>#DIV/0!</v>
      </c>
    </row>
    <row r="65" spans="1:49" hidden="1" outlineLevel="1">
      <c r="A65" s="114"/>
      <c r="B65" s="115"/>
      <c r="C65" s="115"/>
      <c r="D65" s="149"/>
      <c r="E65" s="118">
        <f t="shared" si="30"/>
        <v>0</v>
      </c>
      <c r="F65" s="117"/>
      <c r="G65" s="117"/>
      <c r="H65" s="117"/>
      <c r="I65" s="117"/>
      <c r="J65" s="117">
        <f t="shared" si="31"/>
        <v>0</v>
      </c>
      <c r="K65" s="114"/>
      <c r="L65" s="114"/>
      <c r="M65" s="114"/>
      <c r="N65" s="114"/>
      <c r="O65" s="117">
        <f t="shared" si="32"/>
        <v>0</v>
      </c>
      <c r="P65" s="117">
        <f t="shared" si="33"/>
        <v>0</v>
      </c>
      <c r="Q65" s="118"/>
      <c r="R65" s="118"/>
      <c r="S65" s="117">
        <f t="shared" si="34"/>
        <v>0</v>
      </c>
      <c r="T65" s="117"/>
      <c r="U65" s="117"/>
      <c r="V65" s="117">
        <f t="shared" si="35"/>
        <v>0</v>
      </c>
      <c r="W65" s="118"/>
      <c r="X65" s="118"/>
      <c r="Y65" s="117">
        <f t="shared" si="36"/>
        <v>0</v>
      </c>
      <c r="Z65" s="117">
        <f t="shared" si="37"/>
        <v>0</v>
      </c>
      <c r="AA65" s="119" t="e">
        <f t="shared" si="51"/>
        <v>#DIV/0!</v>
      </c>
      <c r="AB65" s="117">
        <f t="shared" si="38"/>
        <v>0</v>
      </c>
      <c r="AC65" s="118"/>
      <c r="AD65" s="119">
        <f t="shared" si="39"/>
        <v>0</v>
      </c>
      <c r="AE65" s="118"/>
      <c r="AF65" s="118"/>
      <c r="AG65" s="118"/>
      <c r="AH65" s="118"/>
      <c r="AI65" s="152" t="e">
        <f t="shared" si="40"/>
        <v>#DIV/0!</v>
      </c>
      <c r="AJ65" s="118"/>
      <c r="AK65" s="120">
        <f t="shared" si="41"/>
        <v>0</v>
      </c>
      <c r="AL65" s="121" t="e">
        <f t="shared" si="42"/>
        <v>#DIV/0!</v>
      </c>
      <c r="AM65" s="122"/>
      <c r="AN65" s="123">
        <f t="shared" si="43"/>
        <v>0</v>
      </c>
      <c r="AO65" s="124">
        <f t="shared" si="44"/>
        <v>0</v>
      </c>
      <c r="AP65" s="124">
        <f t="shared" si="45"/>
        <v>0</v>
      </c>
      <c r="AQ65" s="124">
        <f t="shared" si="46"/>
        <v>0</v>
      </c>
      <c r="AR65" s="124">
        <f t="shared" si="47"/>
        <v>0</v>
      </c>
      <c r="AS65" s="124" t="e">
        <f t="array" ref="AS65">_xlfn.IFS(S65=0,AL65,S65&lt;0,AL65/-S65,S65&gt;0,AL65/S65)</f>
        <v>#DIV/0!</v>
      </c>
      <c r="AT65" s="119">
        <f t="shared" si="48"/>
        <v>0</v>
      </c>
      <c r="AU65" s="119">
        <f t="shared" si="49"/>
        <v>0</v>
      </c>
      <c r="AV65" s="125"/>
      <c r="AW65" s="120" t="e">
        <f t="shared" si="50"/>
        <v>#DIV/0!</v>
      </c>
    </row>
    <row r="66" spans="1:49" hidden="1" outlineLevel="1">
      <c r="A66" s="114"/>
      <c r="B66" s="115"/>
      <c r="C66" s="115"/>
      <c r="D66" s="116"/>
      <c r="E66" s="117">
        <f t="shared" si="30"/>
        <v>0</v>
      </c>
      <c r="F66" s="117"/>
      <c r="G66" s="117"/>
      <c r="H66" s="117"/>
      <c r="I66" s="117"/>
      <c r="J66" s="117">
        <f t="shared" si="31"/>
        <v>0</v>
      </c>
      <c r="K66" s="114"/>
      <c r="L66" s="114"/>
      <c r="M66" s="114"/>
      <c r="N66" s="114"/>
      <c r="O66" s="117">
        <f t="shared" si="32"/>
        <v>0</v>
      </c>
      <c r="P66" s="117">
        <f t="shared" si="33"/>
        <v>0</v>
      </c>
      <c r="Q66" s="118"/>
      <c r="R66" s="118"/>
      <c r="S66" s="117">
        <f t="shared" si="34"/>
        <v>0</v>
      </c>
      <c r="T66" s="117"/>
      <c r="U66" s="117"/>
      <c r="V66" s="117">
        <f t="shared" si="35"/>
        <v>0</v>
      </c>
      <c r="W66" s="118"/>
      <c r="X66" s="118"/>
      <c r="Y66" s="117">
        <f t="shared" si="36"/>
        <v>0</v>
      </c>
      <c r="Z66" s="117">
        <f t="shared" si="37"/>
        <v>0</v>
      </c>
      <c r="AA66" s="119" t="e">
        <f t="shared" si="51"/>
        <v>#DIV/0!</v>
      </c>
      <c r="AB66" s="117">
        <f t="shared" si="38"/>
        <v>0</v>
      </c>
      <c r="AC66" s="118"/>
      <c r="AD66" s="119">
        <f t="shared" si="39"/>
        <v>0</v>
      </c>
      <c r="AE66" s="118"/>
      <c r="AF66" s="118"/>
      <c r="AG66" s="118"/>
      <c r="AH66" s="118"/>
      <c r="AI66" s="152" t="e">
        <f t="shared" si="40"/>
        <v>#DIV/0!</v>
      </c>
      <c r="AJ66" s="118"/>
      <c r="AK66" s="120">
        <f t="shared" si="41"/>
        <v>0</v>
      </c>
      <c r="AL66" s="121" t="e">
        <f t="shared" si="42"/>
        <v>#DIV/0!</v>
      </c>
      <c r="AM66" s="122"/>
      <c r="AN66" s="123">
        <f t="shared" si="43"/>
        <v>0</v>
      </c>
      <c r="AO66" s="124">
        <f t="shared" si="44"/>
        <v>0</v>
      </c>
      <c r="AP66" s="124">
        <f t="shared" si="45"/>
        <v>0</v>
      </c>
      <c r="AQ66" s="124">
        <f t="shared" si="46"/>
        <v>0</v>
      </c>
      <c r="AR66" s="124">
        <f t="shared" si="47"/>
        <v>0</v>
      </c>
      <c r="AS66" s="124" t="e">
        <f t="array" ref="AS66">_xlfn.IFS(S66=0,AL66,S66&lt;0,AL66/-S66,S66&gt;0,AL66/S66)</f>
        <v>#DIV/0!</v>
      </c>
      <c r="AT66" s="119">
        <f t="shared" si="48"/>
        <v>0</v>
      </c>
      <c r="AU66" s="119">
        <f t="shared" si="49"/>
        <v>0</v>
      </c>
      <c r="AV66" s="125"/>
      <c r="AW66" s="120" t="e">
        <f t="shared" si="50"/>
        <v>#DIV/0!</v>
      </c>
    </row>
    <row r="67" spans="1:49" hidden="1" outlineLevel="1">
      <c r="A67" s="114"/>
      <c r="B67" s="115"/>
      <c r="C67" s="115"/>
      <c r="D67" s="116"/>
      <c r="E67" s="117">
        <f t="shared" si="30"/>
        <v>0</v>
      </c>
      <c r="F67" s="117"/>
      <c r="G67" s="117"/>
      <c r="H67" s="117"/>
      <c r="I67" s="117"/>
      <c r="J67" s="117">
        <f t="shared" si="31"/>
        <v>0</v>
      </c>
      <c r="K67" s="114"/>
      <c r="L67" s="114"/>
      <c r="M67" s="114"/>
      <c r="N67" s="114"/>
      <c r="O67" s="117">
        <f t="shared" si="32"/>
        <v>0</v>
      </c>
      <c r="P67" s="117">
        <f t="shared" si="33"/>
        <v>0</v>
      </c>
      <c r="Q67" s="118"/>
      <c r="R67" s="118"/>
      <c r="S67" s="117">
        <f t="shared" si="34"/>
        <v>0</v>
      </c>
      <c r="T67" s="117"/>
      <c r="U67" s="117"/>
      <c r="V67" s="117">
        <f t="shared" si="35"/>
        <v>0</v>
      </c>
      <c r="W67" s="118"/>
      <c r="X67" s="118"/>
      <c r="Y67" s="117">
        <f t="shared" si="36"/>
        <v>0</v>
      </c>
      <c r="Z67" s="117">
        <f t="shared" si="37"/>
        <v>0</v>
      </c>
      <c r="AA67" s="119" t="e">
        <f t="shared" si="51"/>
        <v>#DIV/0!</v>
      </c>
      <c r="AB67" s="117">
        <f t="shared" si="38"/>
        <v>0</v>
      </c>
      <c r="AC67" s="118"/>
      <c r="AD67" s="119">
        <f t="shared" si="39"/>
        <v>0</v>
      </c>
      <c r="AE67" s="118"/>
      <c r="AF67" s="118"/>
      <c r="AG67" s="118"/>
      <c r="AH67" s="118"/>
      <c r="AI67" s="152" t="e">
        <f t="shared" si="40"/>
        <v>#DIV/0!</v>
      </c>
      <c r="AJ67" s="118"/>
      <c r="AK67" s="120">
        <f t="shared" si="41"/>
        <v>0</v>
      </c>
      <c r="AL67" s="121" t="e">
        <f t="shared" si="42"/>
        <v>#DIV/0!</v>
      </c>
      <c r="AM67" s="122"/>
      <c r="AN67" s="123">
        <f t="shared" si="43"/>
        <v>0</v>
      </c>
      <c r="AO67" s="124">
        <f t="shared" si="44"/>
        <v>0</v>
      </c>
      <c r="AP67" s="124">
        <f t="shared" si="45"/>
        <v>0</v>
      </c>
      <c r="AQ67" s="124">
        <f t="shared" si="46"/>
        <v>0</v>
      </c>
      <c r="AR67" s="124">
        <f t="shared" si="47"/>
        <v>0</v>
      </c>
      <c r="AS67" s="124" t="e">
        <f t="array" ref="AS67">_xlfn.IFS(S67=0,AL67,S67&lt;0,AL67/-S67,S67&gt;0,AL67/S67)</f>
        <v>#DIV/0!</v>
      </c>
      <c r="AT67" s="119">
        <f t="shared" si="48"/>
        <v>0</v>
      </c>
      <c r="AU67" s="119">
        <f t="shared" si="49"/>
        <v>0</v>
      </c>
      <c r="AV67" s="125"/>
      <c r="AW67" s="120" t="e">
        <f t="shared" si="50"/>
        <v>#DIV/0!</v>
      </c>
    </row>
    <row r="68" spans="1:49" hidden="1" outlineLevel="1">
      <c r="A68" s="114"/>
      <c r="B68" s="115"/>
      <c r="C68" s="115"/>
      <c r="D68" s="116"/>
      <c r="E68" s="117">
        <f t="shared" si="30"/>
        <v>0</v>
      </c>
      <c r="F68" s="117"/>
      <c r="G68" s="117"/>
      <c r="H68" s="117"/>
      <c r="I68" s="117"/>
      <c r="J68" s="117">
        <f t="shared" si="31"/>
        <v>0</v>
      </c>
      <c r="K68" s="114"/>
      <c r="L68" s="114"/>
      <c r="M68" s="114"/>
      <c r="N68" s="114"/>
      <c r="O68" s="117">
        <f t="shared" si="32"/>
        <v>0</v>
      </c>
      <c r="P68" s="117">
        <f t="shared" si="33"/>
        <v>0</v>
      </c>
      <c r="Q68" s="118"/>
      <c r="R68" s="118"/>
      <c r="S68" s="117">
        <f t="shared" si="34"/>
        <v>0</v>
      </c>
      <c r="T68" s="117"/>
      <c r="U68" s="117"/>
      <c r="V68" s="117">
        <f t="shared" si="35"/>
        <v>0</v>
      </c>
      <c r="W68" s="118"/>
      <c r="X68" s="118"/>
      <c r="Y68" s="117">
        <f t="shared" si="36"/>
        <v>0</v>
      </c>
      <c r="Z68" s="117">
        <f t="shared" si="37"/>
        <v>0</v>
      </c>
      <c r="AA68" s="119" t="e">
        <f t="shared" si="51"/>
        <v>#DIV/0!</v>
      </c>
      <c r="AB68" s="117">
        <f t="shared" si="38"/>
        <v>0</v>
      </c>
      <c r="AC68" s="118"/>
      <c r="AD68" s="119">
        <f t="shared" si="39"/>
        <v>0</v>
      </c>
      <c r="AE68" s="118"/>
      <c r="AF68" s="118"/>
      <c r="AG68" s="118"/>
      <c r="AH68" s="118"/>
      <c r="AI68" s="152" t="e">
        <f t="shared" si="40"/>
        <v>#DIV/0!</v>
      </c>
      <c r="AJ68" s="118"/>
      <c r="AK68" s="120">
        <f t="shared" si="41"/>
        <v>0</v>
      </c>
      <c r="AL68" s="121" t="e">
        <f t="shared" si="42"/>
        <v>#DIV/0!</v>
      </c>
      <c r="AM68" s="122"/>
      <c r="AN68" s="123">
        <f t="shared" si="43"/>
        <v>0</v>
      </c>
      <c r="AO68" s="124">
        <f t="shared" si="44"/>
        <v>0</v>
      </c>
      <c r="AP68" s="124">
        <f t="shared" si="45"/>
        <v>0</v>
      </c>
      <c r="AQ68" s="124">
        <f t="shared" si="46"/>
        <v>0</v>
      </c>
      <c r="AR68" s="124">
        <f t="shared" si="47"/>
        <v>0</v>
      </c>
      <c r="AS68" s="124" t="e">
        <f t="array" ref="AS68">_xlfn.IFS(S68=0,AL68,S68&lt;0,AL68/-S68,S68&gt;0,AL68/S68)</f>
        <v>#DIV/0!</v>
      </c>
      <c r="AT68" s="119">
        <f t="shared" si="48"/>
        <v>0</v>
      </c>
      <c r="AU68" s="119">
        <f t="shared" si="49"/>
        <v>0</v>
      </c>
      <c r="AV68" s="125"/>
      <c r="AW68" s="120" t="e">
        <f t="shared" si="50"/>
        <v>#DIV/0!</v>
      </c>
    </row>
    <row r="69" spans="1:49" hidden="1" outlineLevel="1">
      <c r="A69" s="114"/>
      <c r="B69" s="115"/>
      <c r="C69" s="115"/>
      <c r="D69" s="116"/>
      <c r="E69" s="117">
        <f t="shared" si="30"/>
        <v>0</v>
      </c>
      <c r="F69" s="117"/>
      <c r="G69" s="117"/>
      <c r="H69" s="117"/>
      <c r="I69" s="117"/>
      <c r="J69" s="117">
        <f t="shared" si="31"/>
        <v>0</v>
      </c>
      <c r="K69" s="114"/>
      <c r="L69" s="114"/>
      <c r="M69" s="114"/>
      <c r="N69" s="114"/>
      <c r="O69" s="117">
        <f t="shared" si="32"/>
        <v>0</v>
      </c>
      <c r="P69" s="117">
        <f t="shared" si="33"/>
        <v>0</v>
      </c>
      <c r="Q69" s="118"/>
      <c r="R69" s="118"/>
      <c r="S69" s="117">
        <f t="shared" si="34"/>
        <v>0</v>
      </c>
      <c r="T69" s="117"/>
      <c r="U69" s="117"/>
      <c r="V69" s="117">
        <f t="shared" si="35"/>
        <v>0</v>
      </c>
      <c r="W69" s="118"/>
      <c r="X69" s="118"/>
      <c r="Y69" s="117">
        <f t="shared" si="36"/>
        <v>0</v>
      </c>
      <c r="Z69" s="117">
        <f t="shared" si="37"/>
        <v>0</v>
      </c>
      <c r="AA69" s="119" t="e">
        <f t="shared" si="51"/>
        <v>#DIV/0!</v>
      </c>
      <c r="AB69" s="117">
        <f t="shared" si="38"/>
        <v>0</v>
      </c>
      <c r="AC69" s="118"/>
      <c r="AD69" s="119">
        <f t="shared" si="39"/>
        <v>0</v>
      </c>
      <c r="AE69" s="118"/>
      <c r="AF69" s="118"/>
      <c r="AG69" s="118"/>
      <c r="AH69" s="118"/>
      <c r="AI69" s="152" t="e">
        <f t="shared" si="40"/>
        <v>#DIV/0!</v>
      </c>
      <c r="AJ69" s="118"/>
      <c r="AK69" s="120">
        <f t="shared" si="41"/>
        <v>0</v>
      </c>
      <c r="AL69" s="121" t="e">
        <f t="shared" si="42"/>
        <v>#DIV/0!</v>
      </c>
      <c r="AM69" s="122"/>
      <c r="AN69" s="123">
        <f t="shared" si="43"/>
        <v>0</v>
      </c>
      <c r="AO69" s="124">
        <f t="shared" si="44"/>
        <v>0</v>
      </c>
      <c r="AP69" s="124">
        <f t="shared" si="45"/>
        <v>0</v>
      </c>
      <c r="AQ69" s="124">
        <f t="shared" si="46"/>
        <v>0</v>
      </c>
      <c r="AR69" s="124">
        <f t="shared" si="47"/>
        <v>0</v>
      </c>
      <c r="AS69" s="124" t="e">
        <f t="array" ref="AS69">_xlfn.IFS(S69=0,AL69,S69&lt;0,AL69/-S69,S69&gt;0,AL69/S69)</f>
        <v>#DIV/0!</v>
      </c>
      <c r="AT69" s="119">
        <f t="shared" si="48"/>
        <v>0</v>
      </c>
      <c r="AU69" s="119">
        <f t="shared" si="49"/>
        <v>0</v>
      </c>
      <c r="AV69" s="125"/>
      <c r="AW69" s="120" t="e">
        <f t="shared" si="50"/>
        <v>#DIV/0!</v>
      </c>
    </row>
    <row r="70" spans="1:49" hidden="1" outlineLevel="1">
      <c r="A70" s="114"/>
      <c r="B70" s="115"/>
      <c r="C70" s="115"/>
      <c r="D70" s="116"/>
      <c r="E70" s="117">
        <f t="shared" ref="E70:E89" si="52">SUM(F70:H70)</f>
        <v>0</v>
      </c>
      <c r="F70" s="117"/>
      <c r="G70" s="117"/>
      <c r="H70" s="117"/>
      <c r="I70" s="117"/>
      <c r="J70" s="117">
        <f t="shared" si="31"/>
        <v>0</v>
      </c>
      <c r="K70" s="114"/>
      <c r="L70" s="114"/>
      <c r="M70" s="114"/>
      <c r="N70" s="114"/>
      <c r="O70" s="117">
        <f t="shared" si="32"/>
        <v>0</v>
      </c>
      <c r="P70" s="117">
        <f t="shared" si="33"/>
        <v>0</v>
      </c>
      <c r="Q70" s="118"/>
      <c r="R70" s="118"/>
      <c r="S70" s="117">
        <f t="shared" si="34"/>
        <v>0</v>
      </c>
      <c r="T70" s="117"/>
      <c r="U70" s="117"/>
      <c r="V70" s="117">
        <f t="shared" si="35"/>
        <v>0</v>
      </c>
      <c r="W70" s="118"/>
      <c r="X70" s="118"/>
      <c r="Y70" s="117">
        <f t="shared" si="36"/>
        <v>0</v>
      </c>
      <c r="Z70" s="117">
        <f t="shared" si="37"/>
        <v>0</v>
      </c>
      <c r="AA70" s="119" t="e">
        <f t="shared" si="51"/>
        <v>#DIV/0!</v>
      </c>
      <c r="AB70" s="117">
        <f t="shared" si="38"/>
        <v>0</v>
      </c>
      <c r="AC70" s="118"/>
      <c r="AD70" s="119">
        <f t="shared" si="39"/>
        <v>0</v>
      </c>
      <c r="AE70" s="118"/>
      <c r="AF70" s="118"/>
      <c r="AG70" s="118"/>
      <c r="AH70" s="118"/>
      <c r="AI70" s="152" t="e">
        <f t="shared" si="40"/>
        <v>#DIV/0!</v>
      </c>
      <c r="AJ70" s="118"/>
      <c r="AK70" s="120">
        <f t="shared" si="41"/>
        <v>0</v>
      </c>
      <c r="AL70" s="121" t="e">
        <f t="shared" si="42"/>
        <v>#DIV/0!</v>
      </c>
      <c r="AM70" s="122"/>
      <c r="AN70" s="123">
        <f t="shared" si="43"/>
        <v>0</v>
      </c>
      <c r="AO70" s="124">
        <f t="shared" si="44"/>
        <v>0</v>
      </c>
      <c r="AP70" s="124">
        <f t="shared" si="45"/>
        <v>0</v>
      </c>
      <c r="AQ70" s="124">
        <f t="shared" si="46"/>
        <v>0</v>
      </c>
      <c r="AR70" s="124">
        <f t="shared" si="47"/>
        <v>0</v>
      </c>
      <c r="AS70" s="124" t="e">
        <f t="array" ref="AS70">_xlfn.IFS(S70=0,AL70,S70&lt;0,AL70/-S70,S70&gt;0,AL70/S70)</f>
        <v>#DIV/0!</v>
      </c>
      <c r="AT70" s="119">
        <f t="shared" si="48"/>
        <v>0</v>
      </c>
      <c r="AU70" s="119">
        <f t="shared" si="49"/>
        <v>0</v>
      </c>
      <c r="AV70" s="125"/>
      <c r="AW70" s="120" t="e">
        <f t="shared" si="50"/>
        <v>#DIV/0!</v>
      </c>
    </row>
    <row r="71" spans="1:49" hidden="1" outlineLevel="1">
      <c r="A71" s="114"/>
      <c r="B71" s="115"/>
      <c r="C71" s="115"/>
      <c r="D71" s="116"/>
      <c r="E71" s="117">
        <f t="shared" si="52"/>
        <v>0</v>
      </c>
      <c r="F71" s="117"/>
      <c r="G71" s="117"/>
      <c r="H71" s="117"/>
      <c r="I71" s="117"/>
      <c r="J71" s="117">
        <f t="shared" si="31"/>
        <v>0</v>
      </c>
      <c r="K71" s="114"/>
      <c r="L71" s="114"/>
      <c r="M71" s="114"/>
      <c r="N71" s="114"/>
      <c r="O71" s="117">
        <f t="shared" si="32"/>
        <v>0</v>
      </c>
      <c r="P71" s="117">
        <f t="shared" si="33"/>
        <v>0</v>
      </c>
      <c r="Q71" s="118"/>
      <c r="R71" s="118"/>
      <c r="S71" s="117">
        <f t="shared" si="34"/>
        <v>0</v>
      </c>
      <c r="T71" s="117"/>
      <c r="U71" s="117"/>
      <c r="V71" s="117">
        <f t="shared" si="35"/>
        <v>0</v>
      </c>
      <c r="W71" s="118"/>
      <c r="X71" s="118"/>
      <c r="Y71" s="117">
        <f t="shared" si="36"/>
        <v>0</v>
      </c>
      <c r="Z71" s="117">
        <f t="shared" si="37"/>
        <v>0</v>
      </c>
      <c r="AA71" s="119" t="e">
        <f t="shared" si="51"/>
        <v>#DIV/0!</v>
      </c>
      <c r="AB71" s="117">
        <f t="shared" si="38"/>
        <v>0</v>
      </c>
      <c r="AC71" s="118"/>
      <c r="AD71" s="119">
        <f t="shared" si="39"/>
        <v>0</v>
      </c>
      <c r="AE71" s="118"/>
      <c r="AF71" s="118"/>
      <c r="AG71" s="118"/>
      <c r="AH71" s="118"/>
      <c r="AI71" s="152" t="e">
        <f t="shared" si="40"/>
        <v>#DIV/0!</v>
      </c>
      <c r="AJ71" s="118"/>
      <c r="AK71" s="120">
        <f t="shared" si="41"/>
        <v>0</v>
      </c>
      <c r="AL71" s="121" t="e">
        <f t="shared" si="42"/>
        <v>#DIV/0!</v>
      </c>
      <c r="AM71" s="122"/>
      <c r="AN71" s="123">
        <f t="shared" si="43"/>
        <v>0</v>
      </c>
      <c r="AO71" s="124">
        <f t="shared" si="44"/>
        <v>0</v>
      </c>
      <c r="AP71" s="124">
        <f t="shared" si="45"/>
        <v>0</v>
      </c>
      <c r="AQ71" s="124">
        <f t="shared" si="46"/>
        <v>0</v>
      </c>
      <c r="AR71" s="124">
        <f t="shared" si="47"/>
        <v>0</v>
      </c>
      <c r="AS71" s="124" t="e">
        <f t="array" ref="AS71">_xlfn.IFS(S71=0,AL71,S71&lt;0,AL71/-S71,S71&gt;0,AL71/S71)</f>
        <v>#DIV/0!</v>
      </c>
      <c r="AT71" s="119">
        <f t="shared" si="48"/>
        <v>0</v>
      </c>
      <c r="AU71" s="119">
        <f t="shared" si="49"/>
        <v>0</v>
      </c>
      <c r="AV71" s="125"/>
      <c r="AW71" s="120" t="e">
        <f t="shared" si="50"/>
        <v>#DIV/0!</v>
      </c>
    </row>
    <row r="72" spans="1:49" hidden="1" outlineLevel="1">
      <c r="A72" s="114"/>
      <c r="B72" s="115"/>
      <c r="C72" s="115"/>
      <c r="D72" s="116"/>
      <c r="E72" s="117">
        <f t="shared" si="52"/>
        <v>0</v>
      </c>
      <c r="F72" s="117"/>
      <c r="G72" s="117"/>
      <c r="H72" s="117"/>
      <c r="I72" s="117"/>
      <c r="J72" s="117">
        <f t="shared" si="31"/>
        <v>0</v>
      </c>
      <c r="K72" s="114"/>
      <c r="L72" s="114"/>
      <c r="M72" s="114"/>
      <c r="N72" s="114"/>
      <c r="O72" s="117">
        <f t="shared" si="32"/>
        <v>0</v>
      </c>
      <c r="P72" s="117">
        <f t="shared" si="33"/>
        <v>0</v>
      </c>
      <c r="Q72" s="118"/>
      <c r="R72" s="118"/>
      <c r="S72" s="117">
        <f t="shared" si="34"/>
        <v>0</v>
      </c>
      <c r="T72" s="117"/>
      <c r="U72" s="117"/>
      <c r="V72" s="117">
        <f t="shared" si="35"/>
        <v>0</v>
      </c>
      <c r="W72" s="118"/>
      <c r="X72" s="118"/>
      <c r="Y72" s="117">
        <f t="shared" si="36"/>
        <v>0</v>
      </c>
      <c r="Z72" s="117">
        <f t="shared" si="37"/>
        <v>0</v>
      </c>
      <c r="AA72" s="119" t="e">
        <f t="shared" si="51"/>
        <v>#DIV/0!</v>
      </c>
      <c r="AB72" s="117">
        <f t="shared" si="38"/>
        <v>0</v>
      </c>
      <c r="AC72" s="118"/>
      <c r="AD72" s="119">
        <f t="shared" si="39"/>
        <v>0</v>
      </c>
      <c r="AE72" s="118"/>
      <c r="AF72" s="118"/>
      <c r="AG72" s="118"/>
      <c r="AH72" s="118"/>
      <c r="AI72" s="152" t="e">
        <f t="shared" si="40"/>
        <v>#DIV/0!</v>
      </c>
      <c r="AJ72" s="118"/>
      <c r="AK72" s="120">
        <f t="shared" si="41"/>
        <v>0</v>
      </c>
      <c r="AL72" s="121" t="e">
        <f t="shared" si="42"/>
        <v>#DIV/0!</v>
      </c>
      <c r="AM72" s="122"/>
      <c r="AN72" s="123">
        <f t="shared" si="43"/>
        <v>0</v>
      </c>
      <c r="AO72" s="124">
        <f t="shared" si="44"/>
        <v>0</v>
      </c>
      <c r="AP72" s="124">
        <f t="shared" si="45"/>
        <v>0</v>
      </c>
      <c r="AQ72" s="124">
        <f t="shared" si="46"/>
        <v>0</v>
      </c>
      <c r="AR72" s="124">
        <f t="shared" si="47"/>
        <v>0</v>
      </c>
      <c r="AS72" s="124" t="e">
        <f t="array" ref="AS72">_xlfn.IFS(S72=0,AL72,S72&lt;0,AL72/-S72,S72&gt;0,AL72/S72)</f>
        <v>#DIV/0!</v>
      </c>
      <c r="AT72" s="119">
        <f t="shared" si="48"/>
        <v>0</v>
      </c>
      <c r="AU72" s="119">
        <f t="shared" si="49"/>
        <v>0</v>
      </c>
      <c r="AV72" s="125"/>
      <c r="AW72" s="120" t="e">
        <f t="shared" si="50"/>
        <v>#DIV/0!</v>
      </c>
    </row>
    <row r="73" spans="1:49" hidden="1" outlineLevel="1">
      <c r="A73" s="114"/>
      <c r="B73" s="115"/>
      <c r="C73" s="115"/>
      <c r="D73" s="116"/>
      <c r="E73" s="117">
        <f t="shared" si="52"/>
        <v>0</v>
      </c>
      <c r="F73" s="117"/>
      <c r="G73" s="117"/>
      <c r="H73" s="117"/>
      <c r="I73" s="117"/>
      <c r="J73" s="117">
        <f t="shared" si="31"/>
        <v>0</v>
      </c>
      <c r="K73" s="114"/>
      <c r="L73" s="114"/>
      <c r="M73" s="114"/>
      <c r="N73" s="114"/>
      <c r="O73" s="117">
        <f t="shared" si="32"/>
        <v>0</v>
      </c>
      <c r="P73" s="117">
        <f t="shared" si="33"/>
        <v>0</v>
      </c>
      <c r="Q73" s="118"/>
      <c r="R73" s="118"/>
      <c r="S73" s="117">
        <f t="shared" si="34"/>
        <v>0</v>
      </c>
      <c r="T73" s="117"/>
      <c r="U73" s="117"/>
      <c r="V73" s="117">
        <f t="shared" si="35"/>
        <v>0</v>
      </c>
      <c r="W73" s="118"/>
      <c r="X73" s="118"/>
      <c r="Y73" s="117">
        <f t="shared" si="36"/>
        <v>0</v>
      </c>
      <c r="Z73" s="117">
        <f t="shared" si="37"/>
        <v>0</v>
      </c>
      <c r="AA73" s="119" t="e">
        <f t="shared" si="51"/>
        <v>#DIV/0!</v>
      </c>
      <c r="AB73" s="117">
        <f t="shared" si="38"/>
        <v>0</v>
      </c>
      <c r="AC73" s="118"/>
      <c r="AD73" s="119">
        <f t="shared" si="39"/>
        <v>0</v>
      </c>
      <c r="AE73" s="118"/>
      <c r="AF73" s="118"/>
      <c r="AG73" s="118"/>
      <c r="AH73" s="118"/>
      <c r="AI73" s="152" t="e">
        <f t="shared" si="40"/>
        <v>#DIV/0!</v>
      </c>
      <c r="AJ73" s="118"/>
      <c r="AK73" s="120">
        <f t="shared" si="41"/>
        <v>0</v>
      </c>
      <c r="AL73" s="121" t="e">
        <f t="shared" si="42"/>
        <v>#DIV/0!</v>
      </c>
      <c r="AM73" s="122"/>
      <c r="AN73" s="123">
        <f t="shared" si="43"/>
        <v>0</v>
      </c>
      <c r="AO73" s="124">
        <f t="shared" si="44"/>
        <v>0</v>
      </c>
      <c r="AP73" s="124">
        <f t="shared" si="45"/>
        <v>0</v>
      </c>
      <c r="AQ73" s="124">
        <f t="shared" si="46"/>
        <v>0</v>
      </c>
      <c r="AR73" s="124">
        <f t="shared" si="47"/>
        <v>0</v>
      </c>
      <c r="AS73" s="124" t="e">
        <f t="array" ref="AS73">_xlfn.IFS(S73=0,AL73,S73&lt;0,AL73/-S73,S73&gt;0,AL73/S73)</f>
        <v>#DIV/0!</v>
      </c>
      <c r="AT73" s="119">
        <f t="shared" si="48"/>
        <v>0</v>
      </c>
      <c r="AU73" s="119">
        <f t="shared" si="49"/>
        <v>0</v>
      </c>
      <c r="AV73" s="125"/>
      <c r="AW73" s="120" t="e">
        <f t="shared" si="50"/>
        <v>#DIV/0!</v>
      </c>
    </row>
    <row r="74" spans="1:49" hidden="1" outlineLevel="1">
      <c r="A74" s="114"/>
      <c r="B74" s="115"/>
      <c r="C74" s="115"/>
      <c r="D74" s="116"/>
      <c r="E74" s="117">
        <f t="shared" si="52"/>
        <v>0</v>
      </c>
      <c r="F74" s="117"/>
      <c r="G74" s="117"/>
      <c r="H74" s="117"/>
      <c r="I74" s="117"/>
      <c r="J74" s="117">
        <f t="shared" si="31"/>
        <v>0</v>
      </c>
      <c r="K74" s="114"/>
      <c r="L74" s="114"/>
      <c r="M74" s="114"/>
      <c r="N74" s="114"/>
      <c r="O74" s="117">
        <f t="shared" si="32"/>
        <v>0</v>
      </c>
      <c r="P74" s="117">
        <f t="shared" si="33"/>
        <v>0</v>
      </c>
      <c r="Q74" s="118"/>
      <c r="R74" s="118"/>
      <c r="S74" s="117">
        <f t="shared" si="34"/>
        <v>0</v>
      </c>
      <c r="T74" s="117"/>
      <c r="U74" s="117"/>
      <c r="V74" s="117">
        <f t="shared" si="35"/>
        <v>0</v>
      </c>
      <c r="W74" s="118"/>
      <c r="X74" s="118"/>
      <c r="Y74" s="117">
        <f t="shared" si="36"/>
        <v>0</v>
      </c>
      <c r="Z74" s="117">
        <f t="shared" si="37"/>
        <v>0</v>
      </c>
      <c r="AA74" s="119" t="e">
        <f t="shared" si="51"/>
        <v>#DIV/0!</v>
      </c>
      <c r="AB74" s="117">
        <f t="shared" si="38"/>
        <v>0</v>
      </c>
      <c r="AC74" s="118"/>
      <c r="AD74" s="119">
        <f t="shared" si="39"/>
        <v>0</v>
      </c>
      <c r="AE74" s="118"/>
      <c r="AF74" s="118"/>
      <c r="AG74" s="118"/>
      <c r="AH74" s="118"/>
      <c r="AI74" s="152" t="e">
        <f t="shared" si="40"/>
        <v>#DIV/0!</v>
      </c>
      <c r="AJ74" s="118"/>
      <c r="AK74" s="120">
        <f t="shared" si="41"/>
        <v>0</v>
      </c>
      <c r="AL74" s="121" t="e">
        <f t="shared" si="42"/>
        <v>#DIV/0!</v>
      </c>
      <c r="AM74" s="122"/>
      <c r="AN74" s="123">
        <f t="shared" si="43"/>
        <v>0</v>
      </c>
      <c r="AO74" s="124">
        <f t="shared" si="44"/>
        <v>0</v>
      </c>
      <c r="AP74" s="124">
        <f t="shared" si="45"/>
        <v>0</v>
      </c>
      <c r="AQ74" s="124">
        <f t="shared" si="46"/>
        <v>0</v>
      </c>
      <c r="AR74" s="124">
        <f t="shared" si="47"/>
        <v>0</v>
      </c>
      <c r="AS74" s="124" t="e">
        <f t="array" ref="AS74">_xlfn.IFS(S74=0,AL74,S74&lt;0,AL74/-S74,S74&gt;0,AL74/S74)</f>
        <v>#DIV/0!</v>
      </c>
      <c r="AT74" s="119">
        <f t="shared" si="48"/>
        <v>0</v>
      </c>
      <c r="AU74" s="119">
        <f t="shared" si="49"/>
        <v>0</v>
      </c>
      <c r="AV74" s="125"/>
      <c r="AW74" s="120" t="e">
        <f t="shared" si="50"/>
        <v>#DIV/0!</v>
      </c>
    </row>
    <row r="75" spans="1:49" hidden="1" outlineLevel="1">
      <c r="A75" s="114"/>
      <c r="B75" s="115"/>
      <c r="C75" s="115"/>
      <c r="D75" s="116"/>
      <c r="E75" s="117">
        <f t="shared" si="52"/>
        <v>0</v>
      </c>
      <c r="F75" s="117"/>
      <c r="G75" s="117"/>
      <c r="H75" s="117"/>
      <c r="I75" s="117"/>
      <c r="J75" s="117">
        <f t="shared" si="31"/>
        <v>0</v>
      </c>
      <c r="K75" s="114"/>
      <c r="L75" s="114"/>
      <c r="M75" s="114"/>
      <c r="N75" s="114"/>
      <c r="O75" s="117">
        <f t="shared" si="32"/>
        <v>0</v>
      </c>
      <c r="P75" s="117">
        <f t="shared" si="33"/>
        <v>0</v>
      </c>
      <c r="Q75" s="118"/>
      <c r="R75" s="118"/>
      <c r="S75" s="117">
        <f t="shared" si="34"/>
        <v>0</v>
      </c>
      <c r="T75" s="117"/>
      <c r="U75" s="117"/>
      <c r="V75" s="117">
        <f t="shared" si="35"/>
        <v>0</v>
      </c>
      <c r="W75" s="118"/>
      <c r="X75" s="118"/>
      <c r="Y75" s="117">
        <f t="shared" si="36"/>
        <v>0</v>
      </c>
      <c r="Z75" s="117">
        <f t="shared" si="37"/>
        <v>0</v>
      </c>
      <c r="AA75" s="119" t="e">
        <f t="shared" si="51"/>
        <v>#DIV/0!</v>
      </c>
      <c r="AB75" s="117">
        <f t="shared" si="38"/>
        <v>0</v>
      </c>
      <c r="AC75" s="118"/>
      <c r="AD75" s="119">
        <f t="shared" si="39"/>
        <v>0</v>
      </c>
      <c r="AE75" s="118"/>
      <c r="AF75" s="118"/>
      <c r="AG75" s="118"/>
      <c r="AH75" s="118"/>
      <c r="AI75" s="152" t="e">
        <f t="shared" si="40"/>
        <v>#DIV/0!</v>
      </c>
      <c r="AJ75" s="118"/>
      <c r="AK75" s="120">
        <f t="shared" si="41"/>
        <v>0</v>
      </c>
      <c r="AL75" s="121" t="e">
        <f t="shared" si="42"/>
        <v>#DIV/0!</v>
      </c>
      <c r="AM75" s="122"/>
      <c r="AN75" s="123">
        <f t="shared" si="43"/>
        <v>0</v>
      </c>
      <c r="AO75" s="124">
        <f t="shared" si="44"/>
        <v>0</v>
      </c>
      <c r="AP75" s="124">
        <f t="shared" si="45"/>
        <v>0</v>
      </c>
      <c r="AQ75" s="124">
        <f t="shared" si="46"/>
        <v>0</v>
      </c>
      <c r="AR75" s="124">
        <f t="shared" si="47"/>
        <v>0</v>
      </c>
      <c r="AS75" s="124" t="e">
        <f t="array" ref="AS75">_xlfn.IFS(S75=0,AL75,S75&lt;0,AL75/-S75,S75&gt;0,AL75/S75)</f>
        <v>#DIV/0!</v>
      </c>
      <c r="AT75" s="119">
        <f t="shared" si="48"/>
        <v>0</v>
      </c>
      <c r="AU75" s="119">
        <f t="shared" si="49"/>
        <v>0</v>
      </c>
      <c r="AV75" s="125"/>
      <c r="AW75" s="120" t="e">
        <f t="shared" si="50"/>
        <v>#DIV/0!</v>
      </c>
    </row>
    <row r="76" spans="1:49" hidden="1" outlineLevel="1">
      <c r="A76" s="114"/>
      <c r="B76" s="115"/>
      <c r="C76" s="115"/>
      <c r="D76" s="116"/>
      <c r="E76" s="117">
        <f t="shared" si="52"/>
        <v>0</v>
      </c>
      <c r="F76" s="117"/>
      <c r="G76" s="117"/>
      <c r="H76" s="117"/>
      <c r="I76" s="117"/>
      <c r="J76" s="117">
        <f t="shared" si="31"/>
        <v>0</v>
      </c>
      <c r="K76" s="114"/>
      <c r="L76" s="114"/>
      <c r="M76" s="114"/>
      <c r="N76" s="114"/>
      <c r="O76" s="117">
        <f t="shared" si="32"/>
        <v>0</v>
      </c>
      <c r="P76" s="117">
        <f t="shared" si="33"/>
        <v>0</v>
      </c>
      <c r="Q76" s="118"/>
      <c r="R76" s="118"/>
      <c r="S76" s="117">
        <f t="shared" si="34"/>
        <v>0</v>
      </c>
      <c r="T76" s="117"/>
      <c r="U76" s="117"/>
      <c r="V76" s="117">
        <f t="shared" si="35"/>
        <v>0</v>
      </c>
      <c r="W76" s="118"/>
      <c r="X76" s="118"/>
      <c r="Y76" s="117">
        <f t="shared" si="36"/>
        <v>0</v>
      </c>
      <c r="Z76" s="117">
        <f t="shared" si="37"/>
        <v>0</v>
      </c>
      <c r="AA76" s="119" t="e">
        <f t="shared" si="51"/>
        <v>#DIV/0!</v>
      </c>
      <c r="AB76" s="117">
        <f t="shared" si="38"/>
        <v>0</v>
      </c>
      <c r="AC76" s="118"/>
      <c r="AD76" s="119">
        <f t="shared" si="39"/>
        <v>0</v>
      </c>
      <c r="AE76" s="118"/>
      <c r="AF76" s="118"/>
      <c r="AG76" s="118"/>
      <c r="AH76" s="118"/>
      <c r="AI76" s="152" t="e">
        <f t="shared" si="40"/>
        <v>#DIV/0!</v>
      </c>
      <c r="AJ76" s="118"/>
      <c r="AK76" s="120">
        <f t="shared" si="41"/>
        <v>0</v>
      </c>
      <c r="AL76" s="121" t="e">
        <f t="shared" si="42"/>
        <v>#DIV/0!</v>
      </c>
      <c r="AM76" s="122"/>
      <c r="AN76" s="123">
        <f t="shared" si="43"/>
        <v>0</v>
      </c>
      <c r="AO76" s="124">
        <f t="shared" si="44"/>
        <v>0</v>
      </c>
      <c r="AP76" s="124">
        <f t="shared" si="45"/>
        <v>0</v>
      </c>
      <c r="AQ76" s="124">
        <f t="shared" si="46"/>
        <v>0</v>
      </c>
      <c r="AR76" s="124">
        <f t="shared" si="47"/>
        <v>0</v>
      </c>
      <c r="AS76" s="124" t="e">
        <f t="array" ref="AS76">_xlfn.IFS(S76=0,AL76,S76&lt;0,AL76/-S76,S76&gt;0,AL76/S76)</f>
        <v>#DIV/0!</v>
      </c>
      <c r="AT76" s="119">
        <f t="shared" si="48"/>
        <v>0</v>
      </c>
      <c r="AU76" s="119">
        <f t="shared" si="49"/>
        <v>0</v>
      </c>
      <c r="AV76" s="125"/>
      <c r="AW76" s="120" t="e">
        <f t="shared" si="50"/>
        <v>#DIV/0!</v>
      </c>
    </row>
    <row r="77" spans="1:49" hidden="1" outlineLevel="1">
      <c r="A77" s="114"/>
      <c r="B77" s="115"/>
      <c r="C77" s="115"/>
      <c r="D77" s="116"/>
      <c r="E77" s="117">
        <f t="shared" si="52"/>
        <v>0</v>
      </c>
      <c r="F77" s="117"/>
      <c r="G77" s="117"/>
      <c r="H77" s="117"/>
      <c r="I77" s="117"/>
      <c r="J77" s="117">
        <f t="shared" si="31"/>
        <v>0</v>
      </c>
      <c r="K77" s="114"/>
      <c r="L77" s="114"/>
      <c r="M77" s="114"/>
      <c r="N77" s="114"/>
      <c r="O77" s="117">
        <f t="shared" si="32"/>
        <v>0</v>
      </c>
      <c r="P77" s="117">
        <f t="shared" si="33"/>
        <v>0</v>
      </c>
      <c r="Q77" s="118"/>
      <c r="R77" s="118"/>
      <c r="S77" s="117">
        <f t="shared" si="34"/>
        <v>0</v>
      </c>
      <c r="T77" s="117"/>
      <c r="U77" s="117"/>
      <c r="V77" s="117">
        <f t="shared" si="35"/>
        <v>0</v>
      </c>
      <c r="W77" s="118"/>
      <c r="X77" s="118"/>
      <c r="Y77" s="117">
        <f t="shared" si="36"/>
        <v>0</v>
      </c>
      <c r="Z77" s="117">
        <f t="shared" si="37"/>
        <v>0</v>
      </c>
      <c r="AA77" s="119" t="e">
        <f t="shared" si="51"/>
        <v>#DIV/0!</v>
      </c>
      <c r="AB77" s="117">
        <f t="shared" si="38"/>
        <v>0</v>
      </c>
      <c r="AC77" s="118"/>
      <c r="AD77" s="119">
        <f t="shared" si="39"/>
        <v>0</v>
      </c>
      <c r="AE77" s="118"/>
      <c r="AF77" s="118"/>
      <c r="AG77" s="118"/>
      <c r="AH77" s="118"/>
      <c r="AI77" s="152" t="e">
        <f t="shared" si="40"/>
        <v>#DIV/0!</v>
      </c>
      <c r="AJ77" s="118"/>
      <c r="AK77" s="120">
        <f t="shared" si="41"/>
        <v>0</v>
      </c>
      <c r="AL77" s="121" t="e">
        <f t="shared" si="42"/>
        <v>#DIV/0!</v>
      </c>
      <c r="AM77" s="122"/>
      <c r="AN77" s="123">
        <f t="shared" si="43"/>
        <v>0</v>
      </c>
      <c r="AO77" s="124">
        <f t="shared" si="44"/>
        <v>0</v>
      </c>
      <c r="AP77" s="124">
        <f t="shared" si="45"/>
        <v>0</v>
      </c>
      <c r="AQ77" s="124">
        <f t="shared" si="46"/>
        <v>0</v>
      </c>
      <c r="AR77" s="124">
        <f t="shared" si="47"/>
        <v>0</v>
      </c>
      <c r="AS77" s="124" t="e">
        <f t="array" ref="AS77">_xlfn.IFS(S77=0,AL77,S77&lt;0,AL77/-S77,S77&gt;0,AL77/S77)</f>
        <v>#DIV/0!</v>
      </c>
      <c r="AT77" s="119">
        <f t="shared" si="48"/>
        <v>0</v>
      </c>
      <c r="AU77" s="119">
        <f t="shared" si="49"/>
        <v>0</v>
      </c>
      <c r="AV77" s="125"/>
      <c r="AW77" s="120" t="e">
        <f t="shared" si="50"/>
        <v>#DIV/0!</v>
      </c>
    </row>
    <row r="78" spans="1:49" hidden="1" outlineLevel="1">
      <c r="A78" s="114"/>
      <c r="B78" s="115"/>
      <c r="C78" s="115"/>
      <c r="D78" s="116"/>
      <c r="E78" s="117">
        <f t="shared" si="52"/>
        <v>0</v>
      </c>
      <c r="F78" s="117"/>
      <c r="G78" s="117"/>
      <c r="H78" s="117"/>
      <c r="I78" s="117"/>
      <c r="J78" s="117">
        <f t="shared" si="31"/>
        <v>0</v>
      </c>
      <c r="K78" s="114"/>
      <c r="L78" s="114"/>
      <c r="M78" s="114"/>
      <c r="N78" s="114"/>
      <c r="O78" s="117">
        <f t="shared" si="32"/>
        <v>0</v>
      </c>
      <c r="P78" s="117">
        <f t="shared" si="33"/>
        <v>0</v>
      </c>
      <c r="Q78" s="118"/>
      <c r="R78" s="118"/>
      <c r="S78" s="117">
        <f t="shared" si="34"/>
        <v>0</v>
      </c>
      <c r="T78" s="117"/>
      <c r="U78" s="117"/>
      <c r="V78" s="117">
        <f t="shared" si="35"/>
        <v>0</v>
      </c>
      <c r="W78" s="118"/>
      <c r="X78" s="118"/>
      <c r="Y78" s="117">
        <f t="shared" si="36"/>
        <v>0</v>
      </c>
      <c r="Z78" s="117">
        <f t="shared" si="37"/>
        <v>0</v>
      </c>
      <c r="AA78" s="119" t="e">
        <f t="shared" si="51"/>
        <v>#DIV/0!</v>
      </c>
      <c r="AB78" s="117">
        <f t="shared" si="38"/>
        <v>0</v>
      </c>
      <c r="AC78" s="118"/>
      <c r="AD78" s="119">
        <f t="shared" si="39"/>
        <v>0</v>
      </c>
      <c r="AE78" s="118"/>
      <c r="AF78" s="118"/>
      <c r="AG78" s="118"/>
      <c r="AH78" s="118"/>
      <c r="AI78" s="152" t="e">
        <f t="shared" si="40"/>
        <v>#DIV/0!</v>
      </c>
      <c r="AJ78" s="118"/>
      <c r="AK78" s="120">
        <f t="shared" si="41"/>
        <v>0</v>
      </c>
      <c r="AL78" s="121" t="e">
        <f t="shared" si="42"/>
        <v>#DIV/0!</v>
      </c>
      <c r="AM78" s="122"/>
      <c r="AN78" s="123">
        <f t="shared" si="43"/>
        <v>0</v>
      </c>
      <c r="AO78" s="124">
        <f t="shared" si="44"/>
        <v>0</v>
      </c>
      <c r="AP78" s="124">
        <f t="shared" si="45"/>
        <v>0</v>
      </c>
      <c r="AQ78" s="124">
        <f t="shared" si="46"/>
        <v>0</v>
      </c>
      <c r="AR78" s="124">
        <f t="shared" si="47"/>
        <v>0</v>
      </c>
      <c r="AS78" s="124" t="e">
        <f t="array" ref="AS78">_xlfn.IFS(S78=0,AL78,S78&lt;0,AL78/-S78,S78&gt;0,AL78/S78)</f>
        <v>#DIV/0!</v>
      </c>
      <c r="AT78" s="119">
        <f t="shared" si="48"/>
        <v>0</v>
      </c>
      <c r="AU78" s="119">
        <f t="shared" si="49"/>
        <v>0</v>
      </c>
      <c r="AV78" s="125"/>
      <c r="AW78" s="120" t="e">
        <f t="shared" si="50"/>
        <v>#DIV/0!</v>
      </c>
    </row>
    <row r="79" spans="1:49" hidden="1" outlineLevel="1">
      <c r="A79" s="114"/>
      <c r="B79" s="115"/>
      <c r="C79" s="115"/>
      <c r="D79" s="116"/>
      <c r="E79" s="117">
        <f t="shared" si="52"/>
        <v>0</v>
      </c>
      <c r="F79" s="117"/>
      <c r="G79" s="117"/>
      <c r="H79" s="117"/>
      <c r="I79" s="117"/>
      <c r="J79" s="117">
        <f t="shared" si="31"/>
        <v>0</v>
      </c>
      <c r="K79" s="114"/>
      <c r="L79" s="114"/>
      <c r="M79" s="114"/>
      <c r="N79" s="114"/>
      <c r="O79" s="117">
        <f t="shared" si="32"/>
        <v>0</v>
      </c>
      <c r="P79" s="117">
        <f t="shared" si="33"/>
        <v>0</v>
      </c>
      <c r="Q79" s="118"/>
      <c r="R79" s="118"/>
      <c r="S79" s="117">
        <f t="shared" si="34"/>
        <v>0</v>
      </c>
      <c r="T79" s="117"/>
      <c r="U79" s="117"/>
      <c r="V79" s="117">
        <f t="shared" si="35"/>
        <v>0</v>
      </c>
      <c r="W79" s="118"/>
      <c r="X79" s="118"/>
      <c r="Y79" s="117">
        <f t="shared" si="36"/>
        <v>0</v>
      </c>
      <c r="Z79" s="117">
        <f t="shared" si="37"/>
        <v>0</v>
      </c>
      <c r="AA79" s="119" t="e">
        <f t="shared" si="51"/>
        <v>#DIV/0!</v>
      </c>
      <c r="AB79" s="117">
        <f t="shared" si="38"/>
        <v>0</v>
      </c>
      <c r="AC79" s="118"/>
      <c r="AD79" s="119">
        <f t="shared" si="39"/>
        <v>0</v>
      </c>
      <c r="AE79" s="118"/>
      <c r="AF79" s="118"/>
      <c r="AG79" s="118"/>
      <c r="AH79" s="118"/>
      <c r="AI79" s="152" t="e">
        <f t="shared" si="40"/>
        <v>#DIV/0!</v>
      </c>
      <c r="AJ79" s="118"/>
      <c r="AK79" s="120">
        <f t="shared" si="41"/>
        <v>0</v>
      </c>
      <c r="AL79" s="121" t="e">
        <f t="shared" si="42"/>
        <v>#DIV/0!</v>
      </c>
      <c r="AM79" s="122"/>
      <c r="AN79" s="123">
        <f t="shared" si="43"/>
        <v>0</v>
      </c>
      <c r="AO79" s="124">
        <f t="shared" si="44"/>
        <v>0</v>
      </c>
      <c r="AP79" s="124">
        <f t="shared" si="45"/>
        <v>0</v>
      </c>
      <c r="AQ79" s="124">
        <f t="shared" si="46"/>
        <v>0</v>
      </c>
      <c r="AR79" s="124">
        <f t="shared" si="47"/>
        <v>0</v>
      </c>
      <c r="AS79" s="124" t="e">
        <f t="array" ref="AS79">_xlfn.IFS(S79=0,AL79,S79&lt;0,AL79/-S79,S79&gt;0,AL79/S79)</f>
        <v>#DIV/0!</v>
      </c>
      <c r="AT79" s="119">
        <f t="shared" si="48"/>
        <v>0</v>
      </c>
      <c r="AU79" s="119">
        <f t="shared" si="49"/>
        <v>0</v>
      </c>
      <c r="AV79" s="125"/>
      <c r="AW79" s="120" t="e">
        <f t="shared" si="50"/>
        <v>#DIV/0!</v>
      </c>
    </row>
    <row r="80" spans="1:49" hidden="1" outlineLevel="1">
      <c r="A80" s="114"/>
      <c r="B80" s="115"/>
      <c r="C80" s="115"/>
      <c r="D80" s="116"/>
      <c r="E80" s="117">
        <f t="shared" si="52"/>
        <v>0</v>
      </c>
      <c r="F80" s="117"/>
      <c r="G80" s="117"/>
      <c r="H80" s="117"/>
      <c r="I80" s="117"/>
      <c r="J80" s="117">
        <f t="shared" si="31"/>
        <v>0</v>
      </c>
      <c r="K80" s="114"/>
      <c r="L80" s="114"/>
      <c r="M80" s="114"/>
      <c r="N80" s="114"/>
      <c r="O80" s="117">
        <f t="shared" si="32"/>
        <v>0</v>
      </c>
      <c r="P80" s="117">
        <f t="shared" si="33"/>
        <v>0</v>
      </c>
      <c r="Q80" s="118"/>
      <c r="R80" s="118"/>
      <c r="S80" s="117">
        <f t="shared" si="34"/>
        <v>0</v>
      </c>
      <c r="T80" s="117"/>
      <c r="U80" s="117"/>
      <c r="V80" s="117">
        <f t="shared" si="35"/>
        <v>0</v>
      </c>
      <c r="W80" s="118"/>
      <c r="X80" s="118"/>
      <c r="Y80" s="117">
        <f t="shared" si="36"/>
        <v>0</v>
      </c>
      <c r="Z80" s="117">
        <f t="shared" si="37"/>
        <v>0</v>
      </c>
      <c r="AA80" s="119" t="e">
        <f t="shared" si="51"/>
        <v>#DIV/0!</v>
      </c>
      <c r="AB80" s="117">
        <f t="shared" si="38"/>
        <v>0</v>
      </c>
      <c r="AC80" s="118"/>
      <c r="AD80" s="119">
        <f t="shared" si="39"/>
        <v>0</v>
      </c>
      <c r="AE80" s="118"/>
      <c r="AF80" s="118"/>
      <c r="AG80" s="118"/>
      <c r="AH80" s="118"/>
      <c r="AI80" s="152" t="e">
        <f t="shared" si="40"/>
        <v>#DIV/0!</v>
      </c>
      <c r="AJ80" s="118"/>
      <c r="AK80" s="120">
        <f t="shared" si="41"/>
        <v>0</v>
      </c>
      <c r="AL80" s="121" t="e">
        <f t="shared" si="42"/>
        <v>#DIV/0!</v>
      </c>
      <c r="AM80" s="122"/>
      <c r="AN80" s="123">
        <f t="shared" si="43"/>
        <v>0</v>
      </c>
      <c r="AO80" s="124">
        <f t="shared" si="44"/>
        <v>0</v>
      </c>
      <c r="AP80" s="124">
        <f t="shared" si="45"/>
        <v>0</v>
      </c>
      <c r="AQ80" s="124">
        <f t="shared" si="46"/>
        <v>0</v>
      </c>
      <c r="AR80" s="124">
        <f t="shared" si="47"/>
        <v>0</v>
      </c>
      <c r="AS80" s="124" t="e">
        <f t="array" ref="AS80">_xlfn.IFS(S80=0,AL80,S80&lt;0,AL80/-S80,S80&gt;0,AL80/S80)</f>
        <v>#DIV/0!</v>
      </c>
      <c r="AT80" s="119">
        <f t="shared" si="48"/>
        <v>0</v>
      </c>
      <c r="AU80" s="119">
        <f t="shared" si="49"/>
        <v>0</v>
      </c>
      <c r="AV80" s="125"/>
      <c r="AW80" s="120" t="e">
        <f t="shared" si="50"/>
        <v>#DIV/0!</v>
      </c>
    </row>
    <row r="81" spans="1:49" hidden="1" outlineLevel="1">
      <c r="A81" s="114"/>
      <c r="B81" s="115"/>
      <c r="C81" s="115"/>
      <c r="D81" s="116"/>
      <c r="E81" s="117">
        <f t="shared" si="52"/>
        <v>0</v>
      </c>
      <c r="F81" s="117"/>
      <c r="G81" s="117"/>
      <c r="H81" s="117"/>
      <c r="I81" s="117"/>
      <c r="J81" s="117">
        <f t="shared" si="31"/>
        <v>0</v>
      </c>
      <c r="K81" s="114"/>
      <c r="L81" s="114"/>
      <c r="M81" s="114"/>
      <c r="N81" s="114"/>
      <c r="O81" s="117">
        <f t="shared" si="32"/>
        <v>0</v>
      </c>
      <c r="P81" s="117">
        <f t="shared" si="33"/>
        <v>0</v>
      </c>
      <c r="Q81" s="118"/>
      <c r="R81" s="118"/>
      <c r="S81" s="117">
        <f t="shared" si="34"/>
        <v>0</v>
      </c>
      <c r="T81" s="117"/>
      <c r="U81" s="117"/>
      <c r="V81" s="117">
        <f t="shared" si="35"/>
        <v>0</v>
      </c>
      <c r="W81" s="118"/>
      <c r="X81" s="118"/>
      <c r="Y81" s="117">
        <f t="shared" si="36"/>
        <v>0</v>
      </c>
      <c r="Z81" s="117">
        <f t="shared" si="37"/>
        <v>0</v>
      </c>
      <c r="AA81" s="119" t="e">
        <f t="shared" si="51"/>
        <v>#DIV/0!</v>
      </c>
      <c r="AB81" s="117">
        <f t="shared" si="38"/>
        <v>0</v>
      </c>
      <c r="AC81" s="118"/>
      <c r="AD81" s="119">
        <f t="shared" si="39"/>
        <v>0</v>
      </c>
      <c r="AE81" s="118"/>
      <c r="AF81" s="118"/>
      <c r="AG81" s="118"/>
      <c r="AH81" s="118"/>
      <c r="AI81" s="152" t="e">
        <f t="shared" si="40"/>
        <v>#DIV/0!</v>
      </c>
      <c r="AJ81" s="118"/>
      <c r="AK81" s="120">
        <f t="shared" si="41"/>
        <v>0</v>
      </c>
      <c r="AL81" s="121" t="e">
        <f t="shared" si="42"/>
        <v>#DIV/0!</v>
      </c>
      <c r="AM81" s="122"/>
      <c r="AN81" s="123">
        <f t="shared" si="43"/>
        <v>0</v>
      </c>
      <c r="AO81" s="124">
        <f t="shared" si="44"/>
        <v>0</v>
      </c>
      <c r="AP81" s="124">
        <f t="shared" si="45"/>
        <v>0</v>
      </c>
      <c r="AQ81" s="124">
        <f t="shared" si="46"/>
        <v>0</v>
      </c>
      <c r="AR81" s="124">
        <f t="shared" si="47"/>
        <v>0</v>
      </c>
      <c r="AS81" s="124" t="e">
        <f t="array" ref="AS81">_xlfn.IFS(S81=0,AL81,S81&lt;0,AL81/-S81,S81&gt;0,AL81/S81)</f>
        <v>#DIV/0!</v>
      </c>
      <c r="AT81" s="119">
        <f t="shared" si="48"/>
        <v>0</v>
      </c>
      <c r="AU81" s="119">
        <f t="shared" si="49"/>
        <v>0</v>
      </c>
      <c r="AV81" s="125"/>
      <c r="AW81" s="120" t="e">
        <f t="shared" si="50"/>
        <v>#DIV/0!</v>
      </c>
    </row>
    <row r="82" spans="1:49" hidden="1" outlineLevel="1">
      <c r="A82" s="114"/>
      <c r="B82" s="115"/>
      <c r="C82" s="115"/>
      <c r="D82" s="149"/>
      <c r="E82" s="118">
        <f t="shared" si="52"/>
        <v>0</v>
      </c>
      <c r="F82" s="117"/>
      <c r="G82" s="117"/>
      <c r="H82" s="117"/>
      <c r="I82" s="117"/>
      <c r="J82" s="117">
        <f t="shared" si="31"/>
        <v>0</v>
      </c>
      <c r="K82" s="114"/>
      <c r="L82" s="114"/>
      <c r="M82" s="114"/>
      <c r="N82" s="114"/>
      <c r="O82" s="117">
        <f t="shared" si="32"/>
        <v>0</v>
      </c>
      <c r="P82" s="117">
        <f t="shared" si="33"/>
        <v>0</v>
      </c>
      <c r="Q82" s="118"/>
      <c r="R82" s="118"/>
      <c r="S82" s="117">
        <f t="shared" si="34"/>
        <v>0</v>
      </c>
      <c r="T82" s="117"/>
      <c r="U82" s="117"/>
      <c r="V82" s="117">
        <f t="shared" si="35"/>
        <v>0</v>
      </c>
      <c r="W82" s="118"/>
      <c r="X82" s="118"/>
      <c r="Y82" s="117">
        <f t="shared" si="36"/>
        <v>0</v>
      </c>
      <c r="Z82" s="117">
        <f t="shared" si="37"/>
        <v>0</v>
      </c>
      <c r="AA82" s="119" t="e">
        <f t="shared" si="51"/>
        <v>#DIV/0!</v>
      </c>
      <c r="AB82" s="117">
        <f t="shared" si="38"/>
        <v>0</v>
      </c>
      <c r="AC82" s="118"/>
      <c r="AD82" s="119">
        <f t="shared" si="39"/>
        <v>0</v>
      </c>
      <c r="AE82" s="118"/>
      <c r="AF82" s="118"/>
      <c r="AG82" s="118"/>
      <c r="AH82" s="118"/>
      <c r="AI82" s="152" t="e">
        <f t="shared" si="40"/>
        <v>#DIV/0!</v>
      </c>
      <c r="AJ82" s="118"/>
      <c r="AK82" s="120">
        <f t="shared" si="41"/>
        <v>0</v>
      </c>
      <c r="AL82" s="121" t="e">
        <f t="shared" si="42"/>
        <v>#DIV/0!</v>
      </c>
      <c r="AM82" s="122"/>
      <c r="AN82" s="123">
        <f t="shared" si="43"/>
        <v>0</v>
      </c>
      <c r="AO82" s="124">
        <f t="shared" si="44"/>
        <v>0</v>
      </c>
      <c r="AP82" s="124">
        <f t="shared" si="45"/>
        <v>0</v>
      </c>
      <c r="AQ82" s="124">
        <f t="shared" si="46"/>
        <v>0</v>
      </c>
      <c r="AR82" s="124">
        <f t="shared" si="47"/>
        <v>0</v>
      </c>
      <c r="AS82" s="124" t="e">
        <f t="array" ref="AS82">_xlfn.IFS(S82=0,AL82,S82&lt;0,AL82/-S82,S82&gt;0,AL82/S82)</f>
        <v>#DIV/0!</v>
      </c>
      <c r="AT82" s="119">
        <f t="shared" si="48"/>
        <v>0</v>
      </c>
      <c r="AU82" s="119">
        <f t="shared" si="49"/>
        <v>0</v>
      </c>
      <c r="AV82" s="125"/>
      <c r="AW82" s="120" t="e">
        <f t="shared" si="50"/>
        <v>#DIV/0!</v>
      </c>
    </row>
    <row r="83" spans="1:49" hidden="1" outlineLevel="1">
      <c r="A83" s="114"/>
      <c r="B83" s="115"/>
      <c r="C83" s="115"/>
      <c r="D83" s="149"/>
      <c r="E83" s="118">
        <f t="shared" si="52"/>
        <v>0</v>
      </c>
      <c r="F83" s="117"/>
      <c r="G83" s="117"/>
      <c r="H83" s="117"/>
      <c r="I83" s="117"/>
      <c r="J83" s="117">
        <f t="shared" si="31"/>
        <v>0</v>
      </c>
      <c r="K83" s="114"/>
      <c r="L83" s="114"/>
      <c r="M83" s="114"/>
      <c r="N83" s="114"/>
      <c r="O83" s="117">
        <f t="shared" si="32"/>
        <v>0</v>
      </c>
      <c r="P83" s="117">
        <f t="shared" si="33"/>
        <v>0</v>
      </c>
      <c r="Q83" s="118"/>
      <c r="R83" s="118"/>
      <c r="S83" s="117">
        <f t="shared" si="34"/>
        <v>0</v>
      </c>
      <c r="T83" s="117"/>
      <c r="U83" s="117"/>
      <c r="V83" s="117">
        <f t="shared" si="35"/>
        <v>0</v>
      </c>
      <c r="W83" s="118"/>
      <c r="X83" s="118"/>
      <c r="Y83" s="117">
        <f t="shared" si="36"/>
        <v>0</v>
      </c>
      <c r="Z83" s="117">
        <f t="shared" si="37"/>
        <v>0</v>
      </c>
      <c r="AA83" s="119" t="e">
        <f t="shared" si="51"/>
        <v>#DIV/0!</v>
      </c>
      <c r="AB83" s="117">
        <f t="shared" si="38"/>
        <v>0</v>
      </c>
      <c r="AC83" s="118"/>
      <c r="AD83" s="119">
        <f t="shared" si="39"/>
        <v>0</v>
      </c>
      <c r="AE83" s="118"/>
      <c r="AF83" s="118"/>
      <c r="AG83" s="118"/>
      <c r="AH83" s="118"/>
      <c r="AI83" s="152" t="e">
        <f t="shared" si="40"/>
        <v>#DIV/0!</v>
      </c>
      <c r="AJ83" s="118"/>
      <c r="AK83" s="120">
        <f t="shared" si="41"/>
        <v>0</v>
      </c>
      <c r="AL83" s="121" t="e">
        <f t="shared" si="42"/>
        <v>#DIV/0!</v>
      </c>
      <c r="AM83" s="122"/>
      <c r="AN83" s="123">
        <f t="shared" si="43"/>
        <v>0</v>
      </c>
      <c r="AO83" s="124">
        <f t="shared" si="44"/>
        <v>0</v>
      </c>
      <c r="AP83" s="124">
        <f t="shared" si="45"/>
        <v>0</v>
      </c>
      <c r="AQ83" s="124">
        <f t="shared" si="46"/>
        <v>0</v>
      </c>
      <c r="AR83" s="124">
        <f t="shared" si="47"/>
        <v>0</v>
      </c>
      <c r="AS83" s="124" t="e">
        <f t="array" ref="AS83">_xlfn.IFS(S83=0,AL83,S83&lt;0,AL83/-S83,S83&gt;0,AL83/S83)</f>
        <v>#DIV/0!</v>
      </c>
      <c r="AT83" s="119">
        <f t="shared" si="48"/>
        <v>0</v>
      </c>
      <c r="AU83" s="119">
        <f t="shared" si="49"/>
        <v>0</v>
      </c>
      <c r="AV83" s="125"/>
      <c r="AW83" s="120" t="e">
        <f t="shared" si="50"/>
        <v>#DIV/0!</v>
      </c>
    </row>
    <row r="84" spans="1:49" hidden="1" outlineLevel="1">
      <c r="A84" s="114"/>
      <c r="B84" s="115"/>
      <c r="C84" s="115"/>
      <c r="D84" s="149"/>
      <c r="E84" s="118">
        <f t="shared" si="52"/>
        <v>0</v>
      </c>
      <c r="F84" s="117"/>
      <c r="G84" s="117"/>
      <c r="H84" s="117"/>
      <c r="I84" s="117"/>
      <c r="J84" s="117">
        <f t="shared" si="31"/>
        <v>0</v>
      </c>
      <c r="K84" s="114"/>
      <c r="L84" s="114"/>
      <c r="M84" s="114"/>
      <c r="N84" s="114"/>
      <c r="O84" s="117">
        <f t="shared" si="32"/>
        <v>0</v>
      </c>
      <c r="P84" s="117">
        <f t="shared" si="33"/>
        <v>0</v>
      </c>
      <c r="Q84" s="118"/>
      <c r="R84" s="118"/>
      <c r="S84" s="117">
        <f t="shared" si="34"/>
        <v>0</v>
      </c>
      <c r="T84" s="117"/>
      <c r="U84" s="117"/>
      <c r="V84" s="117">
        <f t="shared" si="35"/>
        <v>0</v>
      </c>
      <c r="W84" s="118"/>
      <c r="X84" s="118"/>
      <c r="Y84" s="117">
        <f t="shared" si="36"/>
        <v>0</v>
      </c>
      <c r="Z84" s="117">
        <f t="shared" si="37"/>
        <v>0</v>
      </c>
      <c r="AA84" s="119" t="e">
        <f t="shared" si="51"/>
        <v>#DIV/0!</v>
      </c>
      <c r="AB84" s="117">
        <f t="shared" si="38"/>
        <v>0</v>
      </c>
      <c r="AC84" s="118"/>
      <c r="AD84" s="119">
        <f t="shared" si="39"/>
        <v>0</v>
      </c>
      <c r="AE84" s="118"/>
      <c r="AF84" s="118"/>
      <c r="AG84" s="118"/>
      <c r="AH84" s="118"/>
      <c r="AI84" s="152" t="e">
        <f t="shared" si="40"/>
        <v>#DIV/0!</v>
      </c>
      <c r="AJ84" s="118"/>
      <c r="AK84" s="120">
        <f t="shared" si="41"/>
        <v>0</v>
      </c>
      <c r="AL84" s="121" t="e">
        <f t="shared" si="42"/>
        <v>#DIV/0!</v>
      </c>
      <c r="AM84" s="122"/>
      <c r="AN84" s="123">
        <f t="shared" si="43"/>
        <v>0</v>
      </c>
      <c r="AO84" s="124">
        <f t="shared" si="44"/>
        <v>0</v>
      </c>
      <c r="AP84" s="124">
        <f t="shared" si="45"/>
        <v>0</v>
      </c>
      <c r="AQ84" s="124">
        <f t="shared" si="46"/>
        <v>0</v>
      </c>
      <c r="AR84" s="124">
        <f t="shared" si="47"/>
        <v>0</v>
      </c>
      <c r="AS84" s="124" t="e">
        <f t="array" ref="AS84">_xlfn.IFS(S84=0,AL84,S84&lt;0,AL84/-S84,S84&gt;0,AL84/S84)</f>
        <v>#DIV/0!</v>
      </c>
      <c r="AT84" s="119">
        <f t="shared" si="48"/>
        <v>0</v>
      </c>
      <c r="AU84" s="119">
        <f t="shared" si="49"/>
        <v>0</v>
      </c>
      <c r="AV84" s="125"/>
      <c r="AW84" s="120" t="e">
        <f t="shared" si="50"/>
        <v>#DIV/0!</v>
      </c>
    </row>
    <row r="85" spans="1:49" hidden="1" outlineLevel="1">
      <c r="A85" s="114"/>
      <c r="B85" s="115"/>
      <c r="C85" s="115"/>
      <c r="D85" s="149"/>
      <c r="E85" s="118">
        <f t="shared" si="52"/>
        <v>0</v>
      </c>
      <c r="F85" s="117"/>
      <c r="G85" s="117"/>
      <c r="H85" s="117"/>
      <c r="I85" s="117"/>
      <c r="J85" s="117">
        <f t="shared" si="31"/>
        <v>0</v>
      </c>
      <c r="K85" s="114"/>
      <c r="L85" s="114"/>
      <c r="M85" s="114"/>
      <c r="N85" s="114"/>
      <c r="O85" s="117">
        <f t="shared" si="32"/>
        <v>0</v>
      </c>
      <c r="P85" s="117">
        <f t="shared" si="33"/>
        <v>0</v>
      </c>
      <c r="Q85" s="118"/>
      <c r="R85" s="118"/>
      <c r="S85" s="117">
        <f t="shared" si="34"/>
        <v>0</v>
      </c>
      <c r="T85" s="117"/>
      <c r="U85" s="117"/>
      <c r="V85" s="117">
        <f t="shared" si="35"/>
        <v>0</v>
      </c>
      <c r="W85" s="118"/>
      <c r="X85" s="118"/>
      <c r="Y85" s="117">
        <f t="shared" si="36"/>
        <v>0</v>
      </c>
      <c r="Z85" s="117">
        <f>L85*M85*N85/100</f>
        <v>0</v>
      </c>
      <c r="AA85" s="119" t="e">
        <f t="shared" si="51"/>
        <v>#DIV/0!</v>
      </c>
      <c r="AB85" s="117">
        <f t="shared" si="38"/>
        <v>0</v>
      </c>
      <c r="AC85" s="118"/>
      <c r="AD85" s="119">
        <f t="shared" si="39"/>
        <v>0</v>
      </c>
      <c r="AE85" s="118"/>
      <c r="AF85" s="118"/>
      <c r="AG85" s="118"/>
      <c r="AH85" s="118"/>
      <c r="AI85" s="152" t="e">
        <f t="shared" si="40"/>
        <v>#DIV/0!</v>
      </c>
      <c r="AJ85" s="118"/>
      <c r="AK85" s="120">
        <f t="shared" si="41"/>
        <v>0</v>
      </c>
      <c r="AL85" s="121" t="e">
        <f t="shared" si="42"/>
        <v>#DIV/0!</v>
      </c>
      <c r="AM85" s="122"/>
      <c r="AN85" s="123">
        <f t="shared" si="43"/>
        <v>0</v>
      </c>
      <c r="AO85" s="124">
        <f t="shared" si="44"/>
        <v>0</v>
      </c>
      <c r="AP85" s="124">
        <f t="shared" si="45"/>
        <v>0</v>
      </c>
      <c r="AQ85" s="124">
        <f t="shared" si="46"/>
        <v>0</v>
      </c>
      <c r="AR85" s="124">
        <f t="shared" si="47"/>
        <v>0</v>
      </c>
      <c r="AS85" s="124" t="e">
        <f t="array" ref="AS85">_xlfn.IFS(S85=0,AL85,S85&lt;0,AL85/-S85,S85&gt;0,AL85/S85)</f>
        <v>#DIV/0!</v>
      </c>
      <c r="AT85" s="119">
        <f t="shared" si="48"/>
        <v>0</v>
      </c>
      <c r="AU85" s="119">
        <f t="shared" si="49"/>
        <v>0</v>
      </c>
      <c r="AV85" s="125"/>
      <c r="AW85" s="120" t="e">
        <f t="shared" si="50"/>
        <v>#DIV/0!</v>
      </c>
    </row>
    <row r="86" spans="1:49" hidden="1" outlineLevel="1">
      <c r="A86" s="114"/>
      <c r="B86" s="115"/>
      <c r="C86" s="115"/>
      <c r="D86" s="149"/>
      <c r="E86" s="118">
        <f t="shared" si="52"/>
        <v>0</v>
      </c>
      <c r="F86" s="117"/>
      <c r="G86" s="117"/>
      <c r="H86" s="117"/>
      <c r="I86" s="117"/>
      <c r="J86" s="117">
        <f t="shared" si="31"/>
        <v>0</v>
      </c>
      <c r="K86" s="114"/>
      <c r="L86" s="114"/>
      <c r="M86" s="114"/>
      <c r="N86" s="114"/>
      <c r="O86" s="117">
        <f t="shared" si="32"/>
        <v>0</v>
      </c>
      <c r="P86" s="117">
        <f t="shared" si="33"/>
        <v>0</v>
      </c>
      <c r="Q86" s="118"/>
      <c r="R86" s="118"/>
      <c r="S86" s="117">
        <f t="shared" si="34"/>
        <v>0</v>
      </c>
      <c r="T86" s="117"/>
      <c r="U86" s="117"/>
      <c r="V86" s="117">
        <f t="shared" si="35"/>
        <v>0</v>
      </c>
      <c r="W86" s="118"/>
      <c r="X86" s="118"/>
      <c r="Y86" s="117">
        <f t="shared" si="36"/>
        <v>0</v>
      </c>
      <c r="Z86" s="117">
        <f t="shared" ref="Z86:Z89" si="53">L86*M86*N86/100</f>
        <v>0</v>
      </c>
      <c r="AA86" s="119" t="e">
        <f t="shared" si="51"/>
        <v>#DIV/0!</v>
      </c>
      <c r="AB86" s="117">
        <f t="shared" si="38"/>
        <v>0</v>
      </c>
      <c r="AC86" s="118"/>
      <c r="AD86" s="119">
        <f t="shared" si="39"/>
        <v>0</v>
      </c>
      <c r="AE86" s="118"/>
      <c r="AF86" s="118"/>
      <c r="AG86" s="118"/>
      <c r="AH86" s="118"/>
      <c r="AI86" s="152" t="e">
        <f t="shared" si="40"/>
        <v>#DIV/0!</v>
      </c>
      <c r="AJ86" s="118"/>
      <c r="AK86" s="120">
        <f t="shared" si="41"/>
        <v>0</v>
      </c>
      <c r="AL86" s="121" t="e">
        <f t="shared" si="42"/>
        <v>#DIV/0!</v>
      </c>
      <c r="AM86" s="122"/>
      <c r="AN86" s="123">
        <f t="shared" si="43"/>
        <v>0</v>
      </c>
      <c r="AO86" s="124">
        <f t="shared" si="44"/>
        <v>0</v>
      </c>
      <c r="AP86" s="124">
        <f t="shared" si="45"/>
        <v>0</v>
      </c>
      <c r="AQ86" s="124">
        <f t="shared" si="46"/>
        <v>0</v>
      </c>
      <c r="AR86" s="124">
        <f t="shared" si="47"/>
        <v>0</v>
      </c>
      <c r="AS86" s="124" t="e">
        <f t="array" ref="AS86">_xlfn.IFS(S86=0,AL86,S86&lt;0,AL86/-S86,S86&gt;0,AL86/S86)</f>
        <v>#DIV/0!</v>
      </c>
      <c r="AT86" s="119">
        <f t="shared" si="48"/>
        <v>0</v>
      </c>
      <c r="AU86" s="119">
        <f t="shared" si="49"/>
        <v>0</v>
      </c>
      <c r="AV86" s="125"/>
      <c r="AW86" s="120" t="e">
        <f t="shared" si="50"/>
        <v>#DIV/0!</v>
      </c>
    </row>
    <row r="87" spans="1:49" hidden="1" outlineLevel="1">
      <c r="A87" s="114"/>
      <c r="B87" s="115"/>
      <c r="C87" s="115"/>
      <c r="D87" s="116"/>
      <c r="E87" s="117">
        <f t="shared" si="52"/>
        <v>0</v>
      </c>
      <c r="F87" s="117"/>
      <c r="G87" s="117"/>
      <c r="H87" s="117"/>
      <c r="I87" s="117"/>
      <c r="J87" s="117">
        <f t="shared" si="31"/>
        <v>0</v>
      </c>
      <c r="K87" s="114"/>
      <c r="L87" s="114"/>
      <c r="M87" s="114"/>
      <c r="N87" s="114"/>
      <c r="O87" s="117">
        <f t="shared" si="32"/>
        <v>0</v>
      </c>
      <c r="P87" s="117">
        <f t="shared" si="33"/>
        <v>0</v>
      </c>
      <c r="Q87" s="118"/>
      <c r="R87" s="118"/>
      <c r="S87" s="117">
        <f t="shared" si="34"/>
        <v>0</v>
      </c>
      <c r="T87" s="117"/>
      <c r="U87" s="117"/>
      <c r="V87" s="117">
        <f t="shared" si="35"/>
        <v>0</v>
      </c>
      <c r="W87" s="118"/>
      <c r="X87" s="118"/>
      <c r="Y87" s="117">
        <f t="shared" si="36"/>
        <v>0</v>
      </c>
      <c r="Z87" s="117">
        <f t="shared" si="53"/>
        <v>0</v>
      </c>
      <c r="AA87" s="119" t="e">
        <f t="shared" si="51"/>
        <v>#DIV/0!</v>
      </c>
      <c r="AB87" s="117">
        <f t="shared" si="38"/>
        <v>0</v>
      </c>
      <c r="AC87" s="118"/>
      <c r="AD87" s="119">
        <f t="shared" si="39"/>
        <v>0</v>
      </c>
      <c r="AE87" s="118"/>
      <c r="AF87" s="118"/>
      <c r="AG87" s="118"/>
      <c r="AH87" s="118"/>
      <c r="AI87" s="152" t="e">
        <f t="shared" si="40"/>
        <v>#DIV/0!</v>
      </c>
      <c r="AJ87" s="118"/>
      <c r="AK87" s="120">
        <f t="shared" si="41"/>
        <v>0</v>
      </c>
      <c r="AL87" s="121" t="e">
        <f t="shared" si="42"/>
        <v>#DIV/0!</v>
      </c>
      <c r="AM87" s="122"/>
      <c r="AN87" s="123">
        <f t="shared" si="43"/>
        <v>0</v>
      </c>
      <c r="AO87" s="124">
        <f t="shared" si="44"/>
        <v>0</v>
      </c>
      <c r="AP87" s="124">
        <f t="shared" si="45"/>
        <v>0</v>
      </c>
      <c r="AQ87" s="124">
        <f t="shared" si="46"/>
        <v>0</v>
      </c>
      <c r="AR87" s="124">
        <f t="shared" si="47"/>
        <v>0</v>
      </c>
      <c r="AS87" s="124" t="e">
        <f t="array" ref="AS87">_xlfn.IFS(S87=0,AL87,S87&lt;0,AL87/-S87,S87&gt;0,AL87/S87)</f>
        <v>#DIV/0!</v>
      </c>
      <c r="AT87" s="119">
        <f t="shared" si="48"/>
        <v>0</v>
      </c>
      <c r="AU87" s="119">
        <f t="shared" si="49"/>
        <v>0</v>
      </c>
      <c r="AV87" s="125"/>
      <c r="AW87" s="120" t="e">
        <f t="shared" si="50"/>
        <v>#DIV/0!</v>
      </c>
    </row>
    <row r="88" spans="1:49" hidden="1" outlineLevel="1">
      <c r="A88" s="114"/>
      <c r="B88" s="115"/>
      <c r="C88" s="115"/>
      <c r="D88" s="116"/>
      <c r="E88" s="117">
        <f t="shared" si="52"/>
        <v>0</v>
      </c>
      <c r="F88" s="117"/>
      <c r="G88" s="117"/>
      <c r="H88" s="117"/>
      <c r="I88" s="117"/>
      <c r="J88" s="117">
        <f t="shared" si="31"/>
        <v>0</v>
      </c>
      <c r="K88" s="114"/>
      <c r="L88" s="114"/>
      <c r="M88" s="114"/>
      <c r="N88" s="114"/>
      <c r="O88" s="117">
        <f t="shared" si="32"/>
        <v>0</v>
      </c>
      <c r="P88" s="117">
        <f t="shared" si="33"/>
        <v>0</v>
      </c>
      <c r="Q88" s="118"/>
      <c r="R88" s="118"/>
      <c r="S88" s="117">
        <f t="shared" si="34"/>
        <v>0</v>
      </c>
      <c r="T88" s="117"/>
      <c r="U88" s="117"/>
      <c r="V88" s="117">
        <f t="shared" si="35"/>
        <v>0</v>
      </c>
      <c r="W88" s="118"/>
      <c r="X88" s="118"/>
      <c r="Y88" s="117">
        <f t="shared" si="36"/>
        <v>0</v>
      </c>
      <c r="Z88" s="117">
        <f t="shared" si="53"/>
        <v>0</v>
      </c>
      <c r="AA88" s="119" t="e">
        <f t="shared" si="51"/>
        <v>#DIV/0!</v>
      </c>
      <c r="AB88" s="117">
        <f t="shared" si="38"/>
        <v>0</v>
      </c>
      <c r="AC88" s="118"/>
      <c r="AD88" s="119">
        <f t="shared" si="39"/>
        <v>0</v>
      </c>
      <c r="AE88" s="118"/>
      <c r="AF88" s="118"/>
      <c r="AG88" s="118"/>
      <c r="AH88" s="118"/>
      <c r="AI88" s="152" t="e">
        <f t="shared" si="40"/>
        <v>#DIV/0!</v>
      </c>
      <c r="AJ88" s="118"/>
      <c r="AK88" s="120">
        <f t="shared" si="41"/>
        <v>0</v>
      </c>
      <c r="AL88" s="121" t="e">
        <f t="shared" si="42"/>
        <v>#DIV/0!</v>
      </c>
      <c r="AM88" s="122"/>
      <c r="AN88" s="123">
        <f t="shared" si="43"/>
        <v>0</v>
      </c>
      <c r="AO88" s="124">
        <f t="shared" si="44"/>
        <v>0</v>
      </c>
      <c r="AP88" s="124">
        <f t="shared" si="45"/>
        <v>0</v>
      </c>
      <c r="AQ88" s="124">
        <f t="shared" si="46"/>
        <v>0</v>
      </c>
      <c r="AR88" s="124">
        <f t="shared" si="47"/>
        <v>0</v>
      </c>
      <c r="AS88" s="124" t="e">
        <f t="array" ref="AS88">_xlfn.IFS(S88=0,AL88,S88&lt;0,AL88/-S88,S88&gt;0,AL88/S88)</f>
        <v>#DIV/0!</v>
      </c>
      <c r="AT88" s="119">
        <f t="shared" si="48"/>
        <v>0</v>
      </c>
      <c r="AU88" s="119">
        <f t="shared" si="49"/>
        <v>0</v>
      </c>
      <c r="AV88" s="125"/>
      <c r="AW88" s="120" t="e">
        <f t="shared" si="50"/>
        <v>#DIV/0!</v>
      </c>
    </row>
    <row r="89" spans="1:49" hidden="1" outlineLevel="1">
      <c r="A89" s="114"/>
      <c r="B89" s="115"/>
      <c r="C89" s="115"/>
      <c r="D89" s="116"/>
      <c r="E89" s="117">
        <f t="shared" si="52"/>
        <v>0</v>
      </c>
      <c r="F89" s="117"/>
      <c r="G89" s="117"/>
      <c r="H89" s="117"/>
      <c r="I89" s="117"/>
      <c r="J89" s="117">
        <f t="shared" si="31"/>
        <v>0</v>
      </c>
      <c r="K89" s="114"/>
      <c r="L89" s="114"/>
      <c r="M89" s="114"/>
      <c r="N89" s="114"/>
      <c r="O89" s="117">
        <f t="shared" si="32"/>
        <v>0</v>
      </c>
      <c r="P89" s="117">
        <f t="shared" si="33"/>
        <v>0</v>
      </c>
      <c r="Q89" s="118"/>
      <c r="R89" s="118"/>
      <c r="S89" s="117">
        <f t="shared" si="34"/>
        <v>0</v>
      </c>
      <c r="T89" s="117"/>
      <c r="U89" s="117"/>
      <c r="V89" s="117">
        <f t="shared" si="35"/>
        <v>0</v>
      </c>
      <c r="W89" s="118"/>
      <c r="X89" s="118"/>
      <c r="Y89" s="117">
        <f t="shared" si="36"/>
        <v>0</v>
      </c>
      <c r="Z89" s="117">
        <f t="shared" si="53"/>
        <v>0</v>
      </c>
      <c r="AA89" s="119" t="e">
        <f t="shared" si="51"/>
        <v>#DIV/0!</v>
      </c>
      <c r="AB89" s="117">
        <f t="shared" si="38"/>
        <v>0</v>
      </c>
      <c r="AC89" s="118"/>
      <c r="AD89" s="119">
        <f t="shared" si="39"/>
        <v>0</v>
      </c>
      <c r="AE89" s="118"/>
      <c r="AF89" s="118"/>
      <c r="AG89" s="118"/>
      <c r="AH89" s="118"/>
      <c r="AI89" s="152" t="e">
        <f t="shared" si="40"/>
        <v>#DIV/0!</v>
      </c>
      <c r="AJ89" s="118"/>
      <c r="AK89" s="120">
        <f t="shared" si="41"/>
        <v>0</v>
      </c>
      <c r="AL89" s="121" t="e">
        <f t="shared" si="42"/>
        <v>#DIV/0!</v>
      </c>
      <c r="AM89" s="122"/>
      <c r="AN89" s="123">
        <f t="shared" si="43"/>
        <v>0</v>
      </c>
      <c r="AO89" s="124">
        <f t="shared" si="44"/>
        <v>0</v>
      </c>
      <c r="AP89" s="124">
        <f t="shared" si="45"/>
        <v>0</v>
      </c>
      <c r="AQ89" s="124">
        <f t="shared" si="46"/>
        <v>0</v>
      </c>
      <c r="AR89" s="124">
        <f t="shared" si="47"/>
        <v>0</v>
      </c>
      <c r="AS89" s="124" t="e">
        <f t="array" ref="AS89">_xlfn.IFS(S89=0,AL89,S89&lt;0,AL89/-S89,S89&gt;0,AL89/S89)</f>
        <v>#DIV/0!</v>
      </c>
      <c r="AT89" s="119">
        <f t="shared" si="48"/>
        <v>0</v>
      </c>
      <c r="AU89" s="119">
        <f t="shared" si="49"/>
        <v>0</v>
      </c>
      <c r="AV89" s="125"/>
      <c r="AW89" s="120" t="e">
        <f t="shared" si="50"/>
        <v>#DIV/0!</v>
      </c>
    </row>
    <row r="90" spans="1:49" collapsed="1">
      <c r="A90" s="158"/>
      <c r="B90" s="126"/>
      <c r="C90" s="114"/>
      <c r="D90" s="158"/>
      <c r="E90" s="117"/>
      <c r="F90" s="117"/>
      <c r="G90" s="117"/>
      <c r="H90" s="117"/>
      <c r="I90" s="117"/>
      <c r="J90" s="117"/>
      <c r="K90" s="159"/>
      <c r="L90" s="160"/>
      <c r="M90" s="160"/>
      <c r="N90" s="160"/>
      <c r="O90" s="159"/>
      <c r="P90" s="159"/>
      <c r="Q90" s="117"/>
      <c r="R90" s="117"/>
      <c r="S90" s="117"/>
      <c r="T90" s="117"/>
      <c r="U90" s="117"/>
      <c r="V90" s="117"/>
      <c r="W90" s="117"/>
      <c r="X90" s="117"/>
      <c r="Y90" s="117"/>
      <c r="Z90" s="117"/>
      <c r="AA90" s="119"/>
      <c r="AB90" s="117"/>
      <c r="AC90" s="117"/>
      <c r="AD90" s="119"/>
      <c r="AE90" s="117"/>
      <c r="AF90" s="118"/>
      <c r="AG90" s="118"/>
      <c r="AH90" s="118"/>
      <c r="AI90" s="152"/>
      <c r="AJ90" s="118"/>
      <c r="AK90" s="120"/>
      <c r="AL90" s="121"/>
      <c r="AM90" s="122"/>
      <c r="AN90" s="161">
        <f>AVERAGE(AN38:AN89)</f>
        <v>0</v>
      </c>
      <c r="AO90" s="161">
        <f t="shared" ref="AO90:AU90" si="54">AVERAGE(AO38:AO89)</f>
        <v>0</v>
      </c>
      <c r="AP90" s="161">
        <f t="shared" si="54"/>
        <v>0</v>
      </c>
      <c r="AQ90" s="161">
        <f t="shared" si="54"/>
        <v>0</v>
      </c>
      <c r="AR90" s="161">
        <f t="shared" si="54"/>
        <v>0</v>
      </c>
      <c r="AS90" s="161" t="e">
        <f t="shared" si="54"/>
        <v>#DIV/0!</v>
      </c>
      <c r="AT90" s="162">
        <f t="shared" si="54"/>
        <v>0</v>
      </c>
      <c r="AU90" s="162">
        <f t="shared" si="54"/>
        <v>0</v>
      </c>
      <c r="AV90" s="125"/>
      <c r="AW90" s="120"/>
    </row>
    <row r="91" spans="1:49" s="171" customFormat="1" ht="15" customHeight="1">
      <c r="A91" s="163" t="s">
        <v>107</v>
      </c>
      <c r="B91" s="164"/>
      <c r="C91" s="165"/>
      <c r="D91" s="165"/>
      <c r="E91" s="165">
        <f>SUM(E38:E89)</f>
        <v>0</v>
      </c>
      <c r="F91" s="165">
        <f>SUM(F38:F89)</f>
        <v>0</v>
      </c>
      <c r="G91" s="165">
        <f>SUM(G38:G89)</f>
        <v>0</v>
      </c>
      <c r="H91" s="165">
        <f>SUM(H38:H89)</f>
        <v>0</v>
      </c>
      <c r="I91" s="165"/>
      <c r="J91" s="165">
        <f>SUM(J38:J89)</f>
        <v>0</v>
      </c>
      <c r="K91" s="165"/>
      <c r="L91" s="165">
        <f>SUM(L38:L89)</f>
        <v>0</v>
      </c>
      <c r="M91" s="165"/>
      <c r="N91" s="165"/>
      <c r="O91" s="165"/>
      <c r="P91" s="165"/>
      <c r="Q91" s="165">
        <f t="shared" ref="Q91:AC91" si="55">SUM(Q38:Q89)</f>
        <v>0</v>
      </c>
      <c r="R91" s="165">
        <f t="shared" si="55"/>
        <v>0</v>
      </c>
      <c r="S91" s="165">
        <f t="shared" si="55"/>
        <v>0</v>
      </c>
      <c r="T91" s="165">
        <f t="shared" si="55"/>
        <v>0</v>
      </c>
      <c r="U91" s="165">
        <f t="shared" si="55"/>
        <v>0</v>
      </c>
      <c r="V91" s="165">
        <f t="shared" si="55"/>
        <v>0</v>
      </c>
      <c r="W91" s="165">
        <f t="shared" si="55"/>
        <v>0</v>
      </c>
      <c r="X91" s="165">
        <f t="shared" si="55"/>
        <v>0</v>
      </c>
      <c r="Y91" s="165">
        <f t="shared" si="55"/>
        <v>0</v>
      </c>
      <c r="Z91" s="165">
        <f t="shared" si="55"/>
        <v>0</v>
      </c>
      <c r="AA91" s="166" t="e">
        <f t="shared" si="55"/>
        <v>#DIV/0!</v>
      </c>
      <c r="AB91" s="167">
        <f t="shared" si="55"/>
        <v>0</v>
      </c>
      <c r="AC91" s="165">
        <f t="shared" si="55"/>
        <v>0</v>
      </c>
      <c r="AD91" s="166" t="e">
        <f>AC91/Y91</f>
        <v>#DIV/0!</v>
      </c>
      <c r="AE91" s="165">
        <f t="shared" ref="AE91:AK91" si="56">SUM(AE38:AE89)</f>
        <v>0</v>
      </c>
      <c r="AF91" s="165">
        <f t="shared" si="56"/>
        <v>0</v>
      </c>
      <c r="AG91" s="165">
        <f>SUM(AG38:AG89)</f>
        <v>0</v>
      </c>
      <c r="AH91" s="165">
        <f>SUM(AH38:AH89)</f>
        <v>0</v>
      </c>
      <c r="AI91" s="168" t="e">
        <f>SUM(AI38:AI89)</f>
        <v>#DIV/0!</v>
      </c>
      <c r="AJ91" s="165">
        <f t="shared" si="56"/>
        <v>0</v>
      </c>
      <c r="AK91" s="165">
        <f t="shared" si="56"/>
        <v>0</v>
      </c>
      <c r="AL91" s="165" t="e">
        <f>SUM(AL38:AL89)</f>
        <v>#DIV/0!</v>
      </c>
      <c r="AM91" s="169"/>
      <c r="AN91" s="165"/>
      <c r="AO91" s="165"/>
      <c r="AP91" s="165"/>
      <c r="AQ91" s="165"/>
      <c r="AR91" s="165" t="e">
        <f>(AF91+AG91)/Q91</f>
        <v>#DIV/0!</v>
      </c>
      <c r="AS91" s="165"/>
      <c r="AT91" s="165"/>
      <c r="AU91" s="165"/>
      <c r="AV91" s="170"/>
      <c r="AW91" s="165" t="e">
        <f>SUM(AW38:AW89)</f>
        <v>#DIV/0!</v>
      </c>
    </row>
    <row r="92" spans="1:49" s="175" customFormat="1">
      <c r="A92" s="172"/>
      <c r="B92" s="173"/>
      <c r="C92" s="174"/>
      <c r="D92" s="174"/>
      <c r="L92" s="176"/>
      <c r="M92" s="176"/>
      <c r="N92" s="176"/>
      <c r="P92" s="177"/>
      <c r="Q92" s="178"/>
      <c r="R92" s="178"/>
      <c r="S92" s="179"/>
      <c r="T92" s="179"/>
      <c r="U92" s="179"/>
      <c r="V92" s="179"/>
      <c r="W92" s="178"/>
      <c r="X92" s="179"/>
      <c r="Y92" s="179"/>
      <c r="Z92" s="179"/>
      <c r="AC92" s="180"/>
      <c r="AE92" s="178"/>
      <c r="AF92" s="347"/>
      <c r="AG92" s="347"/>
      <c r="AH92" s="282"/>
      <c r="AI92" s="182"/>
      <c r="AJ92" s="183"/>
      <c r="AM92" s="184"/>
      <c r="AN92" s="176"/>
      <c r="AO92" s="176"/>
      <c r="AP92" s="176"/>
      <c r="AQ92" s="176"/>
      <c r="AR92" s="176"/>
      <c r="AS92" s="176"/>
      <c r="AT92" s="176"/>
      <c r="AU92" s="176"/>
      <c r="AV92" s="185"/>
    </row>
    <row r="93" spans="1:49" s="194" customFormat="1">
      <c r="A93" s="186" t="s">
        <v>7</v>
      </c>
      <c r="B93" s="187"/>
      <c r="C93" s="188"/>
      <c r="D93" s="188"/>
      <c r="E93" s="188">
        <f t="shared" ref="E93:AC93" si="57">E36+E91</f>
        <v>0</v>
      </c>
      <c r="F93" s="188">
        <f t="shared" si="57"/>
        <v>0</v>
      </c>
      <c r="G93" s="188">
        <f t="shared" si="57"/>
        <v>0</v>
      </c>
      <c r="H93" s="188">
        <f t="shared" si="57"/>
        <v>0</v>
      </c>
      <c r="I93" s="188">
        <f t="shared" si="57"/>
        <v>0</v>
      </c>
      <c r="J93" s="188">
        <f t="shared" si="57"/>
        <v>0</v>
      </c>
      <c r="K93" s="188">
        <f t="shared" si="57"/>
        <v>0</v>
      </c>
      <c r="L93" s="188">
        <f t="shared" si="57"/>
        <v>0</v>
      </c>
      <c r="M93" s="188">
        <f t="shared" si="57"/>
        <v>0</v>
      </c>
      <c r="N93" s="188">
        <f t="shared" si="57"/>
        <v>0</v>
      </c>
      <c r="O93" s="188">
        <f t="shared" si="57"/>
        <v>0</v>
      </c>
      <c r="P93" s="188">
        <f t="shared" si="57"/>
        <v>0</v>
      </c>
      <c r="Q93" s="188">
        <f t="shared" si="57"/>
        <v>0</v>
      </c>
      <c r="R93" s="188">
        <f t="shared" si="57"/>
        <v>0</v>
      </c>
      <c r="S93" s="188">
        <f t="shared" si="57"/>
        <v>0</v>
      </c>
      <c r="T93" s="188">
        <f t="shared" si="57"/>
        <v>0</v>
      </c>
      <c r="U93" s="188">
        <f t="shared" si="57"/>
        <v>0</v>
      </c>
      <c r="V93" s="188">
        <f t="shared" si="57"/>
        <v>0</v>
      </c>
      <c r="W93" s="188">
        <f t="shared" si="57"/>
        <v>0</v>
      </c>
      <c r="X93" s="188">
        <f t="shared" si="57"/>
        <v>0</v>
      </c>
      <c r="Y93" s="188">
        <f t="shared" si="57"/>
        <v>0</v>
      </c>
      <c r="Z93" s="188">
        <f t="shared" si="57"/>
        <v>0</v>
      </c>
      <c r="AA93" s="189" t="e">
        <f t="shared" si="57"/>
        <v>#DIV/0!</v>
      </c>
      <c r="AB93" s="190">
        <f t="shared" si="57"/>
        <v>0</v>
      </c>
      <c r="AC93" s="188">
        <f t="shared" si="57"/>
        <v>0</v>
      </c>
      <c r="AD93" s="189" t="e">
        <f>AC93/Y93</f>
        <v>#DIV/0!</v>
      </c>
      <c r="AE93" s="190">
        <f>AE36+AE91</f>
        <v>0</v>
      </c>
      <c r="AF93" s="191">
        <f>AF36+AF91</f>
        <v>0</v>
      </c>
      <c r="AG93" s="191">
        <f>AG36+AG91</f>
        <v>0</v>
      </c>
      <c r="AH93" s="191">
        <f>AH36+AH91</f>
        <v>0</v>
      </c>
      <c r="AI93" s="192"/>
      <c r="AJ93" s="188">
        <f>AJ36+AJ91</f>
        <v>0</v>
      </c>
      <c r="AK93" s="188">
        <f>AK36+AK91</f>
        <v>0</v>
      </c>
      <c r="AL93" s="188" t="e">
        <f>AL36+AL91</f>
        <v>#DIV/0!</v>
      </c>
      <c r="AM93" s="188"/>
      <c r="AN93" s="188"/>
      <c r="AO93" s="188"/>
      <c r="AP93" s="188"/>
      <c r="AQ93" s="188"/>
      <c r="AR93" s="188" t="e">
        <f>(AF93+AG93)/Q93</f>
        <v>#DIV/0!</v>
      </c>
      <c r="AS93" s="188"/>
      <c r="AT93" s="188"/>
      <c r="AU93" s="188"/>
      <c r="AV93" s="193"/>
      <c r="AW93" s="188" t="e">
        <f>AW36+AW91</f>
        <v>#DIV/0!</v>
      </c>
    </row>
    <row r="94" spans="1:49" s="175" customFormat="1">
      <c r="A94" s="174"/>
      <c r="B94" s="173"/>
      <c r="C94" s="195"/>
      <c r="D94" s="174"/>
      <c r="L94" s="176"/>
      <c r="M94" s="176"/>
      <c r="N94" s="176"/>
      <c r="P94" s="177"/>
      <c r="Q94" s="178"/>
      <c r="R94" s="178"/>
      <c r="S94" s="179"/>
      <c r="T94" s="179"/>
      <c r="U94" s="179"/>
      <c r="V94" s="179"/>
      <c r="W94" s="178"/>
      <c r="X94" s="179"/>
      <c r="Y94" s="179"/>
      <c r="Z94" s="179"/>
      <c r="AC94" s="180"/>
      <c r="AE94" s="196"/>
      <c r="AF94" s="347">
        <f>AF37+AF92</f>
        <v>0</v>
      </c>
      <c r="AG94" s="347"/>
      <c r="AH94" s="282"/>
      <c r="AI94" s="182"/>
      <c r="AJ94" s="183"/>
      <c r="AM94" s="184"/>
      <c r="AN94" s="184"/>
      <c r="AO94" s="184"/>
      <c r="AP94" s="184"/>
      <c r="AQ94" s="184"/>
      <c r="AR94" s="184"/>
      <c r="AS94" s="184"/>
      <c r="AT94" s="184"/>
      <c r="AU94" s="184"/>
      <c r="AV94" s="185"/>
    </row>
    <row r="95" spans="1:49">
      <c r="C95" s="198"/>
      <c r="D95" s="198"/>
    </row>
    <row r="96" spans="1:49">
      <c r="C96" s="198"/>
      <c r="D96" s="198"/>
    </row>
  </sheetData>
  <mergeCells count="10">
    <mergeCell ref="AF92:AG92"/>
    <mergeCell ref="AF94:AG94"/>
    <mergeCell ref="AN1:AU1"/>
    <mergeCell ref="F1:H1"/>
    <mergeCell ref="L1:N1"/>
    <mergeCell ref="Q1:R1"/>
    <mergeCell ref="T1:U1"/>
    <mergeCell ref="W1:X1"/>
    <mergeCell ref="AF1:AG1"/>
    <mergeCell ref="AF37:AG37"/>
  </mergeCells>
  <conditionalFormatting sqref="K90:M90 K37:K89 K3:K35">
    <cfRule type="cellIs" dxfId="38" priority="3" operator="greaterThan">
      <formula>120</formula>
    </cfRule>
  </conditionalFormatting>
  <conditionalFormatting sqref="O90">
    <cfRule type="cellIs" dxfId="37" priority="2" operator="between">
      <formula>0.000001</formula>
      <formula>25</formula>
    </cfRule>
  </conditionalFormatting>
  <conditionalFormatting sqref="AA92 AA94:AA1048576">
    <cfRule type="cellIs" dxfId="36" priority="4" operator="greaterThan">
      <formula>0.23</formula>
    </cfRule>
  </conditionalFormatting>
  <conditionalFormatting sqref="AA1">
    <cfRule type="cellIs" dxfId="35" priority="1" operator="greaterThan">
      <formula>0.23</formula>
    </cfRule>
  </conditionalFormatting>
  <conditionalFormatting sqref="Y37:AA90 Y3:AA35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{5DD618E8-732D-415B-AE53-2F788A754315}</x14:id>
        </ext>
      </extLst>
    </cfRule>
  </conditionalFormatting>
  <conditionalFormatting sqref="AS37:AS89 AS3:AS34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{115C0D2A-5904-4A27-A20E-F7DC148A5B78}</x14:id>
        </ext>
      </extLst>
    </cfRule>
  </conditionalFormatting>
  <conditionalFormatting sqref="AT37:AU89 AT3:AU34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{7C8A290B-9502-4F87-AE80-874506B2F098}</x14:id>
        </ext>
      </extLst>
    </cfRule>
  </conditionalFormatting>
  <conditionalFormatting sqref="AW37:AW90 AW3:AW35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{2F27A8A7-1AB6-476D-B369-90A63817D28D}</x14:id>
        </ext>
      </extLst>
    </cfRule>
  </conditionalFormatting>
  <conditionalFormatting sqref="AA37:AA89 AA3:AA35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{B7FA5609-9266-44D9-A62A-85C758FEE416}</x14:id>
        </ext>
      </extLst>
    </cfRule>
  </conditionalFormatting>
  <conditionalFormatting sqref="AW37:AW89 AW3:AW35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{E77192EF-8266-4F27-BD6B-9A102141A963}</x14:id>
        </ext>
      </extLst>
    </cfRule>
  </conditionalFormatting>
  <conditionalFormatting sqref="AL37:AL90 AL3:AL35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{99373AE4-A84B-4F4D-9FC7-BD2E5343B37D}</x14:id>
        </ext>
      </extLst>
    </cfRule>
  </conditionalFormatting>
  <conditionalFormatting sqref="AL37:AL89 AL3:AL35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{FB86FA48-580E-4F84-B133-887263A0A422}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DD618E8-732D-415B-AE53-2F788A7543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Y37:AA90 Y3:AA35</xm:sqref>
        </x14:conditionalFormatting>
        <x14:conditionalFormatting xmlns:xm="http://schemas.microsoft.com/office/excel/2006/main">
          <x14:cfRule type="dataBar" id="{115C0D2A-5904-4A27-A20E-F7DC148A5B7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AS37:AS89 AS3:AS34</xm:sqref>
        </x14:conditionalFormatting>
        <x14:conditionalFormatting xmlns:xm="http://schemas.microsoft.com/office/excel/2006/main">
          <x14:cfRule type="dataBar" id="{7C8A290B-9502-4F87-AE80-874506B2F09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AT37:AU89 AT3:AU34</xm:sqref>
        </x14:conditionalFormatting>
        <x14:conditionalFormatting xmlns:xm="http://schemas.microsoft.com/office/excel/2006/main">
          <x14:cfRule type="dataBar" id="{2F27A8A7-1AB6-476D-B369-90A63817D28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AW37:AW90 AW3:AW35</xm:sqref>
        </x14:conditionalFormatting>
        <x14:conditionalFormatting xmlns:xm="http://schemas.microsoft.com/office/excel/2006/main">
          <x14:cfRule type="dataBar" id="{B7FA5609-9266-44D9-A62A-85C758FEE41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AA37:AA89 AA3:AA35</xm:sqref>
        </x14:conditionalFormatting>
        <x14:conditionalFormatting xmlns:xm="http://schemas.microsoft.com/office/excel/2006/main">
          <x14:cfRule type="dataBar" id="{E77192EF-8266-4F27-BD6B-9A102141A96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AW37:AW89 AW3:AW35</xm:sqref>
        </x14:conditionalFormatting>
        <x14:conditionalFormatting xmlns:xm="http://schemas.microsoft.com/office/excel/2006/main">
          <x14:cfRule type="dataBar" id="{99373AE4-A84B-4F4D-9FC7-BD2E5343B37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AL37:AL90 AL3:AL35</xm:sqref>
        </x14:conditionalFormatting>
        <x14:conditionalFormatting xmlns:xm="http://schemas.microsoft.com/office/excel/2006/main">
          <x14:cfRule type="dataBar" id="{FB86FA48-580E-4F84-B133-887263A0A42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AL37:AL89 AL3:AL35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1F731-6063-4D78-A988-F37268D5A53A}">
  <dimension ref="A1:AW96"/>
  <sheetViews>
    <sheetView zoomScale="70" zoomScaleNormal="70" workbookViewId="0">
      <pane xSplit="3" ySplit="2" topLeftCell="D15" activePane="bottomRight" state="frozen"/>
      <selection pane="topRight" activeCell="D1" sqref="D1"/>
      <selection pane="bottomLeft" activeCell="A3" sqref="A3"/>
      <selection pane="bottomRight" activeCell="J25" sqref="J25"/>
    </sheetView>
  </sheetViews>
  <sheetFormatPr defaultColWidth="12.54296875" defaultRowHeight="14.5" outlineLevelRow="1"/>
  <cols>
    <col min="1" max="1" width="9.08984375" style="197" customWidth="1"/>
    <col min="2" max="2" width="12.54296875" style="202"/>
    <col min="3" max="3" width="19.90625" style="197" customWidth="1"/>
    <col min="4" max="4" width="16.6328125" style="197" customWidth="1"/>
    <col min="5" max="5" width="12.36328125" style="126" customWidth="1"/>
    <col min="6" max="6" width="10.90625" style="126" customWidth="1"/>
    <col min="7" max="8" width="12.36328125" style="126" customWidth="1"/>
    <col min="9" max="9" width="13.36328125" style="126" customWidth="1"/>
    <col min="10" max="10" width="14.1796875" style="126" customWidth="1"/>
    <col min="11" max="11" width="14.26953125" style="126" customWidth="1"/>
    <col min="12" max="12" width="13.6328125" style="126" customWidth="1"/>
    <col min="13" max="13" width="15.08984375" style="126" customWidth="1"/>
    <col min="14" max="14" width="14.54296875" style="126" customWidth="1"/>
    <col min="15" max="16" width="11" style="126" customWidth="1"/>
    <col min="17" max="17" width="11.1796875" style="126" customWidth="1"/>
    <col min="18" max="18" width="12.08984375" style="126" customWidth="1"/>
    <col min="19" max="22" width="11.26953125" style="199" customWidth="1"/>
    <col min="23" max="23" width="13.1796875" style="199" customWidth="1"/>
    <col min="24" max="24" width="12.36328125" style="199" customWidth="1"/>
    <col min="25" max="25" width="20.7265625" style="199" customWidth="1"/>
    <col min="26" max="26" width="15.90625" style="199" customWidth="1"/>
    <col min="27" max="27" width="13.36328125" style="200" customWidth="1"/>
    <col min="28" max="28" width="14.453125" style="126" customWidth="1"/>
    <col min="29" max="29" width="17.81640625" style="126" customWidth="1"/>
    <col min="30" max="30" width="14.26953125" style="126" customWidth="1"/>
    <col min="31" max="31" width="19.08984375" style="126" customWidth="1"/>
    <col min="32" max="34" width="10.36328125" style="117" customWidth="1"/>
    <col min="35" max="35" width="18.08984375" style="201" customWidth="1"/>
    <col min="36" max="36" width="18.6328125" style="117" customWidth="1"/>
    <col min="37" max="37" width="12.54296875" style="126"/>
    <col min="38" max="38" width="18.90625" style="126" customWidth="1"/>
    <col min="39" max="39" width="3.08984375" style="126" customWidth="1"/>
    <col min="40" max="40" width="19.90625" style="126" customWidth="1"/>
    <col min="41" max="41" width="14.26953125" style="126" customWidth="1"/>
    <col min="42" max="42" width="9.6328125" style="126" customWidth="1"/>
    <col min="43" max="43" width="11.1796875" style="126" customWidth="1"/>
    <col min="44" max="44" width="9.54296875" style="126" customWidth="1"/>
    <col min="45" max="45" width="10.1796875" style="126" customWidth="1"/>
    <col min="46" max="46" width="11.7265625" style="126" customWidth="1"/>
    <col min="47" max="47" width="12.54296875" style="126"/>
    <col min="48" max="48" width="3.36328125" style="140" customWidth="1"/>
    <col min="49" max="16384" width="12.54296875" style="126"/>
  </cols>
  <sheetData>
    <row r="1" spans="1:49" s="95" customFormat="1" ht="16" customHeight="1">
      <c r="A1" s="92" t="s">
        <v>165</v>
      </c>
      <c r="B1" s="93"/>
      <c r="C1" s="92"/>
      <c r="D1" s="92"/>
      <c r="E1" s="94"/>
      <c r="F1" s="348" t="s">
        <v>47</v>
      </c>
      <c r="G1" s="348"/>
      <c r="H1" s="348"/>
      <c r="K1" s="283" t="s">
        <v>48</v>
      </c>
      <c r="L1" s="348" t="s">
        <v>49</v>
      </c>
      <c r="M1" s="348"/>
      <c r="N1" s="348"/>
      <c r="P1" s="96"/>
      <c r="Q1" s="349"/>
      <c r="R1" s="349"/>
      <c r="S1" s="240"/>
      <c r="T1" s="350"/>
      <c r="U1" s="351"/>
      <c r="V1" s="240"/>
      <c r="W1" s="349"/>
      <c r="X1" s="349"/>
      <c r="Y1" s="96"/>
      <c r="Z1" s="96"/>
      <c r="AA1" s="96"/>
      <c r="AB1" s="96"/>
      <c r="AC1" s="239"/>
      <c r="AD1" s="240"/>
      <c r="AE1" s="239"/>
      <c r="AF1" s="352"/>
      <c r="AG1" s="352"/>
      <c r="AH1" s="284"/>
      <c r="AI1" s="97" t="s">
        <v>50</v>
      </c>
      <c r="AJ1" s="239"/>
      <c r="AM1" s="98"/>
      <c r="AN1" s="343" t="s">
        <v>51</v>
      </c>
      <c r="AO1" s="344"/>
      <c r="AP1" s="344"/>
      <c r="AQ1" s="344"/>
      <c r="AR1" s="344"/>
      <c r="AS1" s="344"/>
      <c r="AT1" s="344"/>
      <c r="AU1" s="345"/>
      <c r="AV1" s="99"/>
    </row>
    <row r="2" spans="1:49" s="113" customFormat="1" ht="50.5" customHeight="1">
      <c r="A2" s="100" t="s">
        <v>52</v>
      </c>
      <c r="B2" s="101" t="s">
        <v>53</v>
      </c>
      <c r="C2" s="100" t="s">
        <v>54</v>
      </c>
      <c r="D2" s="100" t="s">
        <v>55</v>
      </c>
      <c r="E2" s="100" t="s">
        <v>193</v>
      </c>
      <c r="F2" s="102" t="s">
        <v>57</v>
      </c>
      <c r="G2" s="102" t="s">
        <v>58</v>
      </c>
      <c r="H2" s="102" t="s">
        <v>59</v>
      </c>
      <c r="I2" s="100" t="s">
        <v>60</v>
      </c>
      <c r="J2" s="100" t="s">
        <v>61</v>
      </c>
      <c r="K2" s="103" t="s">
        <v>62</v>
      </c>
      <c r="L2" s="103" t="s">
        <v>63</v>
      </c>
      <c r="M2" s="103" t="s">
        <v>64</v>
      </c>
      <c r="N2" s="103" t="s">
        <v>65</v>
      </c>
      <c r="O2" s="104" t="s">
        <v>66</v>
      </c>
      <c r="P2" s="104" t="s">
        <v>67</v>
      </c>
      <c r="Q2" s="105" t="s">
        <v>68</v>
      </c>
      <c r="R2" s="105" t="s">
        <v>69</v>
      </c>
      <c r="S2" s="100" t="s">
        <v>70</v>
      </c>
      <c r="T2" s="102" t="s">
        <v>71</v>
      </c>
      <c r="U2" s="102" t="s">
        <v>72</v>
      </c>
      <c r="V2" s="106" t="s">
        <v>73</v>
      </c>
      <c r="W2" s="105" t="s">
        <v>74</v>
      </c>
      <c r="X2" s="105" t="s">
        <v>75</v>
      </c>
      <c r="Y2" s="107" t="s">
        <v>76</v>
      </c>
      <c r="Z2" s="108" t="s">
        <v>77</v>
      </c>
      <c r="AA2" s="107" t="s">
        <v>78</v>
      </c>
      <c r="AB2" s="107" t="s">
        <v>18</v>
      </c>
      <c r="AC2" s="109" t="s">
        <v>79</v>
      </c>
      <c r="AD2" s="110" t="s">
        <v>80</v>
      </c>
      <c r="AE2" s="105" t="s">
        <v>8</v>
      </c>
      <c r="AF2" s="104" t="s">
        <v>25</v>
      </c>
      <c r="AG2" s="104" t="s">
        <v>26</v>
      </c>
      <c r="AH2" s="104" t="s">
        <v>27</v>
      </c>
      <c r="AI2" s="105" t="s">
        <v>9</v>
      </c>
      <c r="AJ2" s="105" t="s">
        <v>81</v>
      </c>
      <c r="AK2" s="100" t="s">
        <v>82</v>
      </c>
      <c r="AL2" s="100" t="s">
        <v>11</v>
      </c>
      <c r="AM2" s="111"/>
      <c r="AN2" s="110" t="s">
        <v>83</v>
      </c>
      <c r="AO2" s="110" t="s">
        <v>84</v>
      </c>
      <c r="AP2" s="110" t="s">
        <v>85</v>
      </c>
      <c r="AQ2" s="110" t="s">
        <v>86</v>
      </c>
      <c r="AR2" s="110" t="s">
        <v>87</v>
      </c>
      <c r="AS2" s="110" t="s">
        <v>88</v>
      </c>
      <c r="AT2" s="110" t="s">
        <v>89</v>
      </c>
      <c r="AU2" s="110" t="s">
        <v>90</v>
      </c>
      <c r="AV2" s="112"/>
      <c r="AW2" s="100" t="s">
        <v>91</v>
      </c>
    </row>
    <row r="3" spans="1:49" outlineLevel="1">
      <c r="A3" s="114"/>
      <c r="B3" s="115">
        <v>341479791</v>
      </c>
      <c r="C3" s="115" t="s">
        <v>92</v>
      </c>
      <c r="D3" s="116" t="s">
        <v>93</v>
      </c>
      <c r="E3" s="117">
        <f>F3+G3+H3</f>
        <v>0</v>
      </c>
      <c r="F3" s="117"/>
      <c r="G3" s="117"/>
      <c r="H3" s="117"/>
      <c r="I3" s="117">
        <v>142.97999999999999</v>
      </c>
      <c r="J3" s="117">
        <f t="shared" ref="J3:J34" si="0">E3*I3</f>
        <v>0</v>
      </c>
      <c r="K3" s="114"/>
      <c r="L3" s="114"/>
      <c r="M3" s="114"/>
      <c r="N3" s="114"/>
      <c r="O3" s="213">
        <f t="shared" ref="O3:O34" si="1">L3/7</f>
        <v>0</v>
      </c>
      <c r="P3" s="117">
        <f t="shared" ref="P3" si="2">S3/7</f>
        <v>0</v>
      </c>
      <c r="Q3" s="118"/>
      <c r="R3" s="118"/>
      <c r="S3" s="117">
        <f>Q3+R3</f>
        <v>0</v>
      </c>
      <c r="T3" s="118"/>
      <c r="U3" s="118"/>
      <c r="V3" s="117">
        <f>T3+U3</f>
        <v>0</v>
      </c>
      <c r="W3" s="118"/>
      <c r="X3" s="118"/>
      <c r="Y3" s="117">
        <f t="shared" ref="Y3:Y34" si="3">W3+X3</f>
        <v>0</v>
      </c>
      <c r="Z3" s="117">
        <f>L3*M3*N3/100</f>
        <v>0</v>
      </c>
      <c r="AA3" s="119" t="e">
        <f t="shared" ref="AA3:AA15" si="4">Y3/$Y$93</f>
        <v>#DIV/0!</v>
      </c>
      <c r="AB3" s="117">
        <f>S3*I3</f>
        <v>0</v>
      </c>
      <c r="AC3" s="118"/>
      <c r="AD3" s="119">
        <f t="shared" ref="AD3:AD34" si="5">IF(Y3=0,0,AC3/Y3)</f>
        <v>0</v>
      </c>
      <c r="AE3" s="118"/>
      <c r="AF3" s="118"/>
      <c r="AG3" s="118"/>
      <c r="AH3" s="118"/>
      <c r="AI3" s="152">
        <f t="shared" ref="AI3:AI15" si="6">IFERROR($AI$93*H3/$H$93,0)</f>
        <v>0</v>
      </c>
      <c r="AJ3" s="118"/>
      <c r="AK3" s="120">
        <f>V3*1%</f>
        <v>0</v>
      </c>
      <c r="AL3" s="121">
        <f>Y3-AB3-AC3-AE3-AF3-AG3-AH3-AI3-AK3-AJ3</f>
        <v>0</v>
      </c>
      <c r="AM3" s="122"/>
      <c r="AN3" s="123">
        <f t="shared" ref="AN3:AN34" si="7">IF(S3=0,0,Y3/S3)</f>
        <v>0</v>
      </c>
      <c r="AO3" s="124">
        <f t="shared" ref="AO3:AO34" si="8">I3</f>
        <v>142.97999999999999</v>
      </c>
      <c r="AP3" s="124">
        <f t="shared" ref="AP3:AP34" si="9">IF(S3=0,0,AC3/S3)</f>
        <v>0</v>
      </c>
      <c r="AQ3" s="124">
        <f>IF(Q3=0,AE3/1,AE3/Q3)</f>
        <v>0</v>
      </c>
      <c r="AR3" s="124">
        <f>IF(Q3=0,0,(AF3+AG3)/Q3)</f>
        <v>0</v>
      </c>
      <c r="AS3" s="124">
        <f>_xlfn.IFS(S3=0,AL3,S3&lt;0,AL3/-S3,S3&gt;0,AL3/S3)</f>
        <v>0</v>
      </c>
      <c r="AT3" s="119">
        <f t="shared" ref="AT3" si="10">IF(AN3=0,0,AS3/AN3)</f>
        <v>0</v>
      </c>
      <c r="AU3" s="119">
        <f t="shared" ref="AU3" si="11">IF(AO3=0,0,AS3/AO3)</f>
        <v>0</v>
      </c>
      <c r="AV3" s="125"/>
      <c r="AW3" s="120">
        <f t="shared" ref="AW3:AW34" si="12">AS3*E3</f>
        <v>0</v>
      </c>
    </row>
    <row r="4" spans="1:49" outlineLevel="1">
      <c r="A4" s="114"/>
      <c r="B4" s="115">
        <v>340343575</v>
      </c>
      <c r="C4" s="115" t="s">
        <v>94</v>
      </c>
      <c r="D4" s="116" t="s">
        <v>93</v>
      </c>
      <c r="E4" s="117">
        <f t="shared" ref="E4:E34" si="13">F4+G4+H4</f>
        <v>0</v>
      </c>
      <c r="F4" s="117"/>
      <c r="G4" s="117"/>
      <c r="H4" s="117"/>
      <c r="I4" s="117">
        <v>123.09</v>
      </c>
      <c r="J4" s="117">
        <f t="shared" si="0"/>
        <v>0</v>
      </c>
      <c r="K4" s="114"/>
      <c r="L4" s="114"/>
      <c r="M4" s="114"/>
      <c r="N4" s="114"/>
      <c r="O4" s="213">
        <f t="shared" si="1"/>
        <v>0</v>
      </c>
      <c r="P4" s="117">
        <f>S4/7</f>
        <v>0</v>
      </c>
      <c r="Q4" s="118"/>
      <c r="R4" s="118"/>
      <c r="S4" s="117">
        <f t="shared" ref="S4:S34" si="14">Q4+R4</f>
        <v>0</v>
      </c>
      <c r="T4" s="118"/>
      <c r="U4" s="118"/>
      <c r="V4" s="117">
        <f t="shared" ref="V4:V34" si="15">T4+U4</f>
        <v>0</v>
      </c>
      <c r="W4" s="118"/>
      <c r="X4" s="118"/>
      <c r="Y4" s="117">
        <f t="shared" si="3"/>
        <v>0</v>
      </c>
      <c r="Z4" s="117">
        <f t="shared" ref="Z4:Z34" si="16">L4*M4*N4/100</f>
        <v>0</v>
      </c>
      <c r="AA4" s="119" t="e">
        <f t="shared" si="4"/>
        <v>#DIV/0!</v>
      </c>
      <c r="AB4" s="117">
        <f t="shared" ref="AB4:AB34" si="17">S4*I4</f>
        <v>0</v>
      </c>
      <c r="AC4" s="118"/>
      <c r="AD4" s="119">
        <f t="shared" si="5"/>
        <v>0</v>
      </c>
      <c r="AE4" s="118"/>
      <c r="AF4" s="118"/>
      <c r="AG4" s="118"/>
      <c r="AH4" s="118"/>
      <c r="AI4" s="152">
        <f t="shared" si="6"/>
        <v>0</v>
      </c>
      <c r="AJ4" s="118"/>
      <c r="AK4" s="120">
        <f t="shared" ref="AK4:AK34" si="18">V4*1%</f>
        <v>0</v>
      </c>
      <c r="AL4" s="121">
        <f t="shared" ref="AL4:AL34" si="19">Y4-AB4-AC4-AE4-AF4-AG4-AH4-AI4-AK4-AJ4</f>
        <v>0</v>
      </c>
      <c r="AM4" s="122"/>
      <c r="AN4" s="123">
        <f t="shared" si="7"/>
        <v>0</v>
      </c>
      <c r="AO4" s="124">
        <f t="shared" si="8"/>
        <v>123.09</v>
      </c>
      <c r="AP4" s="124">
        <f t="shared" si="9"/>
        <v>0</v>
      </c>
      <c r="AQ4" s="124">
        <f t="shared" ref="AQ4:AQ34" si="20">IF(Q4=0,AE4/1,AE4/Q4)</f>
        <v>0</v>
      </c>
      <c r="AR4" s="124">
        <f t="shared" ref="AR4:AR34" si="21">IF(Q4=0,0,(AF4+AG4)/Q4)</f>
        <v>0</v>
      </c>
      <c r="AS4" s="124">
        <f t="array" ref="AS4">_xlfn.IFS(S4=0,AL4,S4&lt;0,AL4/-S4,S4&gt;0,AL4/S4)</f>
        <v>0</v>
      </c>
      <c r="AT4" s="119">
        <f>IF(AN4=0,0,AS4/AN4)</f>
        <v>0</v>
      </c>
      <c r="AU4" s="119">
        <f>IF(AO4=0,0,AS4/AO4)</f>
        <v>0</v>
      </c>
      <c r="AV4" s="125"/>
      <c r="AW4" s="120">
        <f t="shared" si="12"/>
        <v>0</v>
      </c>
    </row>
    <row r="5" spans="1:49" outlineLevel="1">
      <c r="A5" s="114"/>
      <c r="B5" s="115">
        <v>340332621</v>
      </c>
      <c r="C5" s="115" t="s">
        <v>95</v>
      </c>
      <c r="D5" s="116" t="s">
        <v>93</v>
      </c>
      <c r="E5" s="117">
        <f t="shared" si="13"/>
        <v>0</v>
      </c>
      <c r="F5" s="117"/>
      <c r="G5" s="117"/>
      <c r="H5" s="117"/>
      <c r="I5" s="117">
        <v>123.09</v>
      </c>
      <c r="J5" s="117">
        <f t="shared" si="0"/>
        <v>0</v>
      </c>
      <c r="K5" s="114"/>
      <c r="L5" s="114"/>
      <c r="M5" s="114"/>
      <c r="N5" s="114"/>
      <c r="O5" s="213">
        <f t="shared" si="1"/>
        <v>0</v>
      </c>
      <c r="P5" s="117">
        <f>S5/7</f>
        <v>0</v>
      </c>
      <c r="Q5" s="118"/>
      <c r="R5" s="118"/>
      <c r="S5" s="117">
        <f t="shared" si="14"/>
        <v>0</v>
      </c>
      <c r="T5" s="118"/>
      <c r="U5" s="118"/>
      <c r="V5" s="117">
        <f t="shared" si="15"/>
        <v>0</v>
      </c>
      <c r="W5" s="118"/>
      <c r="X5" s="118"/>
      <c r="Y5" s="117">
        <f t="shared" si="3"/>
        <v>0</v>
      </c>
      <c r="Z5" s="117">
        <f t="shared" si="16"/>
        <v>0</v>
      </c>
      <c r="AA5" s="119" t="e">
        <f t="shared" si="4"/>
        <v>#DIV/0!</v>
      </c>
      <c r="AB5" s="117">
        <f t="shared" si="17"/>
        <v>0</v>
      </c>
      <c r="AC5" s="118"/>
      <c r="AD5" s="119">
        <f t="shared" si="5"/>
        <v>0</v>
      </c>
      <c r="AE5" s="118"/>
      <c r="AF5" s="118"/>
      <c r="AG5" s="118"/>
      <c r="AH5" s="118"/>
      <c r="AI5" s="152">
        <f t="shared" si="6"/>
        <v>0</v>
      </c>
      <c r="AJ5" s="118"/>
      <c r="AK5" s="120">
        <f t="shared" si="18"/>
        <v>0</v>
      </c>
      <c r="AL5" s="121">
        <f t="shared" si="19"/>
        <v>0</v>
      </c>
      <c r="AM5" s="122"/>
      <c r="AN5" s="123">
        <f t="shared" si="7"/>
        <v>0</v>
      </c>
      <c r="AO5" s="124">
        <f t="shared" si="8"/>
        <v>123.09</v>
      </c>
      <c r="AP5" s="124">
        <f t="shared" si="9"/>
        <v>0</v>
      </c>
      <c r="AQ5" s="124">
        <f t="shared" si="20"/>
        <v>0</v>
      </c>
      <c r="AR5" s="124">
        <f t="shared" si="21"/>
        <v>0</v>
      </c>
      <c r="AS5" s="124">
        <f t="array" ref="AS5">_xlfn.IFS(S5=0,AL5,S5&lt;0,AL5/-S5,S5&gt;0,AL5/S5)</f>
        <v>0</v>
      </c>
      <c r="AT5" s="119">
        <f>IF(AN5=0,0,AS5/AN5)</f>
        <v>0</v>
      </c>
      <c r="AU5" s="119">
        <f>IF(AO5=0,0,AS5/AO5)</f>
        <v>0</v>
      </c>
      <c r="AV5" s="125"/>
      <c r="AW5" s="120">
        <f t="shared" si="12"/>
        <v>0</v>
      </c>
    </row>
    <row r="6" spans="1:49" outlineLevel="1">
      <c r="A6" s="114"/>
      <c r="B6" s="115">
        <v>340341838</v>
      </c>
      <c r="C6" s="115" t="s">
        <v>96</v>
      </c>
      <c r="D6" s="116" t="s">
        <v>93</v>
      </c>
      <c r="E6" s="117">
        <f t="shared" si="13"/>
        <v>0</v>
      </c>
      <c r="F6" s="117"/>
      <c r="G6" s="117"/>
      <c r="H6" s="117"/>
      <c r="I6" s="117">
        <v>123.09</v>
      </c>
      <c r="J6" s="117">
        <f t="shared" si="0"/>
        <v>0</v>
      </c>
      <c r="K6" s="114"/>
      <c r="L6" s="114"/>
      <c r="M6" s="114"/>
      <c r="N6" s="114"/>
      <c r="O6" s="213">
        <f t="shared" si="1"/>
        <v>0</v>
      </c>
      <c r="P6" s="117">
        <f t="shared" ref="P6:P34" si="22">S6/7</f>
        <v>0</v>
      </c>
      <c r="Q6" s="118"/>
      <c r="R6" s="118"/>
      <c r="S6" s="117">
        <f t="shared" si="14"/>
        <v>0</v>
      </c>
      <c r="T6" s="118"/>
      <c r="U6" s="118"/>
      <c r="V6" s="117">
        <f t="shared" si="15"/>
        <v>0</v>
      </c>
      <c r="W6" s="118"/>
      <c r="X6" s="118"/>
      <c r="Y6" s="117">
        <f t="shared" si="3"/>
        <v>0</v>
      </c>
      <c r="Z6" s="117">
        <f t="shared" si="16"/>
        <v>0</v>
      </c>
      <c r="AA6" s="119" t="e">
        <f t="shared" si="4"/>
        <v>#DIV/0!</v>
      </c>
      <c r="AB6" s="117">
        <f t="shared" si="17"/>
        <v>0</v>
      </c>
      <c r="AC6" s="118"/>
      <c r="AD6" s="119">
        <f t="shared" si="5"/>
        <v>0</v>
      </c>
      <c r="AE6" s="118"/>
      <c r="AF6" s="118"/>
      <c r="AG6" s="118"/>
      <c r="AH6" s="118"/>
      <c r="AI6" s="152">
        <f t="shared" si="6"/>
        <v>0</v>
      </c>
      <c r="AJ6" s="118"/>
      <c r="AK6" s="120">
        <f t="shared" si="18"/>
        <v>0</v>
      </c>
      <c r="AL6" s="121">
        <f t="shared" si="19"/>
        <v>0</v>
      </c>
      <c r="AM6" s="122"/>
      <c r="AN6" s="123">
        <f t="shared" si="7"/>
        <v>0</v>
      </c>
      <c r="AO6" s="124">
        <f t="shared" si="8"/>
        <v>123.09</v>
      </c>
      <c r="AP6" s="124">
        <f t="shared" si="9"/>
        <v>0</v>
      </c>
      <c r="AQ6" s="124">
        <f t="shared" si="20"/>
        <v>0</v>
      </c>
      <c r="AR6" s="124">
        <f t="shared" si="21"/>
        <v>0</v>
      </c>
      <c r="AS6" s="124">
        <f t="array" ref="AS6">_xlfn.IFS(S6=0,AL6,S6&lt;0,AL6/-S6,S6&gt;0,AL6/S6)</f>
        <v>0</v>
      </c>
      <c r="AT6" s="119">
        <f t="shared" ref="AT6:AT34" si="23">IF(AN6=0,0,AS6/AN6)</f>
        <v>0</v>
      </c>
      <c r="AU6" s="119">
        <f t="shared" ref="AU6:AU34" si="24">IF(AO6=0,0,AS6/AO6)</f>
        <v>0</v>
      </c>
      <c r="AV6" s="125"/>
      <c r="AW6" s="120">
        <f t="shared" si="12"/>
        <v>0</v>
      </c>
    </row>
    <row r="7" spans="1:49" outlineLevel="1">
      <c r="A7" s="114"/>
      <c r="B7" s="115">
        <v>445291724</v>
      </c>
      <c r="C7" s="115" t="s">
        <v>97</v>
      </c>
      <c r="D7" s="116" t="s">
        <v>93</v>
      </c>
      <c r="E7" s="117">
        <f t="shared" si="13"/>
        <v>0</v>
      </c>
      <c r="F7" s="117"/>
      <c r="G7" s="117"/>
      <c r="H7" s="117"/>
      <c r="I7" s="117">
        <v>123.09</v>
      </c>
      <c r="J7" s="117">
        <f t="shared" si="0"/>
        <v>0</v>
      </c>
      <c r="K7" s="114"/>
      <c r="L7" s="114"/>
      <c r="M7" s="114"/>
      <c r="N7" s="114"/>
      <c r="O7" s="213">
        <f t="shared" si="1"/>
        <v>0</v>
      </c>
      <c r="P7" s="117">
        <f t="shared" si="22"/>
        <v>0</v>
      </c>
      <c r="Q7" s="118"/>
      <c r="R7" s="118"/>
      <c r="S7" s="117">
        <f t="shared" si="14"/>
        <v>0</v>
      </c>
      <c r="T7" s="118"/>
      <c r="U7" s="118"/>
      <c r="V7" s="117">
        <f t="shared" si="15"/>
        <v>0</v>
      </c>
      <c r="W7" s="118"/>
      <c r="X7" s="118"/>
      <c r="Y7" s="117">
        <f t="shared" si="3"/>
        <v>0</v>
      </c>
      <c r="Z7" s="117">
        <f t="shared" si="16"/>
        <v>0</v>
      </c>
      <c r="AA7" s="119" t="e">
        <f t="shared" si="4"/>
        <v>#DIV/0!</v>
      </c>
      <c r="AB7" s="117">
        <f t="shared" si="17"/>
        <v>0</v>
      </c>
      <c r="AC7" s="118"/>
      <c r="AD7" s="119">
        <f t="shared" si="5"/>
        <v>0</v>
      </c>
      <c r="AE7" s="118"/>
      <c r="AF7" s="118"/>
      <c r="AG7" s="118"/>
      <c r="AH7" s="118"/>
      <c r="AI7" s="152">
        <f t="shared" si="6"/>
        <v>0</v>
      </c>
      <c r="AJ7" s="118"/>
      <c r="AK7" s="120">
        <f t="shared" si="18"/>
        <v>0</v>
      </c>
      <c r="AL7" s="121">
        <f t="shared" si="19"/>
        <v>0</v>
      </c>
      <c r="AM7" s="122"/>
      <c r="AN7" s="123">
        <f t="shared" si="7"/>
        <v>0</v>
      </c>
      <c r="AO7" s="124">
        <f t="shared" si="8"/>
        <v>123.09</v>
      </c>
      <c r="AP7" s="124">
        <f t="shared" si="9"/>
        <v>0</v>
      </c>
      <c r="AQ7" s="124">
        <f t="shared" si="20"/>
        <v>0</v>
      </c>
      <c r="AR7" s="124">
        <f t="shared" si="21"/>
        <v>0</v>
      </c>
      <c r="AS7" s="124">
        <f t="array" ref="AS7">_xlfn.IFS(S7=0,AL7,S7&lt;0,AL7/-S7,S7&gt;0,AL7/S7)</f>
        <v>0</v>
      </c>
      <c r="AT7" s="119">
        <f t="shared" si="23"/>
        <v>0</v>
      </c>
      <c r="AU7" s="119">
        <f t="shared" si="24"/>
        <v>0</v>
      </c>
      <c r="AV7" s="125"/>
      <c r="AW7" s="120">
        <f t="shared" si="12"/>
        <v>0</v>
      </c>
    </row>
    <row r="8" spans="1:49" outlineLevel="1">
      <c r="A8" s="114"/>
      <c r="B8" s="115">
        <v>445336740</v>
      </c>
      <c r="C8" s="115" t="s">
        <v>98</v>
      </c>
      <c r="D8" s="116" t="s">
        <v>93</v>
      </c>
      <c r="E8" s="117">
        <f t="shared" si="13"/>
        <v>0</v>
      </c>
      <c r="F8" s="117"/>
      <c r="G8" s="117"/>
      <c r="H8" s="117"/>
      <c r="I8" s="117">
        <v>123.09</v>
      </c>
      <c r="J8" s="117">
        <f t="shared" si="0"/>
        <v>0</v>
      </c>
      <c r="K8" s="114"/>
      <c r="L8" s="114"/>
      <c r="M8" s="114"/>
      <c r="N8" s="114"/>
      <c r="O8" s="213">
        <f t="shared" si="1"/>
        <v>0</v>
      </c>
      <c r="P8" s="117">
        <f t="shared" si="22"/>
        <v>0</v>
      </c>
      <c r="Q8" s="118"/>
      <c r="R8" s="118"/>
      <c r="S8" s="117">
        <f t="shared" si="14"/>
        <v>0</v>
      </c>
      <c r="T8" s="118"/>
      <c r="U8" s="118"/>
      <c r="V8" s="117">
        <f t="shared" si="15"/>
        <v>0</v>
      </c>
      <c r="W8" s="118"/>
      <c r="X8" s="118"/>
      <c r="Y8" s="117">
        <f t="shared" si="3"/>
        <v>0</v>
      </c>
      <c r="Z8" s="117">
        <f t="shared" si="16"/>
        <v>0</v>
      </c>
      <c r="AA8" s="119" t="e">
        <f t="shared" si="4"/>
        <v>#DIV/0!</v>
      </c>
      <c r="AB8" s="117">
        <f t="shared" si="17"/>
        <v>0</v>
      </c>
      <c r="AC8" s="118"/>
      <c r="AD8" s="119">
        <f t="shared" si="5"/>
        <v>0</v>
      </c>
      <c r="AE8" s="118"/>
      <c r="AF8" s="118"/>
      <c r="AG8" s="118"/>
      <c r="AH8" s="118"/>
      <c r="AI8" s="152">
        <f t="shared" si="6"/>
        <v>0</v>
      </c>
      <c r="AJ8" s="118"/>
      <c r="AK8" s="120">
        <f t="shared" si="18"/>
        <v>0</v>
      </c>
      <c r="AL8" s="121">
        <f t="shared" si="19"/>
        <v>0</v>
      </c>
      <c r="AM8" s="122"/>
      <c r="AN8" s="123">
        <f t="shared" si="7"/>
        <v>0</v>
      </c>
      <c r="AO8" s="124">
        <f t="shared" si="8"/>
        <v>123.09</v>
      </c>
      <c r="AP8" s="124">
        <f t="shared" si="9"/>
        <v>0</v>
      </c>
      <c r="AQ8" s="124">
        <f t="shared" si="20"/>
        <v>0</v>
      </c>
      <c r="AR8" s="124">
        <f t="shared" si="21"/>
        <v>0</v>
      </c>
      <c r="AS8" s="124">
        <f t="array" ref="AS8">_xlfn.IFS(S8=0,AL8,S8&lt;0,AL8/-S8,S8&gt;0,AL8/S8)</f>
        <v>0</v>
      </c>
      <c r="AT8" s="119">
        <f t="shared" si="23"/>
        <v>0</v>
      </c>
      <c r="AU8" s="119">
        <f t="shared" si="24"/>
        <v>0</v>
      </c>
      <c r="AV8" s="125"/>
      <c r="AW8" s="120">
        <f t="shared" si="12"/>
        <v>0</v>
      </c>
    </row>
    <row r="9" spans="1:49" outlineLevel="1">
      <c r="A9" s="114"/>
      <c r="B9" s="115">
        <v>445341507</v>
      </c>
      <c r="C9" s="115" t="s">
        <v>99</v>
      </c>
      <c r="D9" s="116" t="s">
        <v>93</v>
      </c>
      <c r="E9" s="117">
        <f t="shared" si="13"/>
        <v>0</v>
      </c>
      <c r="F9" s="117"/>
      <c r="G9" s="117"/>
      <c r="H9" s="117"/>
      <c r="I9" s="117">
        <v>169.89</v>
      </c>
      <c r="J9" s="117">
        <f t="shared" si="0"/>
        <v>0</v>
      </c>
      <c r="K9" s="114"/>
      <c r="L9" s="114"/>
      <c r="M9" s="114"/>
      <c r="N9" s="114"/>
      <c r="O9" s="213">
        <f t="shared" si="1"/>
        <v>0</v>
      </c>
      <c r="P9" s="117">
        <f t="shared" si="22"/>
        <v>0</v>
      </c>
      <c r="Q9" s="118"/>
      <c r="R9" s="118"/>
      <c r="S9" s="117">
        <f t="shared" si="14"/>
        <v>0</v>
      </c>
      <c r="T9" s="118"/>
      <c r="U9" s="118"/>
      <c r="V9" s="117">
        <f t="shared" si="15"/>
        <v>0</v>
      </c>
      <c r="W9" s="118"/>
      <c r="X9" s="118"/>
      <c r="Y9" s="117">
        <f t="shared" si="3"/>
        <v>0</v>
      </c>
      <c r="Z9" s="117">
        <f t="shared" si="16"/>
        <v>0</v>
      </c>
      <c r="AA9" s="119" t="e">
        <f t="shared" si="4"/>
        <v>#DIV/0!</v>
      </c>
      <c r="AB9" s="117">
        <f t="shared" si="17"/>
        <v>0</v>
      </c>
      <c r="AC9" s="118"/>
      <c r="AD9" s="119">
        <f t="shared" si="5"/>
        <v>0</v>
      </c>
      <c r="AE9" s="118"/>
      <c r="AF9" s="118"/>
      <c r="AG9" s="118"/>
      <c r="AH9" s="118"/>
      <c r="AI9" s="152">
        <f t="shared" si="6"/>
        <v>0</v>
      </c>
      <c r="AJ9" s="118"/>
      <c r="AK9" s="120">
        <f t="shared" si="18"/>
        <v>0</v>
      </c>
      <c r="AL9" s="121">
        <f t="shared" si="19"/>
        <v>0</v>
      </c>
      <c r="AM9" s="122"/>
      <c r="AN9" s="123">
        <f t="shared" si="7"/>
        <v>0</v>
      </c>
      <c r="AO9" s="124">
        <f t="shared" si="8"/>
        <v>169.89</v>
      </c>
      <c r="AP9" s="124">
        <f t="shared" si="9"/>
        <v>0</v>
      </c>
      <c r="AQ9" s="124">
        <f t="shared" si="20"/>
        <v>0</v>
      </c>
      <c r="AR9" s="124">
        <f t="shared" si="21"/>
        <v>0</v>
      </c>
      <c r="AS9" s="124">
        <f t="array" ref="AS9">_xlfn.IFS(S9=0,AL9,S9&lt;0,AL9/-S9,S9&gt;0,AL9/S9)</f>
        <v>0</v>
      </c>
      <c r="AT9" s="119">
        <f t="shared" si="23"/>
        <v>0</v>
      </c>
      <c r="AU9" s="119">
        <f t="shared" si="24"/>
        <v>0</v>
      </c>
      <c r="AV9" s="125"/>
      <c r="AW9" s="120">
        <f t="shared" si="12"/>
        <v>0</v>
      </c>
    </row>
    <row r="10" spans="1:49" outlineLevel="1">
      <c r="A10" s="114"/>
      <c r="B10" s="115">
        <v>497825485</v>
      </c>
      <c r="C10" s="115" t="s">
        <v>100</v>
      </c>
      <c r="D10" s="116" t="s">
        <v>93</v>
      </c>
      <c r="E10" s="117">
        <f t="shared" si="13"/>
        <v>0</v>
      </c>
      <c r="F10" s="117"/>
      <c r="G10" s="117"/>
      <c r="H10" s="117"/>
      <c r="I10" s="117">
        <v>169.89</v>
      </c>
      <c r="J10" s="117">
        <f t="shared" si="0"/>
        <v>0</v>
      </c>
      <c r="K10" s="114"/>
      <c r="L10" s="114"/>
      <c r="M10" s="114"/>
      <c r="N10" s="114"/>
      <c r="O10" s="213">
        <f t="shared" si="1"/>
        <v>0</v>
      </c>
      <c r="P10" s="117">
        <f t="shared" si="22"/>
        <v>0</v>
      </c>
      <c r="Q10" s="118"/>
      <c r="R10" s="118"/>
      <c r="S10" s="117">
        <f t="shared" si="14"/>
        <v>0</v>
      </c>
      <c r="T10" s="118"/>
      <c r="U10" s="118"/>
      <c r="V10" s="117">
        <f t="shared" si="15"/>
        <v>0</v>
      </c>
      <c r="W10" s="118"/>
      <c r="X10" s="118"/>
      <c r="Y10" s="117">
        <f t="shared" si="3"/>
        <v>0</v>
      </c>
      <c r="Z10" s="117">
        <f t="shared" si="16"/>
        <v>0</v>
      </c>
      <c r="AA10" s="119" t="e">
        <f t="shared" si="4"/>
        <v>#DIV/0!</v>
      </c>
      <c r="AB10" s="117">
        <f t="shared" si="17"/>
        <v>0</v>
      </c>
      <c r="AC10" s="118"/>
      <c r="AD10" s="119">
        <f t="shared" si="5"/>
        <v>0</v>
      </c>
      <c r="AE10" s="118"/>
      <c r="AF10" s="118"/>
      <c r="AG10" s="118"/>
      <c r="AH10" s="118"/>
      <c r="AI10" s="152">
        <f t="shared" si="6"/>
        <v>0</v>
      </c>
      <c r="AJ10" s="118"/>
      <c r="AK10" s="120">
        <f t="shared" si="18"/>
        <v>0</v>
      </c>
      <c r="AL10" s="121">
        <f t="shared" si="19"/>
        <v>0</v>
      </c>
      <c r="AM10" s="122"/>
      <c r="AN10" s="123">
        <f t="shared" si="7"/>
        <v>0</v>
      </c>
      <c r="AO10" s="124">
        <f t="shared" si="8"/>
        <v>169.89</v>
      </c>
      <c r="AP10" s="124">
        <f t="shared" si="9"/>
        <v>0</v>
      </c>
      <c r="AQ10" s="124">
        <f t="shared" si="20"/>
        <v>0</v>
      </c>
      <c r="AR10" s="124">
        <f t="shared" si="21"/>
        <v>0</v>
      </c>
      <c r="AS10" s="124">
        <f t="array" ref="AS10">_xlfn.IFS(S10=0,AL10,S10&lt;0,AL10/-S10,S10&gt;0,AL10/S10)</f>
        <v>0</v>
      </c>
      <c r="AT10" s="119">
        <f t="shared" si="23"/>
        <v>0</v>
      </c>
      <c r="AU10" s="119">
        <f t="shared" si="24"/>
        <v>0</v>
      </c>
      <c r="AV10" s="125"/>
      <c r="AW10" s="120">
        <f t="shared" si="12"/>
        <v>0</v>
      </c>
    </row>
    <row r="11" spans="1:49" outlineLevel="1">
      <c r="A11" s="114"/>
      <c r="B11" s="115">
        <v>497825962</v>
      </c>
      <c r="C11" s="115" t="s">
        <v>101</v>
      </c>
      <c r="D11" s="116" t="s">
        <v>93</v>
      </c>
      <c r="E11" s="117">
        <f t="shared" si="13"/>
        <v>0</v>
      </c>
      <c r="F11" s="117"/>
      <c r="G11" s="117"/>
      <c r="H11" s="117"/>
      <c r="I11" s="117">
        <v>169.89</v>
      </c>
      <c r="J11" s="117">
        <f t="shared" si="0"/>
        <v>0</v>
      </c>
      <c r="K11" s="114"/>
      <c r="L11" s="114"/>
      <c r="M11" s="114"/>
      <c r="N11" s="114"/>
      <c r="O11" s="213">
        <f t="shared" si="1"/>
        <v>0</v>
      </c>
      <c r="P11" s="117">
        <f t="shared" si="22"/>
        <v>0</v>
      </c>
      <c r="Q11" s="118"/>
      <c r="R11" s="118"/>
      <c r="S11" s="117">
        <f t="shared" si="14"/>
        <v>0</v>
      </c>
      <c r="T11" s="118"/>
      <c r="U11" s="118"/>
      <c r="V11" s="117">
        <f t="shared" si="15"/>
        <v>0</v>
      </c>
      <c r="W11" s="118"/>
      <c r="X11" s="118"/>
      <c r="Y11" s="117">
        <f t="shared" si="3"/>
        <v>0</v>
      </c>
      <c r="Z11" s="117">
        <f t="shared" si="16"/>
        <v>0</v>
      </c>
      <c r="AA11" s="119" t="e">
        <f t="shared" si="4"/>
        <v>#DIV/0!</v>
      </c>
      <c r="AB11" s="117">
        <f t="shared" si="17"/>
        <v>0</v>
      </c>
      <c r="AC11" s="118"/>
      <c r="AD11" s="119">
        <f t="shared" si="5"/>
        <v>0</v>
      </c>
      <c r="AE11" s="118"/>
      <c r="AF11" s="118"/>
      <c r="AG11" s="118"/>
      <c r="AH11" s="118"/>
      <c r="AI11" s="152">
        <f t="shared" si="6"/>
        <v>0</v>
      </c>
      <c r="AJ11" s="118"/>
      <c r="AK11" s="120">
        <f t="shared" si="18"/>
        <v>0</v>
      </c>
      <c r="AL11" s="121">
        <f t="shared" si="19"/>
        <v>0</v>
      </c>
      <c r="AM11" s="122"/>
      <c r="AN11" s="123">
        <f t="shared" si="7"/>
        <v>0</v>
      </c>
      <c r="AO11" s="124">
        <f t="shared" si="8"/>
        <v>169.89</v>
      </c>
      <c r="AP11" s="124">
        <f t="shared" si="9"/>
        <v>0</v>
      </c>
      <c r="AQ11" s="124">
        <f t="shared" si="20"/>
        <v>0</v>
      </c>
      <c r="AR11" s="124">
        <f t="shared" si="21"/>
        <v>0</v>
      </c>
      <c r="AS11" s="124">
        <f t="array" ref="AS11">_xlfn.IFS(S11=0,AL11,S11&lt;0,AL11/-S11,S11&gt;0,AL11/S11)</f>
        <v>0</v>
      </c>
      <c r="AT11" s="119">
        <f t="shared" si="23"/>
        <v>0</v>
      </c>
      <c r="AU11" s="119">
        <f t="shared" si="24"/>
        <v>0</v>
      </c>
      <c r="AV11" s="125"/>
      <c r="AW11" s="120">
        <f t="shared" si="12"/>
        <v>0</v>
      </c>
    </row>
    <row r="12" spans="1:49" outlineLevel="1">
      <c r="A12" s="114"/>
      <c r="B12" s="115">
        <v>497821775</v>
      </c>
      <c r="C12" s="115" t="s">
        <v>102</v>
      </c>
      <c r="D12" s="116" t="s">
        <v>93</v>
      </c>
      <c r="E12" s="117">
        <f t="shared" si="13"/>
        <v>0</v>
      </c>
      <c r="F12" s="117"/>
      <c r="G12" s="117"/>
      <c r="H12" s="117"/>
      <c r="I12" s="117">
        <v>169.89</v>
      </c>
      <c r="J12" s="117">
        <f t="shared" si="0"/>
        <v>0</v>
      </c>
      <c r="K12" s="114"/>
      <c r="L12" s="114"/>
      <c r="M12" s="114"/>
      <c r="N12" s="114"/>
      <c r="O12" s="213">
        <f t="shared" si="1"/>
        <v>0</v>
      </c>
      <c r="P12" s="117">
        <f t="shared" si="22"/>
        <v>0</v>
      </c>
      <c r="Q12" s="118"/>
      <c r="R12" s="118"/>
      <c r="S12" s="117">
        <f t="shared" si="14"/>
        <v>0</v>
      </c>
      <c r="T12" s="118"/>
      <c r="U12" s="118"/>
      <c r="V12" s="117">
        <f t="shared" si="15"/>
        <v>0</v>
      </c>
      <c r="W12" s="118"/>
      <c r="X12" s="118"/>
      <c r="Y12" s="117">
        <f t="shared" si="3"/>
        <v>0</v>
      </c>
      <c r="Z12" s="117">
        <f t="shared" si="16"/>
        <v>0</v>
      </c>
      <c r="AA12" s="119" t="e">
        <f t="shared" si="4"/>
        <v>#DIV/0!</v>
      </c>
      <c r="AB12" s="117">
        <f t="shared" si="17"/>
        <v>0</v>
      </c>
      <c r="AC12" s="118"/>
      <c r="AD12" s="119">
        <f t="shared" si="5"/>
        <v>0</v>
      </c>
      <c r="AE12" s="118"/>
      <c r="AF12" s="118"/>
      <c r="AG12" s="118"/>
      <c r="AH12" s="118"/>
      <c r="AI12" s="152">
        <f t="shared" si="6"/>
        <v>0</v>
      </c>
      <c r="AJ12" s="118"/>
      <c r="AK12" s="120">
        <f t="shared" si="18"/>
        <v>0</v>
      </c>
      <c r="AL12" s="121">
        <f t="shared" si="19"/>
        <v>0</v>
      </c>
      <c r="AM12" s="122"/>
      <c r="AN12" s="123">
        <f t="shared" si="7"/>
        <v>0</v>
      </c>
      <c r="AO12" s="124">
        <f t="shared" si="8"/>
        <v>169.89</v>
      </c>
      <c r="AP12" s="124">
        <f t="shared" si="9"/>
        <v>0</v>
      </c>
      <c r="AQ12" s="124">
        <f t="shared" si="20"/>
        <v>0</v>
      </c>
      <c r="AR12" s="124">
        <f t="shared" si="21"/>
        <v>0</v>
      </c>
      <c r="AS12" s="124">
        <f t="array" ref="AS12">_xlfn.IFS(S12=0,AL12,S12&lt;0,AL12/-S12,S12&gt;0,AL12/S12)</f>
        <v>0</v>
      </c>
      <c r="AT12" s="119">
        <f t="shared" si="23"/>
        <v>0</v>
      </c>
      <c r="AU12" s="119">
        <f t="shared" si="24"/>
        <v>0</v>
      </c>
      <c r="AV12" s="125"/>
      <c r="AW12" s="120">
        <f t="shared" si="12"/>
        <v>0</v>
      </c>
    </row>
    <row r="13" spans="1:49" outlineLevel="1">
      <c r="A13" s="114"/>
      <c r="B13" s="115">
        <v>497823770</v>
      </c>
      <c r="C13" s="115" t="s">
        <v>103</v>
      </c>
      <c r="D13" s="116" t="s">
        <v>93</v>
      </c>
      <c r="E13" s="117">
        <f t="shared" si="13"/>
        <v>0</v>
      </c>
      <c r="F13" s="117"/>
      <c r="G13" s="117"/>
      <c r="H13" s="117"/>
      <c r="I13" s="117">
        <v>169.89</v>
      </c>
      <c r="J13" s="117">
        <f t="shared" si="0"/>
        <v>0</v>
      </c>
      <c r="K13" s="114"/>
      <c r="L13" s="114"/>
      <c r="M13" s="114"/>
      <c r="N13" s="114"/>
      <c r="O13" s="213">
        <f t="shared" si="1"/>
        <v>0</v>
      </c>
      <c r="P13" s="117">
        <f t="shared" si="22"/>
        <v>0</v>
      </c>
      <c r="Q13" s="118"/>
      <c r="R13" s="118"/>
      <c r="S13" s="117">
        <f t="shared" si="14"/>
        <v>0</v>
      </c>
      <c r="T13" s="118"/>
      <c r="U13" s="118"/>
      <c r="V13" s="117">
        <f t="shared" si="15"/>
        <v>0</v>
      </c>
      <c r="W13" s="118"/>
      <c r="X13" s="118"/>
      <c r="Y13" s="117">
        <f t="shared" si="3"/>
        <v>0</v>
      </c>
      <c r="Z13" s="117">
        <f t="shared" si="16"/>
        <v>0</v>
      </c>
      <c r="AA13" s="119" t="e">
        <f t="shared" si="4"/>
        <v>#DIV/0!</v>
      </c>
      <c r="AB13" s="117">
        <f t="shared" si="17"/>
        <v>0</v>
      </c>
      <c r="AC13" s="118"/>
      <c r="AD13" s="119">
        <f t="shared" si="5"/>
        <v>0</v>
      </c>
      <c r="AE13" s="118"/>
      <c r="AF13" s="118"/>
      <c r="AG13" s="118"/>
      <c r="AH13" s="118"/>
      <c r="AI13" s="152">
        <f t="shared" si="6"/>
        <v>0</v>
      </c>
      <c r="AJ13" s="118"/>
      <c r="AK13" s="120">
        <f t="shared" si="18"/>
        <v>0</v>
      </c>
      <c r="AL13" s="121">
        <f t="shared" si="19"/>
        <v>0</v>
      </c>
      <c r="AM13" s="122"/>
      <c r="AN13" s="123">
        <f t="shared" si="7"/>
        <v>0</v>
      </c>
      <c r="AO13" s="124">
        <f t="shared" si="8"/>
        <v>169.89</v>
      </c>
      <c r="AP13" s="124">
        <f t="shared" si="9"/>
        <v>0</v>
      </c>
      <c r="AQ13" s="124">
        <f t="shared" si="20"/>
        <v>0</v>
      </c>
      <c r="AR13" s="124">
        <f t="shared" si="21"/>
        <v>0</v>
      </c>
      <c r="AS13" s="124">
        <f t="array" ref="AS13">_xlfn.IFS(S13=0,AL13,S13&lt;0,AL13/-S13,S13&gt;0,AL13/S13)</f>
        <v>0</v>
      </c>
      <c r="AT13" s="119">
        <f t="shared" si="23"/>
        <v>0</v>
      </c>
      <c r="AU13" s="119">
        <f t="shared" si="24"/>
        <v>0</v>
      </c>
      <c r="AV13" s="125"/>
      <c r="AW13" s="120">
        <f t="shared" si="12"/>
        <v>0</v>
      </c>
    </row>
    <row r="14" spans="1:49" outlineLevel="1">
      <c r="A14" s="114"/>
      <c r="B14" s="115">
        <v>497824253</v>
      </c>
      <c r="C14" s="115" t="s">
        <v>104</v>
      </c>
      <c r="D14" s="116" t="s">
        <v>93</v>
      </c>
      <c r="E14" s="117">
        <f t="shared" si="13"/>
        <v>0</v>
      </c>
      <c r="F14" s="117"/>
      <c r="G14" s="117"/>
      <c r="H14" s="117"/>
      <c r="I14" s="117">
        <v>169.89</v>
      </c>
      <c r="J14" s="117">
        <f t="shared" si="0"/>
        <v>0</v>
      </c>
      <c r="K14" s="114"/>
      <c r="L14" s="114"/>
      <c r="M14" s="114"/>
      <c r="N14" s="114"/>
      <c r="O14" s="213">
        <f t="shared" si="1"/>
        <v>0</v>
      </c>
      <c r="P14" s="117">
        <f t="shared" si="22"/>
        <v>0</v>
      </c>
      <c r="Q14" s="118"/>
      <c r="R14" s="118"/>
      <c r="S14" s="117">
        <f t="shared" si="14"/>
        <v>0</v>
      </c>
      <c r="T14" s="118"/>
      <c r="U14" s="118"/>
      <c r="V14" s="117">
        <f t="shared" si="15"/>
        <v>0</v>
      </c>
      <c r="W14" s="118"/>
      <c r="X14" s="118"/>
      <c r="Y14" s="117">
        <f t="shared" si="3"/>
        <v>0</v>
      </c>
      <c r="Z14" s="117">
        <f t="shared" si="16"/>
        <v>0</v>
      </c>
      <c r="AA14" s="119" t="e">
        <f t="shared" si="4"/>
        <v>#DIV/0!</v>
      </c>
      <c r="AB14" s="117">
        <f t="shared" si="17"/>
        <v>0</v>
      </c>
      <c r="AC14" s="118"/>
      <c r="AD14" s="119">
        <f t="shared" si="5"/>
        <v>0</v>
      </c>
      <c r="AE14" s="118"/>
      <c r="AF14" s="118"/>
      <c r="AG14" s="118"/>
      <c r="AH14" s="118"/>
      <c r="AI14" s="152">
        <f t="shared" si="6"/>
        <v>0</v>
      </c>
      <c r="AJ14" s="118"/>
      <c r="AK14" s="120">
        <f t="shared" si="18"/>
        <v>0</v>
      </c>
      <c r="AL14" s="121">
        <f t="shared" si="19"/>
        <v>0</v>
      </c>
      <c r="AM14" s="122"/>
      <c r="AN14" s="123">
        <f t="shared" si="7"/>
        <v>0</v>
      </c>
      <c r="AO14" s="124">
        <f t="shared" si="8"/>
        <v>169.89</v>
      </c>
      <c r="AP14" s="124">
        <f t="shared" si="9"/>
        <v>0</v>
      </c>
      <c r="AQ14" s="124">
        <f t="shared" si="20"/>
        <v>0</v>
      </c>
      <c r="AR14" s="124">
        <f t="shared" si="21"/>
        <v>0</v>
      </c>
      <c r="AS14" s="124">
        <f t="array" ref="AS14">_xlfn.IFS(S14=0,AL14,S14&lt;0,AL14/-S14,S14&gt;0,AL14/S14)</f>
        <v>0</v>
      </c>
      <c r="AT14" s="119">
        <f t="shared" si="23"/>
        <v>0</v>
      </c>
      <c r="AU14" s="119">
        <f t="shared" si="24"/>
        <v>0</v>
      </c>
      <c r="AV14" s="125"/>
      <c r="AW14" s="120">
        <f t="shared" si="12"/>
        <v>0</v>
      </c>
    </row>
    <row r="15" spans="1:49" outlineLevel="1">
      <c r="A15" s="114"/>
      <c r="B15" s="115">
        <v>497824944</v>
      </c>
      <c r="C15" s="115" t="s">
        <v>105</v>
      </c>
      <c r="D15" s="116" t="s">
        <v>93</v>
      </c>
      <c r="E15" s="117">
        <f t="shared" si="13"/>
        <v>0</v>
      </c>
      <c r="F15" s="117"/>
      <c r="G15" s="117"/>
      <c r="H15" s="117"/>
      <c r="I15" s="117">
        <v>169.89</v>
      </c>
      <c r="J15" s="117">
        <f t="shared" si="0"/>
        <v>0</v>
      </c>
      <c r="K15" s="114"/>
      <c r="L15" s="114"/>
      <c r="M15" s="114"/>
      <c r="N15" s="114"/>
      <c r="O15" s="213">
        <f t="shared" si="1"/>
        <v>0</v>
      </c>
      <c r="P15" s="117">
        <f t="shared" si="22"/>
        <v>0</v>
      </c>
      <c r="Q15" s="118"/>
      <c r="R15" s="118"/>
      <c r="S15" s="117">
        <f t="shared" si="14"/>
        <v>0</v>
      </c>
      <c r="T15" s="118"/>
      <c r="U15" s="118"/>
      <c r="V15" s="117">
        <f t="shared" si="15"/>
        <v>0</v>
      </c>
      <c r="W15" s="118"/>
      <c r="X15" s="118"/>
      <c r="Y15" s="117">
        <f t="shared" si="3"/>
        <v>0</v>
      </c>
      <c r="Z15" s="117">
        <f t="shared" si="16"/>
        <v>0</v>
      </c>
      <c r="AA15" s="119" t="e">
        <f t="shared" si="4"/>
        <v>#DIV/0!</v>
      </c>
      <c r="AB15" s="117">
        <f t="shared" si="17"/>
        <v>0</v>
      </c>
      <c r="AC15" s="118"/>
      <c r="AD15" s="119">
        <f t="shared" si="5"/>
        <v>0</v>
      </c>
      <c r="AE15" s="118"/>
      <c r="AF15" s="118"/>
      <c r="AG15" s="118"/>
      <c r="AH15" s="118"/>
      <c r="AI15" s="152">
        <f t="shared" si="6"/>
        <v>0</v>
      </c>
      <c r="AJ15" s="118"/>
      <c r="AK15" s="120">
        <f t="shared" si="18"/>
        <v>0</v>
      </c>
      <c r="AL15" s="121">
        <f t="shared" si="19"/>
        <v>0</v>
      </c>
      <c r="AM15" s="122"/>
      <c r="AN15" s="123">
        <f t="shared" si="7"/>
        <v>0</v>
      </c>
      <c r="AO15" s="124">
        <f t="shared" si="8"/>
        <v>169.89</v>
      </c>
      <c r="AP15" s="124">
        <f t="shared" si="9"/>
        <v>0</v>
      </c>
      <c r="AQ15" s="124">
        <f t="shared" si="20"/>
        <v>0</v>
      </c>
      <c r="AR15" s="124">
        <f t="shared" si="21"/>
        <v>0</v>
      </c>
      <c r="AS15" s="124">
        <f t="array" ref="AS15">_xlfn.IFS(S15=0,AL15,S15&lt;0,AL15/-S15,S15&gt;0,AL15/S15)</f>
        <v>0</v>
      </c>
      <c r="AT15" s="119">
        <f t="shared" si="23"/>
        <v>0</v>
      </c>
      <c r="AU15" s="119">
        <f t="shared" si="24"/>
        <v>0</v>
      </c>
      <c r="AV15" s="125"/>
      <c r="AW15" s="120">
        <f t="shared" si="12"/>
        <v>0</v>
      </c>
    </row>
    <row r="16" spans="1:49" outlineLevel="1">
      <c r="A16" s="114"/>
      <c r="B16" s="115">
        <v>806868318</v>
      </c>
      <c r="C16" s="115" t="s">
        <v>174</v>
      </c>
      <c r="D16" s="116" t="s">
        <v>93</v>
      </c>
      <c r="E16" s="117">
        <f t="shared" si="13"/>
        <v>0</v>
      </c>
      <c r="F16" s="117"/>
      <c r="G16" s="117"/>
      <c r="H16" s="117"/>
      <c r="I16" s="117">
        <v>129.46</v>
      </c>
      <c r="J16" s="117">
        <f t="shared" si="0"/>
        <v>0</v>
      </c>
      <c r="K16" s="114"/>
      <c r="L16" s="114"/>
      <c r="M16" s="114"/>
      <c r="N16" s="114"/>
      <c r="O16" s="213">
        <f t="shared" si="1"/>
        <v>0</v>
      </c>
      <c r="P16" s="117">
        <f t="shared" si="22"/>
        <v>0</v>
      </c>
      <c r="Q16" s="118"/>
      <c r="R16" s="118"/>
      <c r="S16" s="117">
        <f t="shared" si="14"/>
        <v>0</v>
      </c>
      <c r="T16" s="118"/>
      <c r="U16" s="118"/>
      <c r="V16" s="117">
        <f t="shared" si="15"/>
        <v>0</v>
      </c>
      <c r="W16" s="118"/>
      <c r="X16" s="118"/>
      <c r="Y16" s="117">
        <f t="shared" si="3"/>
        <v>0</v>
      </c>
      <c r="Z16" s="117">
        <f t="shared" si="16"/>
        <v>0</v>
      </c>
      <c r="AA16" s="119" t="e">
        <f t="shared" ref="AA16:AA34" si="25">Y16/$Y$93</f>
        <v>#DIV/0!</v>
      </c>
      <c r="AB16" s="117">
        <f t="shared" si="17"/>
        <v>0</v>
      </c>
      <c r="AC16" s="118"/>
      <c r="AD16" s="119">
        <f t="shared" si="5"/>
        <v>0</v>
      </c>
      <c r="AE16" s="118"/>
      <c r="AF16" s="118"/>
      <c r="AG16" s="118"/>
      <c r="AH16" s="118"/>
      <c r="AI16" s="152">
        <f t="shared" ref="AI16:AI34" si="26">IFERROR($AI$93*H16/$H$93,0)</f>
        <v>0</v>
      </c>
      <c r="AJ16" s="118"/>
      <c r="AK16" s="120">
        <f t="shared" si="18"/>
        <v>0</v>
      </c>
      <c r="AL16" s="121">
        <f t="shared" si="19"/>
        <v>0</v>
      </c>
      <c r="AM16" s="122"/>
      <c r="AN16" s="123">
        <f t="shared" si="7"/>
        <v>0</v>
      </c>
      <c r="AO16" s="124">
        <f t="shared" si="8"/>
        <v>129.46</v>
      </c>
      <c r="AP16" s="124">
        <f t="shared" si="9"/>
        <v>0</v>
      </c>
      <c r="AQ16" s="124">
        <f t="shared" si="20"/>
        <v>0</v>
      </c>
      <c r="AR16" s="124">
        <f t="shared" si="21"/>
        <v>0</v>
      </c>
      <c r="AS16" s="124">
        <f t="array" ref="AS16">_xlfn.IFS(S16=0,AL16,S16&lt;0,AL16/-S16,S16&gt;0,AL16/S16)</f>
        <v>0</v>
      </c>
      <c r="AT16" s="119">
        <f t="shared" si="23"/>
        <v>0</v>
      </c>
      <c r="AU16" s="119">
        <f t="shared" si="24"/>
        <v>0</v>
      </c>
      <c r="AV16" s="125"/>
      <c r="AW16" s="120">
        <f t="shared" si="12"/>
        <v>0</v>
      </c>
    </row>
    <row r="17" spans="1:49" outlineLevel="1">
      <c r="A17" s="114"/>
      <c r="B17" s="115">
        <v>806885508</v>
      </c>
      <c r="C17" s="115" t="s">
        <v>175</v>
      </c>
      <c r="D17" s="116" t="s">
        <v>93</v>
      </c>
      <c r="E17" s="117">
        <f t="shared" si="13"/>
        <v>0</v>
      </c>
      <c r="F17" s="117"/>
      <c r="G17" s="117"/>
      <c r="H17" s="117"/>
      <c r="I17" s="117">
        <v>117.76</v>
      </c>
      <c r="J17" s="117">
        <f t="shared" si="0"/>
        <v>0</v>
      </c>
      <c r="K17" s="114"/>
      <c r="L17" s="114"/>
      <c r="M17" s="114"/>
      <c r="N17" s="114"/>
      <c r="O17" s="213">
        <f t="shared" si="1"/>
        <v>0</v>
      </c>
      <c r="P17" s="117">
        <f t="shared" si="22"/>
        <v>0</v>
      </c>
      <c r="Q17" s="118"/>
      <c r="R17" s="118"/>
      <c r="S17" s="117">
        <f t="shared" si="14"/>
        <v>0</v>
      </c>
      <c r="T17" s="118"/>
      <c r="U17" s="118"/>
      <c r="V17" s="117">
        <f t="shared" si="15"/>
        <v>0</v>
      </c>
      <c r="W17" s="118"/>
      <c r="X17" s="118"/>
      <c r="Y17" s="117">
        <f t="shared" si="3"/>
        <v>0</v>
      </c>
      <c r="Z17" s="117">
        <f t="shared" si="16"/>
        <v>0</v>
      </c>
      <c r="AA17" s="119" t="e">
        <f t="shared" si="25"/>
        <v>#DIV/0!</v>
      </c>
      <c r="AB17" s="117">
        <f t="shared" si="17"/>
        <v>0</v>
      </c>
      <c r="AC17" s="118"/>
      <c r="AD17" s="119">
        <f t="shared" si="5"/>
        <v>0</v>
      </c>
      <c r="AE17" s="118"/>
      <c r="AF17" s="118"/>
      <c r="AG17" s="118"/>
      <c r="AH17" s="118"/>
      <c r="AI17" s="152">
        <f t="shared" si="26"/>
        <v>0</v>
      </c>
      <c r="AJ17" s="118"/>
      <c r="AK17" s="120">
        <f t="shared" si="18"/>
        <v>0</v>
      </c>
      <c r="AL17" s="121">
        <f t="shared" si="19"/>
        <v>0</v>
      </c>
      <c r="AM17" s="122"/>
      <c r="AN17" s="123">
        <f t="shared" si="7"/>
        <v>0</v>
      </c>
      <c r="AO17" s="124">
        <f t="shared" si="8"/>
        <v>117.76</v>
      </c>
      <c r="AP17" s="124">
        <f t="shared" si="9"/>
        <v>0</v>
      </c>
      <c r="AQ17" s="124">
        <f t="shared" si="20"/>
        <v>0</v>
      </c>
      <c r="AR17" s="124">
        <f t="shared" si="21"/>
        <v>0</v>
      </c>
      <c r="AS17" s="124">
        <f t="array" ref="AS17">_xlfn.IFS(S17=0,AL17,S17&lt;0,AL17/-S17,S17&gt;0,AL17/S17)</f>
        <v>0</v>
      </c>
      <c r="AT17" s="119">
        <f t="shared" si="23"/>
        <v>0</v>
      </c>
      <c r="AU17" s="119">
        <f t="shared" si="24"/>
        <v>0</v>
      </c>
      <c r="AV17" s="125"/>
      <c r="AW17" s="120">
        <f t="shared" si="12"/>
        <v>0</v>
      </c>
    </row>
    <row r="18" spans="1:49" outlineLevel="1">
      <c r="A18" s="114"/>
      <c r="B18" s="115">
        <v>807019357</v>
      </c>
      <c r="C18" s="115" t="s">
        <v>176</v>
      </c>
      <c r="D18" s="116" t="s">
        <v>93</v>
      </c>
      <c r="E18" s="117">
        <f t="shared" si="13"/>
        <v>0</v>
      </c>
      <c r="F18" s="117"/>
      <c r="G18" s="117"/>
      <c r="H18" s="117"/>
      <c r="I18" s="117">
        <v>129.46</v>
      </c>
      <c r="J18" s="117">
        <f t="shared" si="0"/>
        <v>0</v>
      </c>
      <c r="K18" s="114"/>
      <c r="L18" s="114"/>
      <c r="M18" s="114"/>
      <c r="N18" s="114"/>
      <c r="O18" s="213">
        <f t="shared" si="1"/>
        <v>0</v>
      </c>
      <c r="P18" s="117">
        <f t="shared" si="22"/>
        <v>0</v>
      </c>
      <c r="Q18" s="118"/>
      <c r="R18" s="118"/>
      <c r="S18" s="117">
        <f t="shared" si="14"/>
        <v>0</v>
      </c>
      <c r="T18" s="118"/>
      <c r="U18" s="118"/>
      <c r="V18" s="117">
        <f t="shared" si="15"/>
        <v>0</v>
      </c>
      <c r="W18" s="118"/>
      <c r="X18" s="118"/>
      <c r="Y18" s="117">
        <f t="shared" si="3"/>
        <v>0</v>
      </c>
      <c r="Z18" s="117">
        <f t="shared" si="16"/>
        <v>0</v>
      </c>
      <c r="AA18" s="119" t="e">
        <f t="shared" si="25"/>
        <v>#DIV/0!</v>
      </c>
      <c r="AB18" s="117">
        <f t="shared" si="17"/>
        <v>0</v>
      </c>
      <c r="AC18" s="118"/>
      <c r="AD18" s="119">
        <f t="shared" si="5"/>
        <v>0</v>
      </c>
      <c r="AE18" s="118"/>
      <c r="AF18" s="118"/>
      <c r="AG18" s="118"/>
      <c r="AH18" s="118"/>
      <c r="AI18" s="152">
        <f t="shared" si="26"/>
        <v>0</v>
      </c>
      <c r="AJ18" s="118"/>
      <c r="AK18" s="120">
        <f t="shared" si="18"/>
        <v>0</v>
      </c>
      <c r="AL18" s="121">
        <f t="shared" si="19"/>
        <v>0</v>
      </c>
      <c r="AM18" s="122"/>
      <c r="AN18" s="123">
        <f t="shared" si="7"/>
        <v>0</v>
      </c>
      <c r="AO18" s="124">
        <f t="shared" si="8"/>
        <v>129.46</v>
      </c>
      <c r="AP18" s="124">
        <f t="shared" si="9"/>
        <v>0</v>
      </c>
      <c r="AQ18" s="124">
        <f t="shared" si="20"/>
        <v>0</v>
      </c>
      <c r="AR18" s="124">
        <f t="shared" si="21"/>
        <v>0</v>
      </c>
      <c r="AS18" s="124">
        <f t="array" ref="AS18">_xlfn.IFS(S18=0,AL18,S18&lt;0,AL18/-S18,S18&gt;0,AL18/S18)</f>
        <v>0</v>
      </c>
      <c r="AT18" s="119">
        <f t="shared" si="23"/>
        <v>0</v>
      </c>
      <c r="AU18" s="119">
        <f t="shared" si="24"/>
        <v>0</v>
      </c>
      <c r="AV18" s="125"/>
      <c r="AW18" s="120">
        <f t="shared" si="12"/>
        <v>0</v>
      </c>
    </row>
    <row r="19" spans="1:49" outlineLevel="1">
      <c r="A19" s="114"/>
      <c r="B19" s="115">
        <v>807030321</v>
      </c>
      <c r="C19" s="115" t="s">
        <v>177</v>
      </c>
      <c r="D19" s="116" t="s">
        <v>93</v>
      </c>
      <c r="E19" s="117">
        <f t="shared" si="13"/>
        <v>0</v>
      </c>
      <c r="F19" s="117"/>
      <c r="G19" s="117"/>
      <c r="H19" s="117"/>
      <c r="I19" s="117">
        <v>129.46</v>
      </c>
      <c r="J19" s="117">
        <f t="shared" si="0"/>
        <v>0</v>
      </c>
      <c r="K19" s="114"/>
      <c r="L19" s="114"/>
      <c r="M19" s="114"/>
      <c r="N19" s="114"/>
      <c r="O19" s="213">
        <f t="shared" si="1"/>
        <v>0</v>
      </c>
      <c r="P19" s="117">
        <f t="shared" si="22"/>
        <v>0</v>
      </c>
      <c r="Q19" s="118"/>
      <c r="R19" s="118"/>
      <c r="S19" s="117">
        <f t="shared" si="14"/>
        <v>0</v>
      </c>
      <c r="T19" s="118"/>
      <c r="U19" s="118"/>
      <c r="V19" s="117">
        <f t="shared" si="15"/>
        <v>0</v>
      </c>
      <c r="W19" s="118"/>
      <c r="X19" s="118"/>
      <c r="Y19" s="117">
        <f t="shared" si="3"/>
        <v>0</v>
      </c>
      <c r="Z19" s="117">
        <f t="shared" si="16"/>
        <v>0</v>
      </c>
      <c r="AA19" s="119" t="e">
        <f t="shared" si="25"/>
        <v>#DIV/0!</v>
      </c>
      <c r="AB19" s="117">
        <f t="shared" si="17"/>
        <v>0</v>
      </c>
      <c r="AC19" s="118"/>
      <c r="AD19" s="119">
        <f t="shared" si="5"/>
        <v>0</v>
      </c>
      <c r="AE19" s="118"/>
      <c r="AF19" s="118"/>
      <c r="AG19" s="118"/>
      <c r="AH19" s="118"/>
      <c r="AI19" s="152">
        <f t="shared" si="26"/>
        <v>0</v>
      </c>
      <c r="AJ19" s="118"/>
      <c r="AK19" s="120">
        <f t="shared" si="18"/>
        <v>0</v>
      </c>
      <c r="AL19" s="121">
        <f t="shared" si="19"/>
        <v>0</v>
      </c>
      <c r="AM19" s="122"/>
      <c r="AN19" s="123">
        <f t="shared" si="7"/>
        <v>0</v>
      </c>
      <c r="AO19" s="124">
        <f t="shared" si="8"/>
        <v>129.46</v>
      </c>
      <c r="AP19" s="124">
        <f t="shared" si="9"/>
        <v>0</v>
      </c>
      <c r="AQ19" s="124">
        <f t="shared" si="20"/>
        <v>0</v>
      </c>
      <c r="AR19" s="124">
        <f t="shared" si="21"/>
        <v>0</v>
      </c>
      <c r="AS19" s="124">
        <f t="array" ref="AS19">_xlfn.IFS(S19=0,AL19,S19&lt;0,AL19/-S19,S19&gt;0,AL19/S19)</f>
        <v>0</v>
      </c>
      <c r="AT19" s="119">
        <f t="shared" si="23"/>
        <v>0</v>
      </c>
      <c r="AU19" s="119">
        <f t="shared" si="24"/>
        <v>0</v>
      </c>
      <c r="AV19" s="125"/>
      <c r="AW19" s="120">
        <f t="shared" si="12"/>
        <v>0</v>
      </c>
    </row>
    <row r="20" spans="1:49" outlineLevel="1">
      <c r="A20" s="114"/>
      <c r="B20" s="115">
        <v>807031830</v>
      </c>
      <c r="C20" s="115" t="s">
        <v>178</v>
      </c>
      <c r="D20" s="116" t="s">
        <v>93</v>
      </c>
      <c r="E20" s="117">
        <f t="shared" si="13"/>
        <v>0</v>
      </c>
      <c r="F20" s="117"/>
      <c r="G20" s="117"/>
      <c r="H20" s="117"/>
      <c r="I20" s="117">
        <v>129.46</v>
      </c>
      <c r="J20" s="117">
        <f t="shared" si="0"/>
        <v>0</v>
      </c>
      <c r="K20" s="114"/>
      <c r="L20" s="114"/>
      <c r="M20" s="114"/>
      <c r="N20" s="114"/>
      <c r="O20" s="213">
        <f t="shared" si="1"/>
        <v>0</v>
      </c>
      <c r="P20" s="117">
        <f t="shared" si="22"/>
        <v>0</v>
      </c>
      <c r="Q20" s="118"/>
      <c r="R20" s="118"/>
      <c r="S20" s="117">
        <f t="shared" si="14"/>
        <v>0</v>
      </c>
      <c r="T20" s="118"/>
      <c r="U20" s="118"/>
      <c r="V20" s="117">
        <f t="shared" si="15"/>
        <v>0</v>
      </c>
      <c r="W20" s="118"/>
      <c r="X20" s="118"/>
      <c r="Y20" s="117">
        <f t="shared" si="3"/>
        <v>0</v>
      </c>
      <c r="Z20" s="117">
        <f t="shared" si="16"/>
        <v>0</v>
      </c>
      <c r="AA20" s="119" t="e">
        <f t="shared" si="25"/>
        <v>#DIV/0!</v>
      </c>
      <c r="AB20" s="117">
        <f t="shared" si="17"/>
        <v>0</v>
      </c>
      <c r="AC20" s="118"/>
      <c r="AD20" s="119">
        <f t="shared" si="5"/>
        <v>0</v>
      </c>
      <c r="AE20" s="118"/>
      <c r="AF20" s="118"/>
      <c r="AG20" s="118"/>
      <c r="AH20" s="118"/>
      <c r="AI20" s="152">
        <f t="shared" si="26"/>
        <v>0</v>
      </c>
      <c r="AJ20" s="118"/>
      <c r="AK20" s="120">
        <f t="shared" si="18"/>
        <v>0</v>
      </c>
      <c r="AL20" s="121">
        <f t="shared" si="19"/>
        <v>0</v>
      </c>
      <c r="AM20" s="122"/>
      <c r="AN20" s="123">
        <f t="shared" si="7"/>
        <v>0</v>
      </c>
      <c r="AO20" s="124">
        <f t="shared" si="8"/>
        <v>129.46</v>
      </c>
      <c r="AP20" s="124">
        <f t="shared" si="9"/>
        <v>0</v>
      </c>
      <c r="AQ20" s="124">
        <f t="shared" si="20"/>
        <v>0</v>
      </c>
      <c r="AR20" s="124">
        <f t="shared" si="21"/>
        <v>0</v>
      </c>
      <c r="AS20" s="124">
        <f t="array" ref="AS20">_xlfn.IFS(S20=0,AL20,S20&lt;0,AL20/-S20,S20&gt;0,AL20/S20)</f>
        <v>0</v>
      </c>
      <c r="AT20" s="119">
        <f t="shared" si="23"/>
        <v>0</v>
      </c>
      <c r="AU20" s="119">
        <f t="shared" si="24"/>
        <v>0</v>
      </c>
      <c r="AV20" s="125"/>
      <c r="AW20" s="120">
        <f t="shared" si="12"/>
        <v>0</v>
      </c>
    </row>
    <row r="21" spans="1:49" outlineLevel="1">
      <c r="A21" s="114"/>
      <c r="B21" s="115">
        <v>806776658</v>
      </c>
      <c r="C21" s="115" t="s">
        <v>179</v>
      </c>
      <c r="D21" s="116" t="s">
        <v>93</v>
      </c>
      <c r="E21" s="117">
        <f t="shared" si="13"/>
        <v>0</v>
      </c>
      <c r="F21" s="117"/>
      <c r="G21" s="117"/>
      <c r="H21" s="117"/>
      <c r="I21" s="117">
        <v>135.31</v>
      </c>
      <c r="J21" s="117">
        <f t="shared" si="0"/>
        <v>0</v>
      </c>
      <c r="K21" s="114"/>
      <c r="L21" s="114"/>
      <c r="M21" s="114"/>
      <c r="N21" s="114"/>
      <c r="O21" s="213">
        <f t="shared" si="1"/>
        <v>0</v>
      </c>
      <c r="P21" s="117">
        <f t="shared" si="22"/>
        <v>0</v>
      </c>
      <c r="Q21" s="118"/>
      <c r="R21" s="118"/>
      <c r="S21" s="117">
        <f t="shared" si="14"/>
        <v>0</v>
      </c>
      <c r="T21" s="118"/>
      <c r="U21" s="118"/>
      <c r="V21" s="117">
        <f t="shared" si="15"/>
        <v>0</v>
      </c>
      <c r="W21" s="118"/>
      <c r="X21" s="118"/>
      <c r="Y21" s="117">
        <f t="shared" si="3"/>
        <v>0</v>
      </c>
      <c r="Z21" s="117">
        <f t="shared" si="16"/>
        <v>0</v>
      </c>
      <c r="AA21" s="119" t="e">
        <f t="shared" si="25"/>
        <v>#DIV/0!</v>
      </c>
      <c r="AB21" s="117">
        <f t="shared" si="17"/>
        <v>0</v>
      </c>
      <c r="AC21" s="118"/>
      <c r="AD21" s="119">
        <f t="shared" si="5"/>
        <v>0</v>
      </c>
      <c r="AE21" s="118"/>
      <c r="AF21" s="118"/>
      <c r="AG21" s="118"/>
      <c r="AH21" s="118"/>
      <c r="AI21" s="152">
        <f t="shared" si="26"/>
        <v>0</v>
      </c>
      <c r="AJ21" s="118"/>
      <c r="AK21" s="120">
        <f t="shared" si="18"/>
        <v>0</v>
      </c>
      <c r="AL21" s="121">
        <f t="shared" si="19"/>
        <v>0</v>
      </c>
      <c r="AM21" s="122"/>
      <c r="AN21" s="123">
        <f t="shared" si="7"/>
        <v>0</v>
      </c>
      <c r="AO21" s="124">
        <f t="shared" si="8"/>
        <v>135.31</v>
      </c>
      <c r="AP21" s="124">
        <f t="shared" si="9"/>
        <v>0</v>
      </c>
      <c r="AQ21" s="124">
        <f t="shared" si="20"/>
        <v>0</v>
      </c>
      <c r="AR21" s="124">
        <f t="shared" si="21"/>
        <v>0</v>
      </c>
      <c r="AS21" s="124">
        <f t="array" ref="AS21">_xlfn.IFS(S21=0,AL21,S21&lt;0,AL21/-S21,S21&gt;0,AL21/S21)</f>
        <v>0</v>
      </c>
      <c r="AT21" s="119">
        <f t="shared" si="23"/>
        <v>0</v>
      </c>
      <c r="AU21" s="119">
        <f t="shared" si="24"/>
        <v>0</v>
      </c>
      <c r="AV21" s="125"/>
      <c r="AW21" s="120">
        <f t="shared" si="12"/>
        <v>0</v>
      </c>
    </row>
    <row r="22" spans="1:49" outlineLevel="1">
      <c r="A22" s="114"/>
      <c r="B22" s="115">
        <v>806769378</v>
      </c>
      <c r="C22" s="115" t="s">
        <v>180</v>
      </c>
      <c r="D22" s="116" t="s">
        <v>93</v>
      </c>
      <c r="E22" s="117">
        <f t="shared" si="13"/>
        <v>0</v>
      </c>
      <c r="F22" s="117"/>
      <c r="G22" s="117"/>
      <c r="H22" s="117"/>
      <c r="I22" s="117">
        <v>135.31</v>
      </c>
      <c r="J22" s="117">
        <f t="shared" si="0"/>
        <v>0</v>
      </c>
      <c r="K22" s="114"/>
      <c r="L22" s="114"/>
      <c r="M22" s="114"/>
      <c r="N22" s="114"/>
      <c r="O22" s="213">
        <f t="shared" si="1"/>
        <v>0</v>
      </c>
      <c r="P22" s="117">
        <f t="shared" si="22"/>
        <v>0</v>
      </c>
      <c r="Q22" s="118"/>
      <c r="R22" s="118"/>
      <c r="S22" s="117">
        <f t="shared" si="14"/>
        <v>0</v>
      </c>
      <c r="T22" s="118"/>
      <c r="U22" s="118"/>
      <c r="V22" s="117">
        <f t="shared" si="15"/>
        <v>0</v>
      </c>
      <c r="W22" s="118"/>
      <c r="X22" s="118"/>
      <c r="Y22" s="117">
        <f t="shared" si="3"/>
        <v>0</v>
      </c>
      <c r="Z22" s="117">
        <f t="shared" si="16"/>
        <v>0</v>
      </c>
      <c r="AA22" s="119" t="e">
        <f t="shared" si="25"/>
        <v>#DIV/0!</v>
      </c>
      <c r="AB22" s="117">
        <f t="shared" si="17"/>
        <v>0</v>
      </c>
      <c r="AC22" s="118"/>
      <c r="AD22" s="119">
        <f t="shared" si="5"/>
        <v>0</v>
      </c>
      <c r="AE22" s="118"/>
      <c r="AF22" s="118"/>
      <c r="AG22" s="118"/>
      <c r="AH22" s="118"/>
      <c r="AI22" s="152">
        <f t="shared" si="26"/>
        <v>0</v>
      </c>
      <c r="AJ22" s="118"/>
      <c r="AK22" s="120">
        <f t="shared" si="18"/>
        <v>0</v>
      </c>
      <c r="AL22" s="121">
        <f t="shared" si="19"/>
        <v>0</v>
      </c>
      <c r="AM22" s="122"/>
      <c r="AN22" s="123">
        <f t="shared" si="7"/>
        <v>0</v>
      </c>
      <c r="AO22" s="124">
        <f t="shared" si="8"/>
        <v>135.31</v>
      </c>
      <c r="AP22" s="124">
        <f t="shared" si="9"/>
        <v>0</v>
      </c>
      <c r="AQ22" s="124">
        <f t="shared" si="20"/>
        <v>0</v>
      </c>
      <c r="AR22" s="124">
        <f t="shared" si="21"/>
        <v>0</v>
      </c>
      <c r="AS22" s="124">
        <f t="array" ref="AS22">_xlfn.IFS(S22=0,AL22,S22&lt;0,AL22/-S22,S22&gt;0,AL22/S22)</f>
        <v>0</v>
      </c>
      <c r="AT22" s="119">
        <f t="shared" si="23"/>
        <v>0</v>
      </c>
      <c r="AU22" s="119">
        <f t="shared" si="24"/>
        <v>0</v>
      </c>
      <c r="AV22" s="125"/>
      <c r="AW22" s="120">
        <f t="shared" si="12"/>
        <v>0</v>
      </c>
    </row>
    <row r="23" spans="1:49" outlineLevel="1">
      <c r="A23" s="114"/>
      <c r="B23" s="115">
        <v>806737023</v>
      </c>
      <c r="C23" s="115" t="s">
        <v>181</v>
      </c>
      <c r="D23" s="116" t="s">
        <v>93</v>
      </c>
      <c r="E23" s="117">
        <f t="shared" si="13"/>
        <v>0</v>
      </c>
      <c r="F23" s="117"/>
      <c r="G23" s="117"/>
      <c r="H23" s="117"/>
      <c r="I23" s="117">
        <v>135.31</v>
      </c>
      <c r="J23" s="117">
        <f t="shared" si="0"/>
        <v>0</v>
      </c>
      <c r="K23" s="114"/>
      <c r="L23" s="114"/>
      <c r="M23" s="114"/>
      <c r="N23" s="114"/>
      <c r="O23" s="213">
        <f t="shared" si="1"/>
        <v>0</v>
      </c>
      <c r="P23" s="117">
        <f t="shared" si="22"/>
        <v>0</v>
      </c>
      <c r="Q23" s="118"/>
      <c r="R23" s="118"/>
      <c r="S23" s="117">
        <f t="shared" si="14"/>
        <v>0</v>
      </c>
      <c r="T23" s="118"/>
      <c r="U23" s="118"/>
      <c r="V23" s="117">
        <f t="shared" si="15"/>
        <v>0</v>
      </c>
      <c r="W23" s="118"/>
      <c r="X23" s="118"/>
      <c r="Y23" s="117">
        <f t="shared" si="3"/>
        <v>0</v>
      </c>
      <c r="Z23" s="117">
        <f t="shared" si="16"/>
        <v>0</v>
      </c>
      <c r="AA23" s="119" t="e">
        <f t="shared" si="25"/>
        <v>#DIV/0!</v>
      </c>
      <c r="AB23" s="117">
        <f t="shared" si="17"/>
        <v>0</v>
      </c>
      <c r="AC23" s="118"/>
      <c r="AD23" s="119">
        <f t="shared" si="5"/>
        <v>0</v>
      </c>
      <c r="AE23" s="118"/>
      <c r="AF23" s="118"/>
      <c r="AG23" s="118"/>
      <c r="AH23" s="118"/>
      <c r="AI23" s="152">
        <f t="shared" si="26"/>
        <v>0</v>
      </c>
      <c r="AJ23" s="118"/>
      <c r="AK23" s="120">
        <f t="shared" si="18"/>
        <v>0</v>
      </c>
      <c r="AL23" s="121">
        <f t="shared" si="19"/>
        <v>0</v>
      </c>
      <c r="AM23" s="122"/>
      <c r="AN23" s="123">
        <f t="shared" si="7"/>
        <v>0</v>
      </c>
      <c r="AO23" s="124">
        <f t="shared" si="8"/>
        <v>135.31</v>
      </c>
      <c r="AP23" s="124">
        <f t="shared" si="9"/>
        <v>0</v>
      </c>
      <c r="AQ23" s="124">
        <f t="shared" si="20"/>
        <v>0</v>
      </c>
      <c r="AR23" s="124">
        <f t="shared" si="21"/>
        <v>0</v>
      </c>
      <c r="AS23" s="124">
        <f t="array" ref="AS23">_xlfn.IFS(S23=0,AL23,S23&lt;0,AL23/-S23,S23&gt;0,AL23/S23)</f>
        <v>0</v>
      </c>
      <c r="AT23" s="119">
        <f t="shared" si="23"/>
        <v>0</v>
      </c>
      <c r="AU23" s="119">
        <f t="shared" si="24"/>
        <v>0</v>
      </c>
      <c r="AV23" s="125"/>
      <c r="AW23" s="120">
        <f t="shared" si="12"/>
        <v>0</v>
      </c>
    </row>
    <row r="24" spans="1:49" outlineLevel="1">
      <c r="A24" s="114"/>
      <c r="B24" s="115">
        <v>815383690</v>
      </c>
      <c r="C24" s="115" t="s">
        <v>182</v>
      </c>
      <c r="D24" s="116" t="s">
        <v>93</v>
      </c>
      <c r="E24" s="117">
        <f t="shared" si="13"/>
        <v>0</v>
      </c>
      <c r="F24" s="117"/>
      <c r="G24" s="117"/>
      <c r="H24" s="117"/>
      <c r="I24" s="117">
        <v>129.46</v>
      </c>
      <c r="J24" s="117">
        <f t="shared" si="0"/>
        <v>0</v>
      </c>
      <c r="K24" s="114"/>
      <c r="L24" s="114"/>
      <c r="M24" s="114"/>
      <c r="N24" s="114"/>
      <c r="O24" s="213">
        <f t="shared" si="1"/>
        <v>0</v>
      </c>
      <c r="P24" s="117">
        <f t="shared" si="22"/>
        <v>0</v>
      </c>
      <c r="Q24" s="118"/>
      <c r="R24" s="118"/>
      <c r="S24" s="117">
        <f t="shared" si="14"/>
        <v>0</v>
      </c>
      <c r="T24" s="118"/>
      <c r="U24" s="118"/>
      <c r="V24" s="117">
        <f t="shared" si="15"/>
        <v>0</v>
      </c>
      <c r="W24" s="118"/>
      <c r="X24" s="118"/>
      <c r="Y24" s="117">
        <f t="shared" si="3"/>
        <v>0</v>
      </c>
      <c r="Z24" s="117">
        <f t="shared" si="16"/>
        <v>0</v>
      </c>
      <c r="AA24" s="119" t="e">
        <f t="shared" si="25"/>
        <v>#DIV/0!</v>
      </c>
      <c r="AB24" s="117">
        <f t="shared" si="17"/>
        <v>0</v>
      </c>
      <c r="AC24" s="118"/>
      <c r="AD24" s="119">
        <f t="shared" si="5"/>
        <v>0</v>
      </c>
      <c r="AE24" s="118"/>
      <c r="AF24" s="118"/>
      <c r="AG24" s="118"/>
      <c r="AH24" s="118"/>
      <c r="AI24" s="152">
        <f t="shared" si="26"/>
        <v>0</v>
      </c>
      <c r="AJ24" s="118"/>
      <c r="AK24" s="120">
        <f t="shared" si="18"/>
        <v>0</v>
      </c>
      <c r="AL24" s="121">
        <f t="shared" si="19"/>
        <v>0</v>
      </c>
      <c r="AM24" s="122"/>
      <c r="AN24" s="123">
        <f t="shared" si="7"/>
        <v>0</v>
      </c>
      <c r="AO24" s="124">
        <f t="shared" si="8"/>
        <v>129.46</v>
      </c>
      <c r="AP24" s="124">
        <f t="shared" si="9"/>
        <v>0</v>
      </c>
      <c r="AQ24" s="124">
        <f t="shared" si="20"/>
        <v>0</v>
      </c>
      <c r="AR24" s="124">
        <f t="shared" si="21"/>
        <v>0</v>
      </c>
      <c r="AS24" s="124">
        <f t="array" ref="AS24">_xlfn.IFS(S24=0,AL24,S24&lt;0,AL24/-S24,S24&gt;0,AL24/S24)</f>
        <v>0</v>
      </c>
      <c r="AT24" s="119">
        <f t="shared" si="23"/>
        <v>0</v>
      </c>
      <c r="AU24" s="119">
        <f t="shared" si="24"/>
        <v>0</v>
      </c>
      <c r="AV24" s="125"/>
      <c r="AW24" s="120">
        <f t="shared" si="12"/>
        <v>0</v>
      </c>
    </row>
    <row r="25" spans="1:49" outlineLevel="1">
      <c r="A25" s="114"/>
      <c r="B25" s="115">
        <v>807104173</v>
      </c>
      <c r="C25" s="115" t="s">
        <v>183</v>
      </c>
      <c r="D25" s="116" t="s">
        <v>93</v>
      </c>
      <c r="E25" s="117">
        <f t="shared" si="13"/>
        <v>0</v>
      </c>
      <c r="F25" s="117"/>
      <c r="G25" s="117"/>
      <c r="H25" s="117"/>
      <c r="I25" s="117">
        <v>117.76</v>
      </c>
      <c r="J25" s="117">
        <f t="shared" si="0"/>
        <v>0</v>
      </c>
      <c r="K25" s="114"/>
      <c r="L25" s="114"/>
      <c r="M25" s="114"/>
      <c r="N25" s="114"/>
      <c r="O25" s="213">
        <f t="shared" si="1"/>
        <v>0</v>
      </c>
      <c r="P25" s="117">
        <f t="shared" si="22"/>
        <v>0</v>
      </c>
      <c r="Q25" s="118"/>
      <c r="R25" s="118"/>
      <c r="S25" s="117">
        <f t="shared" si="14"/>
        <v>0</v>
      </c>
      <c r="T25" s="118"/>
      <c r="U25" s="118"/>
      <c r="V25" s="117">
        <f t="shared" si="15"/>
        <v>0</v>
      </c>
      <c r="W25" s="118"/>
      <c r="X25" s="118"/>
      <c r="Y25" s="117">
        <f t="shared" si="3"/>
        <v>0</v>
      </c>
      <c r="Z25" s="117">
        <f t="shared" si="16"/>
        <v>0</v>
      </c>
      <c r="AA25" s="119" t="e">
        <f t="shared" si="25"/>
        <v>#DIV/0!</v>
      </c>
      <c r="AB25" s="117">
        <f t="shared" si="17"/>
        <v>0</v>
      </c>
      <c r="AC25" s="118"/>
      <c r="AD25" s="119">
        <f t="shared" si="5"/>
        <v>0</v>
      </c>
      <c r="AE25" s="118"/>
      <c r="AF25" s="118"/>
      <c r="AG25" s="118"/>
      <c r="AH25" s="118"/>
      <c r="AI25" s="152">
        <f t="shared" si="26"/>
        <v>0</v>
      </c>
      <c r="AJ25" s="118"/>
      <c r="AK25" s="120">
        <f t="shared" si="18"/>
        <v>0</v>
      </c>
      <c r="AL25" s="121">
        <f t="shared" si="19"/>
        <v>0</v>
      </c>
      <c r="AM25" s="122"/>
      <c r="AN25" s="123">
        <f t="shared" si="7"/>
        <v>0</v>
      </c>
      <c r="AO25" s="124">
        <f t="shared" si="8"/>
        <v>117.76</v>
      </c>
      <c r="AP25" s="124">
        <f t="shared" si="9"/>
        <v>0</v>
      </c>
      <c r="AQ25" s="124">
        <f t="shared" si="20"/>
        <v>0</v>
      </c>
      <c r="AR25" s="124">
        <f t="shared" si="21"/>
        <v>0</v>
      </c>
      <c r="AS25" s="124">
        <f t="array" ref="AS25">_xlfn.IFS(S25=0,AL25,S25&lt;0,AL25/-S25,S25&gt;0,AL25/S25)</f>
        <v>0</v>
      </c>
      <c r="AT25" s="119">
        <f t="shared" si="23"/>
        <v>0</v>
      </c>
      <c r="AU25" s="119">
        <f t="shared" si="24"/>
        <v>0</v>
      </c>
      <c r="AV25" s="125"/>
      <c r="AW25" s="120">
        <f t="shared" si="12"/>
        <v>0</v>
      </c>
    </row>
    <row r="26" spans="1:49" outlineLevel="1">
      <c r="A26" s="114"/>
      <c r="B26" s="115">
        <v>807130690</v>
      </c>
      <c r="C26" s="115" t="s">
        <v>184</v>
      </c>
      <c r="D26" s="116" t="s">
        <v>93</v>
      </c>
      <c r="E26" s="117">
        <f t="shared" si="13"/>
        <v>0</v>
      </c>
      <c r="F26" s="117"/>
      <c r="G26" s="117"/>
      <c r="H26" s="117"/>
      <c r="I26" s="117">
        <v>117.76</v>
      </c>
      <c r="J26" s="117">
        <f t="shared" si="0"/>
        <v>0</v>
      </c>
      <c r="K26" s="114"/>
      <c r="L26" s="114"/>
      <c r="M26" s="114"/>
      <c r="N26" s="114"/>
      <c r="O26" s="213">
        <f t="shared" si="1"/>
        <v>0</v>
      </c>
      <c r="P26" s="117">
        <f t="shared" si="22"/>
        <v>0</v>
      </c>
      <c r="Q26" s="118"/>
      <c r="R26" s="118"/>
      <c r="S26" s="117">
        <f t="shared" si="14"/>
        <v>0</v>
      </c>
      <c r="T26" s="118"/>
      <c r="U26" s="118"/>
      <c r="V26" s="117">
        <f t="shared" si="15"/>
        <v>0</v>
      </c>
      <c r="W26" s="118"/>
      <c r="X26" s="118"/>
      <c r="Y26" s="117">
        <f t="shared" si="3"/>
        <v>0</v>
      </c>
      <c r="Z26" s="117">
        <f t="shared" si="16"/>
        <v>0</v>
      </c>
      <c r="AA26" s="119" t="e">
        <f t="shared" si="25"/>
        <v>#DIV/0!</v>
      </c>
      <c r="AB26" s="117">
        <f t="shared" si="17"/>
        <v>0</v>
      </c>
      <c r="AC26" s="118"/>
      <c r="AD26" s="119">
        <f t="shared" si="5"/>
        <v>0</v>
      </c>
      <c r="AE26" s="118"/>
      <c r="AF26" s="118"/>
      <c r="AG26" s="118"/>
      <c r="AH26" s="118"/>
      <c r="AI26" s="152">
        <f t="shared" si="26"/>
        <v>0</v>
      </c>
      <c r="AJ26" s="118"/>
      <c r="AK26" s="120">
        <f t="shared" si="18"/>
        <v>0</v>
      </c>
      <c r="AL26" s="121">
        <f t="shared" si="19"/>
        <v>0</v>
      </c>
      <c r="AM26" s="122"/>
      <c r="AN26" s="123">
        <f t="shared" si="7"/>
        <v>0</v>
      </c>
      <c r="AO26" s="124">
        <f t="shared" si="8"/>
        <v>117.76</v>
      </c>
      <c r="AP26" s="124">
        <f t="shared" si="9"/>
        <v>0</v>
      </c>
      <c r="AQ26" s="124">
        <f t="shared" si="20"/>
        <v>0</v>
      </c>
      <c r="AR26" s="124">
        <f t="shared" si="21"/>
        <v>0</v>
      </c>
      <c r="AS26" s="124">
        <f t="array" ref="AS26">_xlfn.IFS(S26=0,AL26,S26&lt;0,AL26/-S26,S26&gt;0,AL26/S26)</f>
        <v>0</v>
      </c>
      <c r="AT26" s="119">
        <f t="shared" si="23"/>
        <v>0</v>
      </c>
      <c r="AU26" s="119">
        <f t="shared" si="24"/>
        <v>0</v>
      </c>
      <c r="AV26" s="125"/>
      <c r="AW26" s="120">
        <f t="shared" si="12"/>
        <v>0</v>
      </c>
    </row>
    <row r="27" spans="1:49" outlineLevel="1">
      <c r="A27" s="114"/>
      <c r="B27" s="115">
        <v>807111184</v>
      </c>
      <c r="C27" s="115" t="s">
        <v>185</v>
      </c>
      <c r="D27" s="116" t="s">
        <v>93</v>
      </c>
      <c r="E27" s="117">
        <f t="shared" si="13"/>
        <v>0</v>
      </c>
      <c r="F27" s="117"/>
      <c r="G27" s="117"/>
      <c r="H27" s="117"/>
      <c r="I27" s="117">
        <v>117.76</v>
      </c>
      <c r="J27" s="117">
        <f t="shared" si="0"/>
        <v>0</v>
      </c>
      <c r="K27" s="114"/>
      <c r="L27" s="114"/>
      <c r="M27" s="114"/>
      <c r="N27" s="114"/>
      <c r="O27" s="213">
        <f t="shared" si="1"/>
        <v>0</v>
      </c>
      <c r="P27" s="117">
        <f t="shared" si="22"/>
        <v>0</v>
      </c>
      <c r="Q27" s="118"/>
      <c r="R27" s="118"/>
      <c r="S27" s="117">
        <f t="shared" si="14"/>
        <v>0</v>
      </c>
      <c r="T27" s="118"/>
      <c r="U27" s="118"/>
      <c r="V27" s="117">
        <f t="shared" si="15"/>
        <v>0</v>
      </c>
      <c r="W27" s="118"/>
      <c r="X27" s="118"/>
      <c r="Y27" s="117">
        <f t="shared" si="3"/>
        <v>0</v>
      </c>
      <c r="Z27" s="117">
        <f t="shared" si="16"/>
        <v>0</v>
      </c>
      <c r="AA27" s="119" t="e">
        <f t="shared" si="25"/>
        <v>#DIV/0!</v>
      </c>
      <c r="AB27" s="117">
        <f t="shared" si="17"/>
        <v>0</v>
      </c>
      <c r="AC27" s="118"/>
      <c r="AD27" s="119">
        <f t="shared" si="5"/>
        <v>0</v>
      </c>
      <c r="AE27" s="118"/>
      <c r="AF27" s="118"/>
      <c r="AG27" s="118"/>
      <c r="AH27" s="118"/>
      <c r="AI27" s="152">
        <f t="shared" si="26"/>
        <v>0</v>
      </c>
      <c r="AJ27" s="118"/>
      <c r="AK27" s="120">
        <f t="shared" si="18"/>
        <v>0</v>
      </c>
      <c r="AL27" s="121">
        <f t="shared" si="19"/>
        <v>0</v>
      </c>
      <c r="AM27" s="122"/>
      <c r="AN27" s="123">
        <f t="shared" si="7"/>
        <v>0</v>
      </c>
      <c r="AO27" s="124">
        <f t="shared" si="8"/>
        <v>117.76</v>
      </c>
      <c r="AP27" s="124">
        <f t="shared" si="9"/>
        <v>0</v>
      </c>
      <c r="AQ27" s="124">
        <f t="shared" si="20"/>
        <v>0</v>
      </c>
      <c r="AR27" s="124">
        <f t="shared" si="21"/>
        <v>0</v>
      </c>
      <c r="AS27" s="124">
        <f t="array" ref="AS27">_xlfn.IFS(S27=0,AL27,S27&lt;0,AL27/-S27,S27&gt;0,AL27/S27)</f>
        <v>0</v>
      </c>
      <c r="AT27" s="119">
        <f t="shared" si="23"/>
        <v>0</v>
      </c>
      <c r="AU27" s="119">
        <f t="shared" si="24"/>
        <v>0</v>
      </c>
      <c r="AV27" s="125"/>
      <c r="AW27" s="120">
        <f t="shared" si="12"/>
        <v>0</v>
      </c>
    </row>
    <row r="28" spans="1:49" outlineLevel="1">
      <c r="A28" s="114"/>
      <c r="B28" s="115">
        <v>804632035</v>
      </c>
      <c r="C28" s="115" t="s">
        <v>186</v>
      </c>
      <c r="D28" s="116" t="s">
        <v>93</v>
      </c>
      <c r="E28" s="117">
        <f t="shared" si="13"/>
        <v>0</v>
      </c>
      <c r="F28" s="117"/>
      <c r="G28" s="117"/>
      <c r="H28" s="117"/>
      <c r="I28" s="117">
        <v>218.89</v>
      </c>
      <c r="J28" s="117">
        <f t="shared" si="0"/>
        <v>0</v>
      </c>
      <c r="K28" s="114"/>
      <c r="L28" s="114"/>
      <c r="M28" s="114"/>
      <c r="N28" s="114"/>
      <c r="O28" s="213">
        <f t="shared" si="1"/>
        <v>0</v>
      </c>
      <c r="P28" s="117">
        <f t="shared" si="22"/>
        <v>0</v>
      </c>
      <c r="Q28" s="118"/>
      <c r="R28" s="118"/>
      <c r="S28" s="117">
        <f t="shared" si="14"/>
        <v>0</v>
      </c>
      <c r="T28" s="118"/>
      <c r="U28" s="118"/>
      <c r="V28" s="117">
        <f t="shared" si="15"/>
        <v>0</v>
      </c>
      <c r="W28" s="118"/>
      <c r="X28" s="118"/>
      <c r="Y28" s="117">
        <f t="shared" si="3"/>
        <v>0</v>
      </c>
      <c r="Z28" s="117">
        <f t="shared" si="16"/>
        <v>0</v>
      </c>
      <c r="AA28" s="119" t="e">
        <f t="shared" si="25"/>
        <v>#DIV/0!</v>
      </c>
      <c r="AB28" s="117">
        <f t="shared" si="17"/>
        <v>0</v>
      </c>
      <c r="AC28" s="118"/>
      <c r="AD28" s="119">
        <f t="shared" si="5"/>
        <v>0</v>
      </c>
      <c r="AE28" s="118"/>
      <c r="AF28" s="118"/>
      <c r="AG28" s="118"/>
      <c r="AH28" s="118"/>
      <c r="AI28" s="152">
        <f t="shared" si="26"/>
        <v>0</v>
      </c>
      <c r="AJ28" s="118"/>
      <c r="AK28" s="120">
        <f t="shared" si="18"/>
        <v>0</v>
      </c>
      <c r="AL28" s="121">
        <f t="shared" si="19"/>
        <v>0</v>
      </c>
      <c r="AM28" s="122"/>
      <c r="AN28" s="123">
        <f t="shared" si="7"/>
        <v>0</v>
      </c>
      <c r="AO28" s="124">
        <f t="shared" si="8"/>
        <v>218.89</v>
      </c>
      <c r="AP28" s="124">
        <f t="shared" si="9"/>
        <v>0</v>
      </c>
      <c r="AQ28" s="124">
        <f t="shared" si="20"/>
        <v>0</v>
      </c>
      <c r="AR28" s="124">
        <f t="shared" si="21"/>
        <v>0</v>
      </c>
      <c r="AS28" s="124">
        <f t="array" ref="AS28">_xlfn.IFS(S28=0,AL28,S28&lt;0,AL28/-S28,S28&gt;0,AL28/S28)</f>
        <v>0</v>
      </c>
      <c r="AT28" s="119">
        <f t="shared" si="23"/>
        <v>0</v>
      </c>
      <c r="AU28" s="119">
        <f t="shared" si="24"/>
        <v>0</v>
      </c>
      <c r="AV28" s="125"/>
      <c r="AW28" s="120">
        <f t="shared" si="12"/>
        <v>0</v>
      </c>
    </row>
    <row r="29" spans="1:49" outlineLevel="1">
      <c r="A29" s="114"/>
      <c r="B29" s="115">
        <v>804647664</v>
      </c>
      <c r="C29" s="115" t="s">
        <v>187</v>
      </c>
      <c r="D29" s="116" t="s">
        <v>93</v>
      </c>
      <c r="E29" s="117">
        <f t="shared" si="13"/>
        <v>0</v>
      </c>
      <c r="F29" s="117"/>
      <c r="G29" s="117"/>
      <c r="H29" s="117"/>
      <c r="I29" s="117">
        <v>218.89</v>
      </c>
      <c r="J29" s="117">
        <f t="shared" si="0"/>
        <v>0</v>
      </c>
      <c r="K29" s="114"/>
      <c r="L29" s="114"/>
      <c r="M29" s="114"/>
      <c r="N29" s="114"/>
      <c r="O29" s="213">
        <f t="shared" si="1"/>
        <v>0</v>
      </c>
      <c r="P29" s="117">
        <f t="shared" si="22"/>
        <v>0</v>
      </c>
      <c r="Q29" s="118"/>
      <c r="R29" s="118"/>
      <c r="S29" s="117">
        <f t="shared" si="14"/>
        <v>0</v>
      </c>
      <c r="T29" s="118"/>
      <c r="U29" s="118"/>
      <c r="V29" s="117">
        <f t="shared" si="15"/>
        <v>0</v>
      </c>
      <c r="W29" s="118"/>
      <c r="X29" s="118"/>
      <c r="Y29" s="117">
        <f t="shared" si="3"/>
        <v>0</v>
      </c>
      <c r="Z29" s="117">
        <f t="shared" si="16"/>
        <v>0</v>
      </c>
      <c r="AA29" s="119" t="e">
        <f t="shared" si="25"/>
        <v>#DIV/0!</v>
      </c>
      <c r="AB29" s="117">
        <f t="shared" si="17"/>
        <v>0</v>
      </c>
      <c r="AC29" s="118"/>
      <c r="AD29" s="119">
        <f t="shared" si="5"/>
        <v>0</v>
      </c>
      <c r="AE29" s="118"/>
      <c r="AF29" s="118"/>
      <c r="AG29" s="118"/>
      <c r="AH29" s="118"/>
      <c r="AI29" s="152">
        <f t="shared" si="26"/>
        <v>0</v>
      </c>
      <c r="AJ29" s="118"/>
      <c r="AK29" s="120">
        <f t="shared" si="18"/>
        <v>0</v>
      </c>
      <c r="AL29" s="121">
        <f t="shared" si="19"/>
        <v>0</v>
      </c>
      <c r="AM29" s="122"/>
      <c r="AN29" s="123">
        <f t="shared" si="7"/>
        <v>0</v>
      </c>
      <c r="AO29" s="124">
        <f t="shared" si="8"/>
        <v>218.89</v>
      </c>
      <c r="AP29" s="124">
        <f t="shared" si="9"/>
        <v>0</v>
      </c>
      <c r="AQ29" s="124">
        <f t="shared" si="20"/>
        <v>0</v>
      </c>
      <c r="AR29" s="124">
        <f t="shared" si="21"/>
        <v>0</v>
      </c>
      <c r="AS29" s="124">
        <f t="array" ref="AS29">_xlfn.IFS(S29=0,AL29,S29&lt;0,AL29/-S29,S29&gt;0,AL29/S29)</f>
        <v>0</v>
      </c>
      <c r="AT29" s="119">
        <f t="shared" si="23"/>
        <v>0</v>
      </c>
      <c r="AU29" s="119">
        <f t="shared" si="24"/>
        <v>0</v>
      </c>
      <c r="AV29" s="125"/>
      <c r="AW29" s="120">
        <f t="shared" si="12"/>
        <v>0</v>
      </c>
    </row>
    <row r="30" spans="1:49" outlineLevel="1">
      <c r="A30" s="114"/>
      <c r="B30" s="115">
        <v>804587637</v>
      </c>
      <c r="C30" s="115" t="s">
        <v>188</v>
      </c>
      <c r="D30" s="116" t="s">
        <v>93</v>
      </c>
      <c r="E30" s="117">
        <f t="shared" si="13"/>
        <v>0</v>
      </c>
      <c r="F30" s="117"/>
      <c r="G30" s="117"/>
      <c r="H30" s="117"/>
      <c r="I30" s="117">
        <v>178.89</v>
      </c>
      <c r="J30" s="117">
        <f t="shared" si="0"/>
        <v>0</v>
      </c>
      <c r="K30" s="114"/>
      <c r="L30" s="114"/>
      <c r="M30" s="114"/>
      <c r="N30" s="114"/>
      <c r="O30" s="213">
        <f t="shared" si="1"/>
        <v>0</v>
      </c>
      <c r="P30" s="117">
        <f t="shared" si="22"/>
        <v>0</v>
      </c>
      <c r="Q30" s="118"/>
      <c r="R30" s="118"/>
      <c r="S30" s="117">
        <f t="shared" si="14"/>
        <v>0</v>
      </c>
      <c r="T30" s="118"/>
      <c r="U30" s="118"/>
      <c r="V30" s="117">
        <f t="shared" si="15"/>
        <v>0</v>
      </c>
      <c r="W30" s="118"/>
      <c r="X30" s="118"/>
      <c r="Y30" s="117">
        <f t="shared" si="3"/>
        <v>0</v>
      </c>
      <c r="Z30" s="117">
        <f t="shared" si="16"/>
        <v>0</v>
      </c>
      <c r="AA30" s="119" t="e">
        <f t="shared" si="25"/>
        <v>#DIV/0!</v>
      </c>
      <c r="AB30" s="117">
        <f t="shared" si="17"/>
        <v>0</v>
      </c>
      <c r="AC30" s="118"/>
      <c r="AD30" s="119">
        <f t="shared" si="5"/>
        <v>0</v>
      </c>
      <c r="AE30" s="118"/>
      <c r="AF30" s="118"/>
      <c r="AG30" s="118"/>
      <c r="AH30" s="118"/>
      <c r="AI30" s="152">
        <f t="shared" si="26"/>
        <v>0</v>
      </c>
      <c r="AJ30" s="118"/>
      <c r="AK30" s="120">
        <f t="shared" si="18"/>
        <v>0</v>
      </c>
      <c r="AL30" s="121">
        <f t="shared" si="19"/>
        <v>0</v>
      </c>
      <c r="AM30" s="122"/>
      <c r="AN30" s="123">
        <f t="shared" si="7"/>
        <v>0</v>
      </c>
      <c r="AO30" s="124">
        <f t="shared" si="8"/>
        <v>178.89</v>
      </c>
      <c r="AP30" s="124">
        <f t="shared" si="9"/>
        <v>0</v>
      </c>
      <c r="AQ30" s="124">
        <f t="shared" si="20"/>
        <v>0</v>
      </c>
      <c r="AR30" s="124">
        <f t="shared" si="21"/>
        <v>0</v>
      </c>
      <c r="AS30" s="124">
        <f t="array" ref="AS30">_xlfn.IFS(S30=0,AL30,S30&lt;0,AL30/-S30,S30&gt;0,AL30/S30)</f>
        <v>0</v>
      </c>
      <c r="AT30" s="119">
        <f t="shared" si="23"/>
        <v>0</v>
      </c>
      <c r="AU30" s="119">
        <f t="shared" si="24"/>
        <v>0</v>
      </c>
      <c r="AV30" s="125"/>
      <c r="AW30" s="120">
        <f t="shared" si="12"/>
        <v>0</v>
      </c>
    </row>
    <row r="31" spans="1:49" outlineLevel="1">
      <c r="A31" s="114"/>
      <c r="B31" s="115">
        <v>804573581</v>
      </c>
      <c r="C31" s="115" t="s">
        <v>189</v>
      </c>
      <c r="D31" s="116" t="s">
        <v>93</v>
      </c>
      <c r="E31" s="117">
        <f t="shared" si="13"/>
        <v>0</v>
      </c>
      <c r="F31" s="117"/>
      <c r="G31" s="117"/>
      <c r="H31" s="117"/>
      <c r="I31" s="117">
        <v>178.89</v>
      </c>
      <c r="J31" s="117">
        <f t="shared" si="0"/>
        <v>0</v>
      </c>
      <c r="K31" s="114"/>
      <c r="L31" s="114"/>
      <c r="M31" s="114"/>
      <c r="N31" s="114"/>
      <c r="O31" s="213">
        <f t="shared" si="1"/>
        <v>0</v>
      </c>
      <c r="P31" s="117">
        <f t="shared" si="22"/>
        <v>0</v>
      </c>
      <c r="Q31" s="118"/>
      <c r="R31" s="118"/>
      <c r="S31" s="117">
        <f t="shared" si="14"/>
        <v>0</v>
      </c>
      <c r="T31" s="118"/>
      <c r="U31" s="118"/>
      <c r="V31" s="117">
        <f t="shared" si="15"/>
        <v>0</v>
      </c>
      <c r="W31" s="118"/>
      <c r="X31" s="118"/>
      <c r="Y31" s="117">
        <f t="shared" si="3"/>
        <v>0</v>
      </c>
      <c r="Z31" s="117">
        <f t="shared" si="16"/>
        <v>0</v>
      </c>
      <c r="AA31" s="119" t="e">
        <f t="shared" si="25"/>
        <v>#DIV/0!</v>
      </c>
      <c r="AB31" s="117">
        <f t="shared" si="17"/>
        <v>0</v>
      </c>
      <c r="AC31" s="118"/>
      <c r="AD31" s="119">
        <f t="shared" si="5"/>
        <v>0</v>
      </c>
      <c r="AE31" s="118"/>
      <c r="AF31" s="118"/>
      <c r="AG31" s="118"/>
      <c r="AH31" s="118"/>
      <c r="AI31" s="152">
        <f t="shared" si="26"/>
        <v>0</v>
      </c>
      <c r="AJ31" s="118"/>
      <c r="AK31" s="120">
        <f t="shared" si="18"/>
        <v>0</v>
      </c>
      <c r="AL31" s="121">
        <f t="shared" si="19"/>
        <v>0</v>
      </c>
      <c r="AM31" s="122"/>
      <c r="AN31" s="123">
        <f t="shared" si="7"/>
        <v>0</v>
      </c>
      <c r="AO31" s="124">
        <f t="shared" si="8"/>
        <v>178.89</v>
      </c>
      <c r="AP31" s="124">
        <f t="shared" si="9"/>
        <v>0</v>
      </c>
      <c r="AQ31" s="124">
        <f t="shared" si="20"/>
        <v>0</v>
      </c>
      <c r="AR31" s="124">
        <f t="shared" si="21"/>
        <v>0</v>
      </c>
      <c r="AS31" s="124">
        <f t="array" ref="AS31">_xlfn.IFS(S31=0,AL31,S31&lt;0,AL31/-S31,S31&gt;0,AL31/S31)</f>
        <v>0</v>
      </c>
      <c r="AT31" s="119">
        <f t="shared" si="23"/>
        <v>0</v>
      </c>
      <c r="AU31" s="119">
        <f t="shared" si="24"/>
        <v>0</v>
      </c>
      <c r="AV31" s="125"/>
      <c r="AW31" s="120">
        <f t="shared" si="12"/>
        <v>0</v>
      </c>
    </row>
    <row r="32" spans="1:49" outlineLevel="1">
      <c r="A32" s="114"/>
      <c r="B32" s="115">
        <v>804546783</v>
      </c>
      <c r="C32" s="115" t="s">
        <v>190</v>
      </c>
      <c r="D32" s="116" t="s">
        <v>93</v>
      </c>
      <c r="E32" s="117">
        <f t="shared" si="13"/>
        <v>0</v>
      </c>
      <c r="F32" s="117"/>
      <c r="G32" s="117"/>
      <c r="H32" s="117"/>
      <c r="I32" s="117">
        <v>178.89</v>
      </c>
      <c r="J32" s="117">
        <f t="shared" si="0"/>
        <v>0</v>
      </c>
      <c r="K32" s="114"/>
      <c r="L32" s="114"/>
      <c r="M32" s="114"/>
      <c r="N32" s="114"/>
      <c r="O32" s="213">
        <f t="shared" si="1"/>
        <v>0</v>
      </c>
      <c r="P32" s="117">
        <f t="shared" si="22"/>
        <v>0</v>
      </c>
      <c r="Q32" s="118"/>
      <c r="R32" s="118"/>
      <c r="S32" s="117">
        <f t="shared" si="14"/>
        <v>0</v>
      </c>
      <c r="T32" s="118"/>
      <c r="U32" s="118"/>
      <c r="V32" s="117">
        <f t="shared" si="15"/>
        <v>0</v>
      </c>
      <c r="W32" s="118"/>
      <c r="X32" s="118"/>
      <c r="Y32" s="117">
        <f t="shared" si="3"/>
        <v>0</v>
      </c>
      <c r="Z32" s="117">
        <f t="shared" si="16"/>
        <v>0</v>
      </c>
      <c r="AA32" s="119" t="e">
        <f t="shared" si="25"/>
        <v>#DIV/0!</v>
      </c>
      <c r="AB32" s="117">
        <f t="shared" si="17"/>
        <v>0</v>
      </c>
      <c r="AC32" s="118"/>
      <c r="AD32" s="119">
        <f t="shared" si="5"/>
        <v>0</v>
      </c>
      <c r="AE32" s="118"/>
      <c r="AF32" s="118"/>
      <c r="AG32" s="118"/>
      <c r="AH32" s="118"/>
      <c r="AI32" s="152">
        <f t="shared" si="26"/>
        <v>0</v>
      </c>
      <c r="AJ32" s="118"/>
      <c r="AK32" s="120">
        <f t="shared" si="18"/>
        <v>0</v>
      </c>
      <c r="AL32" s="121">
        <f t="shared" si="19"/>
        <v>0</v>
      </c>
      <c r="AM32" s="122"/>
      <c r="AN32" s="123">
        <f t="shared" si="7"/>
        <v>0</v>
      </c>
      <c r="AO32" s="124">
        <f t="shared" si="8"/>
        <v>178.89</v>
      </c>
      <c r="AP32" s="124">
        <f t="shared" si="9"/>
        <v>0</v>
      </c>
      <c r="AQ32" s="124">
        <f t="shared" si="20"/>
        <v>0</v>
      </c>
      <c r="AR32" s="124">
        <f t="shared" si="21"/>
        <v>0</v>
      </c>
      <c r="AS32" s="124">
        <f t="array" ref="AS32">_xlfn.IFS(S32=0,AL32,S32&lt;0,AL32/-S32,S32&gt;0,AL32/S32)</f>
        <v>0</v>
      </c>
      <c r="AT32" s="119">
        <f t="shared" si="23"/>
        <v>0</v>
      </c>
      <c r="AU32" s="119">
        <f t="shared" si="24"/>
        <v>0</v>
      </c>
      <c r="AV32" s="125"/>
      <c r="AW32" s="120">
        <f t="shared" si="12"/>
        <v>0</v>
      </c>
    </row>
    <row r="33" spans="1:49" outlineLevel="1">
      <c r="A33" s="114"/>
      <c r="B33" s="115">
        <v>804671683</v>
      </c>
      <c r="C33" s="115" t="s">
        <v>191</v>
      </c>
      <c r="D33" s="116" t="s">
        <v>93</v>
      </c>
      <c r="E33" s="117">
        <f t="shared" si="13"/>
        <v>0</v>
      </c>
      <c r="F33" s="117"/>
      <c r="G33" s="117"/>
      <c r="H33" s="117"/>
      <c r="I33" s="117">
        <v>178.89</v>
      </c>
      <c r="J33" s="117">
        <f t="shared" si="0"/>
        <v>0</v>
      </c>
      <c r="K33" s="114"/>
      <c r="L33" s="114"/>
      <c r="M33" s="114"/>
      <c r="N33" s="114"/>
      <c r="O33" s="213">
        <f t="shared" si="1"/>
        <v>0</v>
      </c>
      <c r="P33" s="117">
        <f t="shared" si="22"/>
        <v>0</v>
      </c>
      <c r="Q33" s="118"/>
      <c r="R33" s="118"/>
      <c r="S33" s="117">
        <f t="shared" si="14"/>
        <v>0</v>
      </c>
      <c r="T33" s="118"/>
      <c r="U33" s="118"/>
      <c r="V33" s="117">
        <f t="shared" si="15"/>
        <v>0</v>
      </c>
      <c r="W33" s="118"/>
      <c r="X33" s="118"/>
      <c r="Y33" s="117">
        <f t="shared" si="3"/>
        <v>0</v>
      </c>
      <c r="Z33" s="117">
        <f t="shared" si="16"/>
        <v>0</v>
      </c>
      <c r="AA33" s="119" t="e">
        <f t="shared" si="25"/>
        <v>#DIV/0!</v>
      </c>
      <c r="AB33" s="117">
        <f t="shared" si="17"/>
        <v>0</v>
      </c>
      <c r="AC33" s="118"/>
      <c r="AD33" s="119">
        <f t="shared" si="5"/>
        <v>0</v>
      </c>
      <c r="AE33" s="118"/>
      <c r="AF33" s="118"/>
      <c r="AG33" s="118"/>
      <c r="AH33" s="118"/>
      <c r="AI33" s="152">
        <f t="shared" si="26"/>
        <v>0</v>
      </c>
      <c r="AJ33" s="118"/>
      <c r="AK33" s="120">
        <f t="shared" si="18"/>
        <v>0</v>
      </c>
      <c r="AL33" s="121">
        <f t="shared" si="19"/>
        <v>0</v>
      </c>
      <c r="AM33" s="122"/>
      <c r="AN33" s="123">
        <f t="shared" si="7"/>
        <v>0</v>
      </c>
      <c r="AO33" s="124">
        <f t="shared" si="8"/>
        <v>178.89</v>
      </c>
      <c r="AP33" s="124">
        <f t="shared" si="9"/>
        <v>0</v>
      </c>
      <c r="AQ33" s="124">
        <f t="shared" si="20"/>
        <v>0</v>
      </c>
      <c r="AR33" s="124">
        <f t="shared" si="21"/>
        <v>0</v>
      </c>
      <c r="AS33" s="124">
        <f t="array" ref="AS33">_xlfn.IFS(S33=0,AL33,S33&lt;0,AL33/-S33,S33&gt;0,AL33/S33)</f>
        <v>0</v>
      </c>
      <c r="AT33" s="119">
        <f t="shared" si="23"/>
        <v>0</v>
      </c>
      <c r="AU33" s="119">
        <f t="shared" si="24"/>
        <v>0</v>
      </c>
      <c r="AV33" s="125"/>
      <c r="AW33" s="120">
        <f t="shared" si="12"/>
        <v>0</v>
      </c>
    </row>
    <row r="34" spans="1:49" outlineLevel="1">
      <c r="A34" s="114"/>
      <c r="B34" s="115">
        <v>804691336</v>
      </c>
      <c r="C34" s="115" t="s">
        <v>192</v>
      </c>
      <c r="D34" s="116" t="s">
        <v>93</v>
      </c>
      <c r="E34" s="117">
        <f t="shared" si="13"/>
        <v>0</v>
      </c>
      <c r="F34" s="117"/>
      <c r="G34" s="117"/>
      <c r="H34" s="117"/>
      <c r="I34" s="117">
        <v>178.89</v>
      </c>
      <c r="J34" s="117">
        <f t="shared" si="0"/>
        <v>0</v>
      </c>
      <c r="K34" s="114"/>
      <c r="L34" s="114"/>
      <c r="M34" s="114"/>
      <c r="N34" s="114"/>
      <c r="O34" s="213">
        <f t="shared" si="1"/>
        <v>0</v>
      </c>
      <c r="P34" s="117">
        <f t="shared" si="22"/>
        <v>0</v>
      </c>
      <c r="Q34" s="118"/>
      <c r="R34" s="118"/>
      <c r="S34" s="117">
        <f t="shared" si="14"/>
        <v>0</v>
      </c>
      <c r="T34" s="118"/>
      <c r="U34" s="118"/>
      <c r="V34" s="117">
        <f t="shared" si="15"/>
        <v>0</v>
      </c>
      <c r="W34" s="118"/>
      <c r="X34" s="118"/>
      <c r="Y34" s="117">
        <f t="shared" si="3"/>
        <v>0</v>
      </c>
      <c r="Z34" s="117">
        <f t="shared" si="16"/>
        <v>0</v>
      </c>
      <c r="AA34" s="119" t="e">
        <f t="shared" si="25"/>
        <v>#DIV/0!</v>
      </c>
      <c r="AB34" s="117">
        <f t="shared" si="17"/>
        <v>0</v>
      </c>
      <c r="AC34" s="118"/>
      <c r="AD34" s="119">
        <f t="shared" si="5"/>
        <v>0</v>
      </c>
      <c r="AE34" s="118"/>
      <c r="AF34" s="118"/>
      <c r="AG34" s="118"/>
      <c r="AH34" s="118"/>
      <c r="AI34" s="152">
        <f t="shared" si="26"/>
        <v>0</v>
      </c>
      <c r="AJ34" s="118"/>
      <c r="AK34" s="120">
        <f t="shared" si="18"/>
        <v>0</v>
      </c>
      <c r="AL34" s="121">
        <f t="shared" si="19"/>
        <v>0</v>
      </c>
      <c r="AM34" s="122"/>
      <c r="AN34" s="123">
        <f t="shared" si="7"/>
        <v>0</v>
      </c>
      <c r="AO34" s="124">
        <f t="shared" si="8"/>
        <v>178.89</v>
      </c>
      <c r="AP34" s="124">
        <f t="shared" si="9"/>
        <v>0</v>
      </c>
      <c r="AQ34" s="124">
        <f t="shared" si="20"/>
        <v>0</v>
      </c>
      <c r="AR34" s="124">
        <f t="shared" si="21"/>
        <v>0</v>
      </c>
      <c r="AS34" s="124">
        <f t="array" ref="AS34">_xlfn.IFS(S34=0,AL34,S34&lt;0,AL34/-S34,S34&gt;0,AL34/S34)</f>
        <v>0</v>
      </c>
      <c r="AT34" s="119">
        <f t="shared" si="23"/>
        <v>0</v>
      </c>
      <c r="AU34" s="119">
        <f t="shared" si="24"/>
        <v>0</v>
      </c>
      <c r="AV34" s="125"/>
      <c r="AW34" s="120">
        <f t="shared" si="12"/>
        <v>0</v>
      </c>
    </row>
    <row r="35" spans="1:49" s="140" customFormat="1" outlineLevel="1">
      <c r="A35" s="127"/>
      <c r="B35" s="128"/>
      <c r="C35" s="129"/>
      <c r="D35" s="130"/>
      <c r="E35" s="131"/>
      <c r="F35" s="131"/>
      <c r="G35" s="131"/>
      <c r="H35" s="131"/>
      <c r="I35" s="131"/>
      <c r="J35" s="131"/>
      <c r="K35" s="129"/>
      <c r="L35" s="129"/>
      <c r="M35" s="129"/>
      <c r="N35" s="129"/>
      <c r="O35" s="131"/>
      <c r="P35" s="131"/>
      <c r="Q35" s="132"/>
      <c r="R35" s="132"/>
      <c r="S35" s="131"/>
      <c r="T35" s="118"/>
      <c r="U35" s="118"/>
      <c r="V35" s="131"/>
      <c r="W35" s="132"/>
      <c r="X35" s="132"/>
      <c r="Y35" s="131"/>
      <c r="Z35" s="131"/>
      <c r="AA35" s="133"/>
      <c r="AB35" s="131"/>
      <c r="AC35" s="132"/>
      <c r="AD35" s="133"/>
      <c r="AE35" s="132"/>
      <c r="AF35" s="132"/>
      <c r="AG35" s="132"/>
      <c r="AH35" s="132"/>
      <c r="AI35" s="134"/>
      <c r="AJ35" s="132"/>
      <c r="AK35" s="135"/>
      <c r="AL35" s="136"/>
      <c r="AM35" s="137"/>
      <c r="AN35" s="138">
        <f t="shared" ref="AN35:AU35" si="27">AVERAGE(AN3:AN6)</f>
        <v>0</v>
      </c>
      <c r="AO35" s="138">
        <f t="shared" si="27"/>
        <v>128.0625</v>
      </c>
      <c r="AP35" s="138">
        <f t="shared" si="27"/>
        <v>0</v>
      </c>
      <c r="AQ35" s="138">
        <f t="shared" si="27"/>
        <v>0</v>
      </c>
      <c r="AR35" s="138">
        <f t="shared" si="27"/>
        <v>0</v>
      </c>
      <c r="AS35" s="138">
        <f t="shared" si="27"/>
        <v>0</v>
      </c>
      <c r="AT35" s="139">
        <f t="shared" si="27"/>
        <v>0</v>
      </c>
      <c r="AU35" s="138">
        <f t="shared" si="27"/>
        <v>0</v>
      </c>
      <c r="AV35" s="125"/>
      <c r="AW35" s="135"/>
    </row>
    <row r="36" spans="1:49" s="148" customFormat="1">
      <c r="A36" s="141" t="s">
        <v>106</v>
      </c>
      <c r="B36" s="142"/>
      <c r="C36" s="143"/>
      <c r="D36" s="143"/>
      <c r="E36" s="143">
        <f>SUM(E3:E34)</f>
        <v>0</v>
      </c>
      <c r="F36" s="143">
        <f>SUM(F3:F34)</f>
        <v>0</v>
      </c>
      <c r="G36" s="143">
        <f>SUM(G3:G34)</f>
        <v>0</v>
      </c>
      <c r="H36" s="143">
        <f>SUM(H3:H34)</f>
        <v>0</v>
      </c>
      <c r="I36" s="143"/>
      <c r="J36" s="143">
        <f>SUM(J3:J34)</f>
        <v>0</v>
      </c>
      <c r="K36" s="143"/>
      <c r="L36" s="143">
        <f>SUM(L3:L34)</f>
        <v>0</v>
      </c>
      <c r="M36" s="143"/>
      <c r="N36" s="143"/>
      <c r="O36" s="143"/>
      <c r="P36" s="143"/>
      <c r="Q36" s="143">
        <f t="shared" ref="Q36:AC36" si="28">SUM(Q3:Q34)</f>
        <v>0</v>
      </c>
      <c r="R36" s="143">
        <f t="shared" si="28"/>
        <v>0</v>
      </c>
      <c r="S36" s="143">
        <f t="shared" si="28"/>
        <v>0</v>
      </c>
      <c r="T36" s="143">
        <f t="shared" si="28"/>
        <v>0</v>
      </c>
      <c r="U36" s="143">
        <f t="shared" si="28"/>
        <v>0</v>
      </c>
      <c r="V36" s="143">
        <f t="shared" si="28"/>
        <v>0</v>
      </c>
      <c r="W36" s="143">
        <f t="shared" si="28"/>
        <v>0</v>
      </c>
      <c r="X36" s="143">
        <f t="shared" si="28"/>
        <v>0</v>
      </c>
      <c r="Y36" s="143">
        <f t="shared" si="28"/>
        <v>0</v>
      </c>
      <c r="Z36" s="143">
        <f t="shared" si="28"/>
        <v>0</v>
      </c>
      <c r="AA36" s="144" t="e">
        <f t="shared" si="28"/>
        <v>#DIV/0!</v>
      </c>
      <c r="AB36" s="145">
        <f t="shared" si="28"/>
        <v>0</v>
      </c>
      <c r="AC36" s="145">
        <f t="shared" si="28"/>
        <v>0</v>
      </c>
      <c r="AD36" s="144" t="e">
        <f>AC36/Y36</f>
        <v>#DIV/0!</v>
      </c>
      <c r="AE36" s="143">
        <f t="shared" ref="AE36:AL36" si="29">SUM(AE3:AE34)</f>
        <v>0</v>
      </c>
      <c r="AF36" s="143">
        <f t="shared" si="29"/>
        <v>0</v>
      </c>
      <c r="AG36" s="143">
        <f t="shared" si="29"/>
        <v>0</v>
      </c>
      <c r="AH36" s="143">
        <f t="shared" si="29"/>
        <v>0</v>
      </c>
      <c r="AI36" s="143">
        <f t="shared" si="29"/>
        <v>0</v>
      </c>
      <c r="AJ36" s="143">
        <f t="shared" si="29"/>
        <v>0</v>
      </c>
      <c r="AK36" s="143">
        <f t="shared" si="29"/>
        <v>0</v>
      </c>
      <c r="AL36" s="143">
        <f t="shared" si="29"/>
        <v>0</v>
      </c>
      <c r="AM36" s="146"/>
      <c r="AN36" s="143"/>
      <c r="AO36" s="143"/>
      <c r="AP36" s="143"/>
      <c r="AQ36" s="143"/>
      <c r="AR36" s="143" t="e">
        <f>(AF36+AG36)/Q36</f>
        <v>#DIV/0!</v>
      </c>
      <c r="AS36" s="143"/>
      <c r="AT36" s="143"/>
      <c r="AU36" s="143"/>
      <c r="AV36" s="147"/>
      <c r="AW36" s="143">
        <f>SUM(AW3:AW6)</f>
        <v>0</v>
      </c>
    </row>
    <row r="37" spans="1:49">
      <c r="A37" s="114"/>
      <c r="B37" s="115"/>
      <c r="C37" s="115"/>
      <c r="D37" s="149"/>
      <c r="E37" s="118"/>
      <c r="F37" s="118"/>
      <c r="G37" s="118"/>
      <c r="H37" s="118"/>
      <c r="I37" s="118"/>
      <c r="J37" s="118"/>
      <c r="K37" s="114"/>
      <c r="L37" s="114"/>
      <c r="M37" s="114"/>
      <c r="N37" s="114"/>
      <c r="O37" s="118"/>
      <c r="P37" s="118"/>
      <c r="Q37" s="118"/>
      <c r="R37" s="118"/>
      <c r="S37" s="118"/>
      <c r="T37" s="118"/>
      <c r="U37" s="118"/>
      <c r="V37" s="118"/>
      <c r="W37" s="118"/>
      <c r="X37" s="118"/>
      <c r="Y37" s="118"/>
      <c r="Z37" s="118"/>
      <c r="AA37" s="150"/>
      <c r="AB37" s="118"/>
      <c r="AC37" s="118"/>
      <c r="AD37" s="150"/>
      <c r="AE37" s="118"/>
      <c r="AF37" s="346"/>
      <c r="AG37" s="346"/>
      <c r="AH37" s="281"/>
      <c r="AI37" s="152"/>
      <c r="AJ37" s="118"/>
      <c r="AK37" s="153"/>
      <c r="AL37" s="154"/>
      <c r="AM37" s="122"/>
      <c r="AN37" s="155"/>
      <c r="AO37" s="156"/>
      <c r="AP37" s="156"/>
      <c r="AQ37" s="156"/>
      <c r="AR37" s="156"/>
      <c r="AS37" s="156"/>
      <c r="AT37" s="157"/>
      <c r="AU37" s="157"/>
      <c r="AV37" s="125"/>
      <c r="AW37" s="153"/>
    </row>
    <row r="38" spans="1:49" hidden="1" outlineLevel="1">
      <c r="A38" s="114"/>
      <c r="B38" s="115"/>
      <c r="C38" s="115"/>
      <c r="D38" s="116"/>
      <c r="E38" s="117">
        <f t="shared" ref="E38:E69" si="30">SUM(F38:H38)</f>
        <v>0</v>
      </c>
      <c r="F38" s="117"/>
      <c r="G38" s="117"/>
      <c r="H38" s="117"/>
      <c r="I38" s="117"/>
      <c r="J38" s="117">
        <f t="shared" ref="J38:J89" si="31">E38*I38</f>
        <v>0</v>
      </c>
      <c r="K38" s="114"/>
      <c r="L38" s="114"/>
      <c r="M38" s="114"/>
      <c r="N38" s="114"/>
      <c r="O38" s="117">
        <f t="shared" ref="O38:O89" si="32">L38/7</f>
        <v>0</v>
      </c>
      <c r="P38" s="117">
        <f t="shared" ref="P38:P89" si="33">S38/7</f>
        <v>0</v>
      </c>
      <c r="Q38" s="118"/>
      <c r="R38" s="118"/>
      <c r="S38" s="117">
        <f t="shared" ref="S38:S89" si="34">Q38+R38</f>
        <v>0</v>
      </c>
      <c r="T38" s="117"/>
      <c r="U38" s="117"/>
      <c r="V38" s="117">
        <f t="shared" ref="V38:V89" si="35">T38+U38</f>
        <v>0</v>
      </c>
      <c r="W38" s="118"/>
      <c r="X38" s="118"/>
      <c r="Y38" s="117">
        <f t="shared" ref="Y38:Y89" si="36">W38+X38</f>
        <v>0</v>
      </c>
      <c r="Z38" s="117">
        <f t="shared" ref="Z38:Z84" si="37">L38*M38*N38/100</f>
        <v>0</v>
      </c>
      <c r="AA38" s="119" t="e">
        <f>Y38/$Y$93</f>
        <v>#DIV/0!</v>
      </c>
      <c r="AB38" s="117">
        <f t="shared" ref="AB38:AB89" si="38">S38*I38</f>
        <v>0</v>
      </c>
      <c r="AC38" s="118"/>
      <c r="AD38" s="119">
        <f t="shared" ref="AD38:AD89" si="39">IF(Y38=0,0,AC38/Y38)</f>
        <v>0</v>
      </c>
      <c r="AE38" s="118"/>
      <c r="AF38" s="118"/>
      <c r="AG38" s="118"/>
      <c r="AH38" s="118"/>
      <c r="AI38" s="152" t="e">
        <f t="shared" ref="AI38:AI89" si="40">$AI$93*H38/$H$93</f>
        <v>#DIV/0!</v>
      </c>
      <c r="AJ38" s="118"/>
      <c r="AK38" s="120">
        <f t="shared" ref="AK38:AK89" si="41">V38*1%</f>
        <v>0</v>
      </c>
      <c r="AL38" s="121" t="e">
        <f t="shared" ref="AL38:AL89" si="42">Y38-AB38-AC38-AE38-AF38-AG38-AH38-AI38-AK38-AJ38</f>
        <v>#DIV/0!</v>
      </c>
      <c r="AM38" s="122"/>
      <c r="AN38" s="123">
        <f t="shared" ref="AN38:AN89" si="43">IF(S38=0,0,Y38/S38)</f>
        <v>0</v>
      </c>
      <c r="AO38" s="124">
        <f t="shared" ref="AO38:AO89" si="44">I38</f>
        <v>0</v>
      </c>
      <c r="AP38" s="124">
        <f t="shared" ref="AP38:AP89" si="45">IF(S38=0,0,AC38/S38)</f>
        <v>0</v>
      </c>
      <c r="AQ38" s="124">
        <f t="shared" ref="AQ38:AQ89" si="46">IF(Q38=0,AE38/1,AE38/Q38)</f>
        <v>0</v>
      </c>
      <c r="AR38" s="124">
        <f t="shared" ref="AR38:AR89" si="47">IF(Q38=0,0,(AF38+AG38)/Q38)</f>
        <v>0</v>
      </c>
      <c r="AS38" s="124" t="e">
        <f t="array" ref="AS38">_xlfn.IFS(S38=0,AL38,S38&lt;0,AL38/-S38,S38&gt;0,AL38/S38)</f>
        <v>#DIV/0!</v>
      </c>
      <c r="AT38" s="119">
        <f t="shared" ref="AT38:AT89" si="48">IF(AN38=0,0,AS38/AN38)</f>
        <v>0</v>
      </c>
      <c r="AU38" s="119">
        <f t="shared" ref="AU38:AU89" si="49">IF(AO38=0,0,AS38/AO38)</f>
        <v>0</v>
      </c>
      <c r="AV38" s="125"/>
      <c r="AW38" s="120" t="e">
        <f t="shared" ref="AW38:AW89" si="50">AS38*E38</f>
        <v>#DIV/0!</v>
      </c>
    </row>
    <row r="39" spans="1:49" hidden="1" outlineLevel="1">
      <c r="A39" s="114"/>
      <c r="B39" s="115"/>
      <c r="C39" s="115"/>
      <c r="D39" s="116"/>
      <c r="E39" s="117">
        <f t="shared" si="30"/>
        <v>0</v>
      </c>
      <c r="F39" s="117"/>
      <c r="G39" s="117"/>
      <c r="H39" s="117"/>
      <c r="I39" s="117"/>
      <c r="J39" s="117">
        <f t="shared" si="31"/>
        <v>0</v>
      </c>
      <c r="K39" s="114"/>
      <c r="L39" s="114"/>
      <c r="M39" s="114"/>
      <c r="N39" s="114"/>
      <c r="O39" s="117">
        <f t="shared" si="32"/>
        <v>0</v>
      </c>
      <c r="P39" s="117">
        <f t="shared" si="33"/>
        <v>0</v>
      </c>
      <c r="Q39" s="118"/>
      <c r="R39" s="118"/>
      <c r="S39" s="117">
        <f t="shared" si="34"/>
        <v>0</v>
      </c>
      <c r="T39" s="117"/>
      <c r="U39" s="117"/>
      <c r="V39" s="117">
        <f t="shared" si="35"/>
        <v>0</v>
      </c>
      <c r="W39" s="118"/>
      <c r="X39" s="118"/>
      <c r="Y39" s="117">
        <f t="shared" si="36"/>
        <v>0</v>
      </c>
      <c r="Z39" s="117">
        <f t="shared" si="37"/>
        <v>0</v>
      </c>
      <c r="AA39" s="119" t="e">
        <f t="shared" ref="AA39:AA89" si="51">Y39/$Y$93</f>
        <v>#DIV/0!</v>
      </c>
      <c r="AB39" s="117">
        <f t="shared" si="38"/>
        <v>0</v>
      </c>
      <c r="AC39" s="118"/>
      <c r="AD39" s="119">
        <f t="shared" si="39"/>
        <v>0</v>
      </c>
      <c r="AE39" s="118"/>
      <c r="AF39" s="118"/>
      <c r="AG39" s="118"/>
      <c r="AH39" s="118"/>
      <c r="AI39" s="152" t="e">
        <f t="shared" si="40"/>
        <v>#DIV/0!</v>
      </c>
      <c r="AJ39" s="118"/>
      <c r="AK39" s="120">
        <f t="shared" si="41"/>
        <v>0</v>
      </c>
      <c r="AL39" s="121" t="e">
        <f t="shared" si="42"/>
        <v>#DIV/0!</v>
      </c>
      <c r="AM39" s="122"/>
      <c r="AN39" s="123">
        <f t="shared" si="43"/>
        <v>0</v>
      </c>
      <c r="AO39" s="124">
        <f t="shared" si="44"/>
        <v>0</v>
      </c>
      <c r="AP39" s="124">
        <f t="shared" si="45"/>
        <v>0</v>
      </c>
      <c r="AQ39" s="124">
        <f t="shared" si="46"/>
        <v>0</v>
      </c>
      <c r="AR39" s="124">
        <f t="shared" si="47"/>
        <v>0</v>
      </c>
      <c r="AS39" s="124" t="e">
        <f t="array" ref="AS39">_xlfn.IFS(S39=0,AL39,S39&lt;0,AL39/-S39,S39&gt;0,AL39/S39)</f>
        <v>#DIV/0!</v>
      </c>
      <c r="AT39" s="119">
        <f t="shared" si="48"/>
        <v>0</v>
      </c>
      <c r="AU39" s="119">
        <f t="shared" si="49"/>
        <v>0</v>
      </c>
      <c r="AV39" s="125"/>
      <c r="AW39" s="120" t="e">
        <f t="shared" si="50"/>
        <v>#DIV/0!</v>
      </c>
    </row>
    <row r="40" spans="1:49" hidden="1" outlineLevel="1">
      <c r="A40" s="114"/>
      <c r="B40" s="115"/>
      <c r="C40" s="115"/>
      <c r="D40" s="116"/>
      <c r="E40" s="117">
        <f t="shared" si="30"/>
        <v>0</v>
      </c>
      <c r="F40" s="117"/>
      <c r="G40" s="117"/>
      <c r="H40" s="117"/>
      <c r="I40" s="117"/>
      <c r="J40" s="117">
        <f t="shared" si="31"/>
        <v>0</v>
      </c>
      <c r="K40" s="114"/>
      <c r="L40" s="114"/>
      <c r="M40" s="114"/>
      <c r="N40" s="114"/>
      <c r="O40" s="117">
        <f t="shared" si="32"/>
        <v>0</v>
      </c>
      <c r="P40" s="117">
        <f t="shared" si="33"/>
        <v>0</v>
      </c>
      <c r="Q40" s="118"/>
      <c r="R40" s="118"/>
      <c r="S40" s="117">
        <f t="shared" si="34"/>
        <v>0</v>
      </c>
      <c r="T40" s="117"/>
      <c r="U40" s="117"/>
      <c r="V40" s="117">
        <f t="shared" si="35"/>
        <v>0</v>
      </c>
      <c r="W40" s="118"/>
      <c r="X40" s="118"/>
      <c r="Y40" s="117">
        <f t="shared" si="36"/>
        <v>0</v>
      </c>
      <c r="Z40" s="117">
        <f t="shared" si="37"/>
        <v>0</v>
      </c>
      <c r="AA40" s="119" t="e">
        <f t="shared" si="51"/>
        <v>#DIV/0!</v>
      </c>
      <c r="AB40" s="117">
        <f t="shared" si="38"/>
        <v>0</v>
      </c>
      <c r="AC40" s="118"/>
      <c r="AD40" s="119">
        <f t="shared" si="39"/>
        <v>0</v>
      </c>
      <c r="AE40" s="118"/>
      <c r="AF40" s="118"/>
      <c r="AG40" s="118"/>
      <c r="AH40" s="118"/>
      <c r="AI40" s="152" t="e">
        <f t="shared" si="40"/>
        <v>#DIV/0!</v>
      </c>
      <c r="AJ40" s="118"/>
      <c r="AK40" s="120">
        <f t="shared" si="41"/>
        <v>0</v>
      </c>
      <c r="AL40" s="121" t="e">
        <f t="shared" si="42"/>
        <v>#DIV/0!</v>
      </c>
      <c r="AM40" s="122"/>
      <c r="AN40" s="123">
        <f t="shared" si="43"/>
        <v>0</v>
      </c>
      <c r="AO40" s="124">
        <f t="shared" si="44"/>
        <v>0</v>
      </c>
      <c r="AP40" s="124">
        <f t="shared" si="45"/>
        <v>0</v>
      </c>
      <c r="AQ40" s="124">
        <f t="shared" si="46"/>
        <v>0</v>
      </c>
      <c r="AR40" s="124">
        <f t="shared" si="47"/>
        <v>0</v>
      </c>
      <c r="AS40" s="124" t="e">
        <f t="array" ref="AS40">_xlfn.IFS(S40=0,AL40,S40&lt;0,AL40/-S40,S40&gt;0,AL40/S40)</f>
        <v>#DIV/0!</v>
      </c>
      <c r="AT40" s="119">
        <f t="shared" si="48"/>
        <v>0</v>
      </c>
      <c r="AU40" s="119">
        <f t="shared" si="49"/>
        <v>0</v>
      </c>
      <c r="AV40" s="125"/>
      <c r="AW40" s="120" t="e">
        <f t="shared" si="50"/>
        <v>#DIV/0!</v>
      </c>
    </row>
    <row r="41" spans="1:49" hidden="1" outlineLevel="1">
      <c r="A41" s="114"/>
      <c r="B41" s="115"/>
      <c r="C41" s="115"/>
      <c r="D41" s="116"/>
      <c r="E41" s="117">
        <f t="shared" si="30"/>
        <v>0</v>
      </c>
      <c r="F41" s="117"/>
      <c r="G41" s="117"/>
      <c r="H41" s="117"/>
      <c r="I41" s="117"/>
      <c r="J41" s="117">
        <f t="shared" si="31"/>
        <v>0</v>
      </c>
      <c r="K41" s="114"/>
      <c r="L41" s="114"/>
      <c r="M41" s="114"/>
      <c r="N41" s="114"/>
      <c r="O41" s="117">
        <f t="shared" si="32"/>
        <v>0</v>
      </c>
      <c r="P41" s="117">
        <f t="shared" si="33"/>
        <v>0</v>
      </c>
      <c r="Q41" s="118"/>
      <c r="R41" s="118"/>
      <c r="S41" s="117">
        <f t="shared" si="34"/>
        <v>0</v>
      </c>
      <c r="T41" s="117"/>
      <c r="U41" s="117"/>
      <c r="V41" s="117">
        <f t="shared" si="35"/>
        <v>0</v>
      </c>
      <c r="W41" s="118"/>
      <c r="X41" s="118"/>
      <c r="Y41" s="117">
        <f t="shared" si="36"/>
        <v>0</v>
      </c>
      <c r="Z41" s="117">
        <f t="shared" si="37"/>
        <v>0</v>
      </c>
      <c r="AA41" s="119" t="e">
        <f t="shared" si="51"/>
        <v>#DIV/0!</v>
      </c>
      <c r="AB41" s="117">
        <f t="shared" si="38"/>
        <v>0</v>
      </c>
      <c r="AC41" s="118"/>
      <c r="AD41" s="119">
        <f t="shared" si="39"/>
        <v>0</v>
      </c>
      <c r="AE41" s="118"/>
      <c r="AF41" s="118"/>
      <c r="AG41" s="118"/>
      <c r="AH41" s="118"/>
      <c r="AI41" s="152" t="e">
        <f t="shared" si="40"/>
        <v>#DIV/0!</v>
      </c>
      <c r="AJ41" s="118"/>
      <c r="AK41" s="120">
        <f t="shared" si="41"/>
        <v>0</v>
      </c>
      <c r="AL41" s="121" t="e">
        <f t="shared" si="42"/>
        <v>#DIV/0!</v>
      </c>
      <c r="AM41" s="122"/>
      <c r="AN41" s="123">
        <f t="shared" si="43"/>
        <v>0</v>
      </c>
      <c r="AO41" s="124">
        <f t="shared" si="44"/>
        <v>0</v>
      </c>
      <c r="AP41" s="124">
        <f t="shared" si="45"/>
        <v>0</v>
      </c>
      <c r="AQ41" s="124">
        <f t="shared" si="46"/>
        <v>0</v>
      </c>
      <c r="AR41" s="124">
        <f t="shared" si="47"/>
        <v>0</v>
      </c>
      <c r="AS41" s="124" t="e">
        <f t="array" ref="AS41">_xlfn.IFS(S41=0,AL41,S41&lt;0,AL41/-S41,S41&gt;0,AL41/S41)</f>
        <v>#DIV/0!</v>
      </c>
      <c r="AT41" s="119">
        <f t="shared" si="48"/>
        <v>0</v>
      </c>
      <c r="AU41" s="119">
        <f t="shared" si="49"/>
        <v>0</v>
      </c>
      <c r="AV41" s="125"/>
      <c r="AW41" s="120" t="e">
        <f t="shared" si="50"/>
        <v>#DIV/0!</v>
      </c>
    </row>
    <row r="42" spans="1:49" hidden="1" outlineLevel="1">
      <c r="A42" s="114"/>
      <c r="B42" s="115"/>
      <c r="C42" s="115"/>
      <c r="D42" s="116"/>
      <c r="E42" s="117">
        <f t="shared" si="30"/>
        <v>0</v>
      </c>
      <c r="F42" s="117"/>
      <c r="G42" s="117"/>
      <c r="H42" s="117"/>
      <c r="I42" s="117"/>
      <c r="J42" s="117">
        <f t="shared" si="31"/>
        <v>0</v>
      </c>
      <c r="K42" s="114"/>
      <c r="L42" s="114"/>
      <c r="M42" s="114"/>
      <c r="N42" s="114"/>
      <c r="O42" s="117">
        <f t="shared" si="32"/>
        <v>0</v>
      </c>
      <c r="P42" s="117">
        <f t="shared" si="33"/>
        <v>0</v>
      </c>
      <c r="Q42" s="118"/>
      <c r="R42" s="118"/>
      <c r="S42" s="117">
        <f t="shared" si="34"/>
        <v>0</v>
      </c>
      <c r="T42" s="117"/>
      <c r="U42" s="117"/>
      <c r="V42" s="117">
        <f t="shared" si="35"/>
        <v>0</v>
      </c>
      <c r="W42" s="118"/>
      <c r="X42" s="118"/>
      <c r="Y42" s="117">
        <f t="shared" si="36"/>
        <v>0</v>
      </c>
      <c r="Z42" s="117">
        <f t="shared" si="37"/>
        <v>0</v>
      </c>
      <c r="AA42" s="119" t="e">
        <f t="shared" si="51"/>
        <v>#DIV/0!</v>
      </c>
      <c r="AB42" s="117">
        <f t="shared" si="38"/>
        <v>0</v>
      </c>
      <c r="AC42" s="118"/>
      <c r="AD42" s="119">
        <f t="shared" si="39"/>
        <v>0</v>
      </c>
      <c r="AE42" s="118"/>
      <c r="AF42" s="118"/>
      <c r="AG42" s="118"/>
      <c r="AH42" s="118"/>
      <c r="AI42" s="152" t="e">
        <f t="shared" si="40"/>
        <v>#DIV/0!</v>
      </c>
      <c r="AJ42" s="118"/>
      <c r="AK42" s="120">
        <f t="shared" si="41"/>
        <v>0</v>
      </c>
      <c r="AL42" s="121" t="e">
        <f t="shared" si="42"/>
        <v>#DIV/0!</v>
      </c>
      <c r="AM42" s="122"/>
      <c r="AN42" s="123">
        <f t="shared" si="43"/>
        <v>0</v>
      </c>
      <c r="AO42" s="124">
        <f t="shared" si="44"/>
        <v>0</v>
      </c>
      <c r="AP42" s="124">
        <f t="shared" si="45"/>
        <v>0</v>
      </c>
      <c r="AQ42" s="124">
        <f t="shared" si="46"/>
        <v>0</v>
      </c>
      <c r="AR42" s="124">
        <f t="shared" si="47"/>
        <v>0</v>
      </c>
      <c r="AS42" s="124" t="e">
        <f t="array" ref="AS42">_xlfn.IFS(S42=0,AL42,S42&lt;0,AL42/-S42,S42&gt;0,AL42/S42)</f>
        <v>#DIV/0!</v>
      </c>
      <c r="AT42" s="119">
        <f t="shared" si="48"/>
        <v>0</v>
      </c>
      <c r="AU42" s="119">
        <f t="shared" si="49"/>
        <v>0</v>
      </c>
      <c r="AV42" s="125"/>
      <c r="AW42" s="120" t="e">
        <f t="shared" si="50"/>
        <v>#DIV/0!</v>
      </c>
    </row>
    <row r="43" spans="1:49" hidden="1" outlineLevel="1">
      <c r="A43" s="114"/>
      <c r="B43" s="115"/>
      <c r="C43" s="115"/>
      <c r="D43" s="116"/>
      <c r="E43" s="117">
        <f t="shared" si="30"/>
        <v>0</v>
      </c>
      <c r="F43" s="117"/>
      <c r="G43" s="117"/>
      <c r="H43" s="117"/>
      <c r="I43" s="117"/>
      <c r="J43" s="117">
        <f t="shared" si="31"/>
        <v>0</v>
      </c>
      <c r="K43" s="114"/>
      <c r="L43" s="114"/>
      <c r="M43" s="114"/>
      <c r="N43" s="114"/>
      <c r="O43" s="117">
        <f t="shared" si="32"/>
        <v>0</v>
      </c>
      <c r="P43" s="117">
        <f t="shared" si="33"/>
        <v>0</v>
      </c>
      <c r="Q43" s="118"/>
      <c r="R43" s="118"/>
      <c r="S43" s="117">
        <f t="shared" si="34"/>
        <v>0</v>
      </c>
      <c r="T43" s="117"/>
      <c r="U43" s="117"/>
      <c r="V43" s="117">
        <f t="shared" si="35"/>
        <v>0</v>
      </c>
      <c r="W43" s="118"/>
      <c r="X43" s="118"/>
      <c r="Y43" s="117">
        <f t="shared" si="36"/>
        <v>0</v>
      </c>
      <c r="Z43" s="117">
        <f t="shared" si="37"/>
        <v>0</v>
      </c>
      <c r="AA43" s="119" t="e">
        <f t="shared" si="51"/>
        <v>#DIV/0!</v>
      </c>
      <c r="AB43" s="117">
        <f t="shared" si="38"/>
        <v>0</v>
      </c>
      <c r="AC43" s="118"/>
      <c r="AD43" s="119">
        <f t="shared" si="39"/>
        <v>0</v>
      </c>
      <c r="AE43" s="118"/>
      <c r="AF43" s="118"/>
      <c r="AG43" s="118"/>
      <c r="AH43" s="118"/>
      <c r="AI43" s="152" t="e">
        <f t="shared" si="40"/>
        <v>#DIV/0!</v>
      </c>
      <c r="AJ43" s="118"/>
      <c r="AK43" s="120">
        <f t="shared" si="41"/>
        <v>0</v>
      </c>
      <c r="AL43" s="121" t="e">
        <f t="shared" si="42"/>
        <v>#DIV/0!</v>
      </c>
      <c r="AM43" s="122"/>
      <c r="AN43" s="123">
        <f t="shared" si="43"/>
        <v>0</v>
      </c>
      <c r="AO43" s="124">
        <f t="shared" si="44"/>
        <v>0</v>
      </c>
      <c r="AP43" s="124">
        <f t="shared" si="45"/>
        <v>0</v>
      </c>
      <c r="AQ43" s="124">
        <f t="shared" si="46"/>
        <v>0</v>
      </c>
      <c r="AR43" s="124">
        <f t="shared" si="47"/>
        <v>0</v>
      </c>
      <c r="AS43" s="124" t="e">
        <f t="array" ref="AS43">_xlfn.IFS(S43=0,AL43,S43&lt;0,AL43/-S43,S43&gt;0,AL43/S43)</f>
        <v>#DIV/0!</v>
      </c>
      <c r="AT43" s="119">
        <f t="shared" si="48"/>
        <v>0</v>
      </c>
      <c r="AU43" s="119">
        <f t="shared" si="49"/>
        <v>0</v>
      </c>
      <c r="AV43" s="125"/>
      <c r="AW43" s="120" t="e">
        <f t="shared" si="50"/>
        <v>#DIV/0!</v>
      </c>
    </row>
    <row r="44" spans="1:49" hidden="1" outlineLevel="1">
      <c r="A44" s="114"/>
      <c r="B44" s="115"/>
      <c r="C44" s="115"/>
      <c r="D44" s="116"/>
      <c r="E44" s="117">
        <f t="shared" si="30"/>
        <v>0</v>
      </c>
      <c r="F44" s="117"/>
      <c r="G44" s="117"/>
      <c r="H44" s="117"/>
      <c r="I44" s="117"/>
      <c r="J44" s="117">
        <f t="shared" si="31"/>
        <v>0</v>
      </c>
      <c r="K44" s="114"/>
      <c r="L44" s="114"/>
      <c r="M44" s="114"/>
      <c r="N44" s="114"/>
      <c r="O44" s="117">
        <f t="shared" si="32"/>
        <v>0</v>
      </c>
      <c r="P44" s="117">
        <f t="shared" si="33"/>
        <v>0</v>
      </c>
      <c r="Q44" s="118"/>
      <c r="R44" s="118"/>
      <c r="S44" s="117">
        <f t="shared" si="34"/>
        <v>0</v>
      </c>
      <c r="T44" s="117"/>
      <c r="U44" s="117"/>
      <c r="V44" s="117">
        <f t="shared" si="35"/>
        <v>0</v>
      </c>
      <c r="W44" s="118"/>
      <c r="X44" s="118"/>
      <c r="Y44" s="117">
        <f t="shared" si="36"/>
        <v>0</v>
      </c>
      <c r="Z44" s="117">
        <f t="shared" si="37"/>
        <v>0</v>
      </c>
      <c r="AA44" s="119" t="e">
        <f t="shared" si="51"/>
        <v>#DIV/0!</v>
      </c>
      <c r="AB44" s="117">
        <f t="shared" si="38"/>
        <v>0</v>
      </c>
      <c r="AC44" s="118"/>
      <c r="AD44" s="119">
        <f t="shared" si="39"/>
        <v>0</v>
      </c>
      <c r="AE44" s="118"/>
      <c r="AF44" s="118"/>
      <c r="AG44" s="118"/>
      <c r="AH44" s="118"/>
      <c r="AI44" s="152" t="e">
        <f t="shared" si="40"/>
        <v>#DIV/0!</v>
      </c>
      <c r="AJ44" s="118"/>
      <c r="AK44" s="120">
        <f t="shared" si="41"/>
        <v>0</v>
      </c>
      <c r="AL44" s="121" t="e">
        <f t="shared" si="42"/>
        <v>#DIV/0!</v>
      </c>
      <c r="AM44" s="122"/>
      <c r="AN44" s="123">
        <f t="shared" si="43"/>
        <v>0</v>
      </c>
      <c r="AO44" s="124">
        <f t="shared" si="44"/>
        <v>0</v>
      </c>
      <c r="AP44" s="124">
        <f t="shared" si="45"/>
        <v>0</v>
      </c>
      <c r="AQ44" s="124">
        <f t="shared" si="46"/>
        <v>0</v>
      </c>
      <c r="AR44" s="124">
        <f t="shared" si="47"/>
        <v>0</v>
      </c>
      <c r="AS44" s="124" t="e">
        <f t="array" ref="AS44">_xlfn.IFS(S44=0,AL44,S44&lt;0,AL44/-S44,S44&gt;0,AL44/S44)</f>
        <v>#DIV/0!</v>
      </c>
      <c r="AT44" s="119">
        <f t="shared" si="48"/>
        <v>0</v>
      </c>
      <c r="AU44" s="119">
        <f t="shared" si="49"/>
        <v>0</v>
      </c>
      <c r="AV44" s="125"/>
      <c r="AW44" s="120" t="e">
        <f t="shared" si="50"/>
        <v>#DIV/0!</v>
      </c>
    </row>
    <row r="45" spans="1:49" hidden="1" outlineLevel="1">
      <c r="A45" s="114"/>
      <c r="B45" s="115"/>
      <c r="C45" s="115"/>
      <c r="D45" s="116"/>
      <c r="E45" s="117">
        <f t="shared" si="30"/>
        <v>0</v>
      </c>
      <c r="F45" s="117"/>
      <c r="G45" s="117"/>
      <c r="H45" s="117"/>
      <c r="I45" s="117"/>
      <c r="J45" s="117">
        <f t="shared" si="31"/>
        <v>0</v>
      </c>
      <c r="K45" s="114"/>
      <c r="L45" s="114"/>
      <c r="M45" s="114"/>
      <c r="N45" s="114"/>
      <c r="O45" s="117">
        <f t="shared" si="32"/>
        <v>0</v>
      </c>
      <c r="P45" s="117">
        <f t="shared" si="33"/>
        <v>0</v>
      </c>
      <c r="Q45" s="118"/>
      <c r="R45" s="118"/>
      <c r="S45" s="117">
        <f t="shared" si="34"/>
        <v>0</v>
      </c>
      <c r="T45" s="117"/>
      <c r="U45" s="117"/>
      <c r="V45" s="117">
        <f t="shared" si="35"/>
        <v>0</v>
      </c>
      <c r="W45" s="118"/>
      <c r="X45" s="118"/>
      <c r="Y45" s="117">
        <f t="shared" si="36"/>
        <v>0</v>
      </c>
      <c r="Z45" s="117">
        <f t="shared" si="37"/>
        <v>0</v>
      </c>
      <c r="AA45" s="119" t="e">
        <f t="shared" si="51"/>
        <v>#DIV/0!</v>
      </c>
      <c r="AB45" s="117">
        <f t="shared" si="38"/>
        <v>0</v>
      </c>
      <c r="AC45" s="118"/>
      <c r="AD45" s="119">
        <f t="shared" si="39"/>
        <v>0</v>
      </c>
      <c r="AE45" s="118"/>
      <c r="AF45" s="118"/>
      <c r="AG45" s="118"/>
      <c r="AH45" s="118"/>
      <c r="AI45" s="152" t="e">
        <f t="shared" si="40"/>
        <v>#DIV/0!</v>
      </c>
      <c r="AJ45" s="118"/>
      <c r="AK45" s="120">
        <f t="shared" si="41"/>
        <v>0</v>
      </c>
      <c r="AL45" s="121" t="e">
        <f t="shared" si="42"/>
        <v>#DIV/0!</v>
      </c>
      <c r="AM45" s="122"/>
      <c r="AN45" s="123">
        <f t="shared" si="43"/>
        <v>0</v>
      </c>
      <c r="AO45" s="124">
        <f t="shared" si="44"/>
        <v>0</v>
      </c>
      <c r="AP45" s="124">
        <f t="shared" si="45"/>
        <v>0</v>
      </c>
      <c r="AQ45" s="124">
        <f t="shared" si="46"/>
        <v>0</v>
      </c>
      <c r="AR45" s="124">
        <f t="shared" si="47"/>
        <v>0</v>
      </c>
      <c r="AS45" s="124" t="e">
        <f t="array" ref="AS45">_xlfn.IFS(S45=0,AL45,S45&lt;0,AL45/-S45,S45&gt;0,AL45/S45)</f>
        <v>#DIV/0!</v>
      </c>
      <c r="AT45" s="119">
        <f t="shared" si="48"/>
        <v>0</v>
      </c>
      <c r="AU45" s="119">
        <f t="shared" si="49"/>
        <v>0</v>
      </c>
      <c r="AV45" s="125"/>
      <c r="AW45" s="120" t="e">
        <f t="shared" si="50"/>
        <v>#DIV/0!</v>
      </c>
    </row>
    <row r="46" spans="1:49" hidden="1" outlineLevel="1">
      <c r="A46" s="114"/>
      <c r="B46" s="115"/>
      <c r="C46" s="115"/>
      <c r="D46" s="116"/>
      <c r="E46" s="117">
        <f t="shared" si="30"/>
        <v>0</v>
      </c>
      <c r="F46" s="117"/>
      <c r="G46" s="117"/>
      <c r="H46" s="117"/>
      <c r="I46" s="117"/>
      <c r="J46" s="117">
        <f t="shared" si="31"/>
        <v>0</v>
      </c>
      <c r="K46" s="114"/>
      <c r="L46" s="114"/>
      <c r="M46" s="114"/>
      <c r="N46" s="114"/>
      <c r="O46" s="117">
        <f t="shared" si="32"/>
        <v>0</v>
      </c>
      <c r="P46" s="117">
        <f t="shared" si="33"/>
        <v>0</v>
      </c>
      <c r="Q46" s="118"/>
      <c r="R46" s="118"/>
      <c r="S46" s="117">
        <f t="shared" si="34"/>
        <v>0</v>
      </c>
      <c r="T46" s="117"/>
      <c r="U46" s="117"/>
      <c r="V46" s="117">
        <f t="shared" si="35"/>
        <v>0</v>
      </c>
      <c r="W46" s="118"/>
      <c r="X46" s="118"/>
      <c r="Y46" s="117">
        <f t="shared" si="36"/>
        <v>0</v>
      </c>
      <c r="Z46" s="117">
        <f t="shared" si="37"/>
        <v>0</v>
      </c>
      <c r="AA46" s="119" t="e">
        <f t="shared" si="51"/>
        <v>#DIV/0!</v>
      </c>
      <c r="AB46" s="117">
        <f t="shared" si="38"/>
        <v>0</v>
      </c>
      <c r="AC46" s="118"/>
      <c r="AD46" s="119">
        <f t="shared" si="39"/>
        <v>0</v>
      </c>
      <c r="AE46" s="118"/>
      <c r="AF46" s="118"/>
      <c r="AG46" s="118"/>
      <c r="AH46" s="118"/>
      <c r="AI46" s="152" t="e">
        <f t="shared" si="40"/>
        <v>#DIV/0!</v>
      </c>
      <c r="AJ46" s="118"/>
      <c r="AK46" s="120">
        <f t="shared" si="41"/>
        <v>0</v>
      </c>
      <c r="AL46" s="121" t="e">
        <f t="shared" si="42"/>
        <v>#DIV/0!</v>
      </c>
      <c r="AM46" s="122"/>
      <c r="AN46" s="123">
        <f t="shared" si="43"/>
        <v>0</v>
      </c>
      <c r="AO46" s="124">
        <f t="shared" si="44"/>
        <v>0</v>
      </c>
      <c r="AP46" s="124">
        <f t="shared" si="45"/>
        <v>0</v>
      </c>
      <c r="AQ46" s="124">
        <f t="shared" si="46"/>
        <v>0</v>
      </c>
      <c r="AR46" s="124">
        <f t="shared" si="47"/>
        <v>0</v>
      </c>
      <c r="AS46" s="124" t="e">
        <f t="array" ref="AS46">_xlfn.IFS(S46=0,AL46,S46&lt;0,AL46/-S46,S46&gt;0,AL46/S46)</f>
        <v>#DIV/0!</v>
      </c>
      <c r="AT46" s="119">
        <f t="shared" si="48"/>
        <v>0</v>
      </c>
      <c r="AU46" s="119">
        <f t="shared" si="49"/>
        <v>0</v>
      </c>
      <c r="AV46" s="125"/>
      <c r="AW46" s="120" t="e">
        <f t="shared" si="50"/>
        <v>#DIV/0!</v>
      </c>
    </row>
    <row r="47" spans="1:49" hidden="1" outlineLevel="1">
      <c r="A47" s="114"/>
      <c r="B47" s="115"/>
      <c r="C47" s="115"/>
      <c r="D47" s="116"/>
      <c r="E47" s="117">
        <f t="shared" si="30"/>
        <v>0</v>
      </c>
      <c r="F47" s="117"/>
      <c r="G47" s="117"/>
      <c r="H47" s="117"/>
      <c r="I47" s="117"/>
      <c r="J47" s="117">
        <f t="shared" si="31"/>
        <v>0</v>
      </c>
      <c r="K47" s="114"/>
      <c r="L47" s="114"/>
      <c r="M47" s="114"/>
      <c r="N47" s="114"/>
      <c r="O47" s="117">
        <f t="shared" si="32"/>
        <v>0</v>
      </c>
      <c r="P47" s="117">
        <f t="shared" si="33"/>
        <v>0</v>
      </c>
      <c r="Q47" s="118"/>
      <c r="R47" s="118"/>
      <c r="S47" s="117">
        <f t="shared" si="34"/>
        <v>0</v>
      </c>
      <c r="T47" s="117"/>
      <c r="U47" s="117"/>
      <c r="V47" s="117">
        <f t="shared" si="35"/>
        <v>0</v>
      </c>
      <c r="W47" s="118"/>
      <c r="X47" s="118"/>
      <c r="Y47" s="117">
        <f t="shared" si="36"/>
        <v>0</v>
      </c>
      <c r="Z47" s="117">
        <f t="shared" si="37"/>
        <v>0</v>
      </c>
      <c r="AA47" s="119" t="e">
        <f t="shared" si="51"/>
        <v>#DIV/0!</v>
      </c>
      <c r="AB47" s="117">
        <f t="shared" si="38"/>
        <v>0</v>
      </c>
      <c r="AC47" s="118"/>
      <c r="AD47" s="119">
        <f t="shared" si="39"/>
        <v>0</v>
      </c>
      <c r="AE47" s="118"/>
      <c r="AF47" s="118"/>
      <c r="AG47" s="118"/>
      <c r="AH47" s="118"/>
      <c r="AI47" s="152" t="e">
        <f t="shared" si="40"/>
        <v>#DIV/0!</v>
      </c>
      <c r="AJ47" s="118"/>
      <c r="AK47" s="120">
        <f t="shared" si="41"/>
        <v>0</v>
      </c>
      <c r="AL47" s="121" t="e">
        <f t="shared" si="42"/>
        <v>#DIV/0!</v>
      </c>
      <c r="AM47" s="122"/>
      <c r="AN47" s="123">
        <f t="shared" si="43"/>
        <v>0</v>
      </c>
      <c r="AO47" s="124">
        <f t="shared" si="44"/>
        <v>0</v>
      </c>
      <c r="AP47" s="124">
        <f t="shared" si="45"/>
        <v>0</v>
      </c>
      <c r="AQ47" s="124">
        <f t="shared" si="46"/>
        <v>0</v>
      </c>
      <c r="AR47" s="124">
        <f t="shared" si="47"/>
        <v>0</v>
      </c>
      <c r="AS47" s="124" t="e">
        <f t="array" ref="AS47">_xlfn.IFS(S47=0,AL47,S47&lt;0,AL47/-S47,S47&gt;0,AL47/S47)</f>
        <v>#DIV/0!</v>
      </c>
      <c r="AT47" s="119">
        <f t="shared" si="48"/>
        <v>0</v>
      </c>
      <c r="AU47" s="119">
        <f t="shared" si="49"/>
        <v>0</v>
      </c>
      <c r="AV47" s="125"/>
      <c r="AW47" s="120" t="e">
        <f t="shared" si="50"/>
        <v>#DIV/0!</v>
      </c>
    </row>
    <row r="48" spans="1:49" hidden="1" outlineLevel="1">
      <c r="A48" s="114"/>
      <c r="B48" s="115"/>
      <c r="C48" s="115"/>
      <c r="D48" s="116"/>
      <c r="E48" s="117">
        <f t="shared" si="30"/>
        <v>0</v>
      </c>
      <c r="F48" s="117"/>
      <c r="G48" s="117"/>
      <c r="H48" s="117"/>
      <c r="I48" s="117"/>
      <c r="J48" s="117">
        <f t="shared" si="31"/>
        <v>0</v>
      </c>
      <c r="K48" s="114"/>
      <c r="L48" s="114"/>
      <c r="M48" s="114"/>
      <c r="N48" s="114"/>
      <c r="O48" s="117">
        <f t="shared" si="32"/>
        <v>0</v>
      </c>
      <c r="P48" s="117">
        <f t="shared" si="33"/>
        <v>0</v>
      </c>
      <c r="Q48" s="118"/>
      <c r="R48" s="118"/>
      <c r="S48" s="117">
        <f t="shared" si="34"/>
        <v>0</v>
      </c>
      <c r="T48" s="117"/>
      <c r="U48" s="117"/>
      <c r="V48" s="117">
        <f t="shared" si="35"/>
        <v>0</v>
      </c>
      <c r="W48" s="118"/>
      <c r="X48" s="118"/>
      <c r="Y48" s="117">
        <f t="shared" si="36"/>
        <v>0</v>
      </c>
      <c r="Z48" s="117">
        <f t="shared" si="37"/>
        <v>0</v>
      </c>
      <c r="AA48" s="119" t="e">
        <f t="shared" si="51"/>
        <v>#DIV/0!</v>
      </c>
      <c r="AB48" s="117">
        <f t="shared" si="38"/>
        <v>0</v>
      </c>
      <c r="AC48" s="118"/>
      <c r="AD48" s="119">
        <f t="shared" si="39"/>
        <v>0</v>
      </c>
      <c r="AE48" s="118"/>
      <c r="AF48" s="118"/>
      <c r="AG48" s="118"/>
      <c r="AH48" s="118"/>
      <c r="AI48" s="152" t="e">
        <f t="shared" si="40"/>
        <v>#DIV/0!</v>
      </c>
      <c r="AJ48" s="118"/>
      <c r="AK48" s="120">
        <f t="shared" si="41"/>
        <v>0</v>
      </c>
      <c r="AL48" s="121" t="e">
        <f t="shared" si="42"/>
        <v>#DIV/0!</v>
      </c>
      <c r="AM48" s="122"/>
      <c r="AN48" s="123">
        <f t="shared" si="43"/>
        <v>0</v>
      </c>
      <c r="AO48" s="124">
        <f t="shared" si="44"/>
        <v>0</v>
      </c>
      <c r="AP48" s="124">
        <f t="shared" si="45"/>
        <v>0</v>
      </c>
      <c r="AQ48" s="124">
        <f t="shared" si="46"/>
        <v>0</v>
      </c>
      <c r="AR48" s="124">
        <f t="shared" si="47"/>
        <v>0</v>
      </c>
      <c r="AS48" s="124" t="e">
        <f t="array" ref="AS48">_xlfn.IFS(S48=0,AL48,S48&lt;0,AL48/-S48,S48&gt;0,AL48/S48)</f>
        <v>#DIV/0!</v>
      </c>
      <c r="AT48" s="119">
        <f t="shared" si="48"/>
        <v>0</v>
      </c>
      <c r="AU48" s="119">
        <f t="shared" si="49"/>
        <v>0</v>
      </c>
      <c r="AV48" s="125"/>
      <c r="AW48" s="120" t="e">
        <f t="shared" si="50"/>
        <v>#DIV/0!</v>
      </c>
    </row>
    <row r="49" spans="1:49" hidden="1" outlineLevel="1">
      <c r="A49" s="114"/>
      <c r="B49" s="115"/>
      <c r="C49" s="115"/>
      <c r="D49" s="116"/>
      <c r="E49" s="117">
        <f t="shared" si="30"/>
        <v>0</v>
      </c>
      <c r="F49" s="117"/>
      <c r="G49" s="117"/>
      <c r="H49" s="117"/>
      <c r="I49" s="117"/>
      <c r="J49" s="117">
        <f t="shared" si="31"/>
        <v>0</v>
      </c>
      <c r="K49" s="114"/>
      <c r="L49" s="114"/>
      <c r="M49" s="114"/>
      <c r="N49" s="114"/>
      <c r="O49" s="117">
        <f t="shared" si="32"/>
        <v>0</v>
      </c>
      <c r="P49" s="117">
        <f t="shared" si="33"/>
        <v>0</v>
      </c>
      <c r="Q49" s="118"/>
      <c r="R49" s="118"/>
      <c r="S49" s="117">
        <f t="shared" si="34"/>
        <v>0</v>
      </c>
      <c r="T49" s="117"/>
      <c r="U49" s="117"/>
      <c r="V49" s="117">
        <f t="shared" si="35"/>
        <v>0</v>
      </c>
      <c r="W49" s="118"/>
      <c r="X49" s="118"/>
      <c r="Y49" s="117">
        <f t="shared" si="36"/>
        <v>0</v>
      </c>
      <c r="Z49" s="117">
        <f t="shared" si="37"/>
        <v>0</v>
      </c>
      <c r="AA49" s="119" t="e">
        <f t="shared" si="51"/>
        <v>#DIV/0!</v>
      </c>
      <c r="AB49" s="117">
        <f t="shared" si="38"/>
        <v>0</v>
      </c>
      <c r="AC49" s="118"/>
      <c r="AD49" s="119">
        <f t="shared" si="39"/>
        <v>0</v>
      </c>
      <c r="AE49" s="118"/>
      <c r="AF49" s="118"/>
      <c r="AG49" s="118"/>
      <c r="AH49" s="118"/>
      <c r="AI49" s="152" t="e">
        <f t="shared" si="40"/>
        <v>#DIV/0!</v>
      </c>
      <c r="AJ49" s="118"/>
      <c r="AK49" s="120">
        <f t="shared" si="41"/>
        <v>0</v>
      </c>
      <c r="AL49" s="121" t="e">
        <f t="shared" si="42"/>
        <v>#DIV/0!</v>
      </c>
      <c r="AM49" s="122"/>
      <c r="AN49" s="123">
        <f t="shared" si="43"/>
        <v>0</v>
      </c>
      <c r="AO49" s="124">
        <f t="shared" si="44"/>
        <v>0</v>
      </c>
      <c r="AP49" s="124">
        <f t="shared" si="45"/>
        <v>0</v>
      </c>
      <c r="AQ49" s="124">
        <f t="shared" si="46"/>
        <v>0</v>
      </c>
      <c r="AR49" s="124">
        <f t="shared" si="47"/>
        <v>0</v>
      </c>
      <c r="AS49" s="124" t="e">
        <f t="array" ref="AS49">_xlfn.IFS(S49=0,AL49,S49&lt;0,AL49/-S49,S49&gt;0,AL49/S49)</f>
        <v>#DIV/0!</v>
      </c>
      <c r="AT49" s="119">
        <f t="shared" si="48"/>
        <v>0</v>
      </c>
      <c r="AU49" s="119">
        <f t="shared" si="49"/>
        <v>0</v>
      </c>
      <c r="AV49" s="125"/>
      <c r="AW49" s="120" t="e">
        <f t="shared" si="50"/>
        <v>#DIV/0!</v>
      </c>
    </row>
    <row r="50" spans="1:49" hidden="1" outlineLevel="1">
      <c r="A50" s="114"/>
      <c r="B50" s="115"/>
      <c r="C50" s="115"/>
      <c r="D50" s="116"/>
      <c r="E50" s="117">
        <f t="shared" si="30"/>
        <v>0</v>
      </c>
      <c r="F50" s="117"/>
      <c r="G50" s="117"/>
      <c r="H50" s="117"/>
      <c r="I50" s="117"/>
      <c r="J50" s="117">
        <f t="shared" si="31"/>
        <v>0</v>
      </c>
      <c r="K50" s="114"/>
      <c r="L50" s="114"/>
      <c r="M50" s="114"/>
      <c r="N50" s="114"/>
      <c r="O50" s="117">
        <f t="shared" si="32"/>
        <v>0</v>
      </c>
      <c r="P50" s="117">
        <f t="shared" si="33"/>
        <v>0</v>
      </c>
      <c r="Q50" s="118"/>
      <c r="R50" s="118"/>
      <c r="S50" s="117">
        <f t="shared" si="34"/>
        <v>0</v>
      </c>
      <c r="T50" s="117"/>
      <c r="U50" s="117"/>
      <c r="V50" s="117">
        <f t="shared" si="35"/>
        <v>0</v>
      </c>
      <c r="W50" s="118"/>
      <c r="X50" s="118"/>
      <c r="Y50" s="117">
        <f t="shared" si="36"/>
        <v>0</v>
      </c>
      <c r="Z50" s="117">
        <f t="shared" si="37"/>
        <v>0</v>
      </c>
      <c r="AA50" s="119" t="e">
        <f t="shared" si="51"/>
        <v>#DIV/0!</v>
      </c>
      <c r="AB50" s="117">
        <f t="shared" si="38"/>
        <v>0</v>
      </c>
      <c r="AC50" s="118"/>
      <c r="AD50" s="119">
        <f t="shared" si="39"/>
        <v>0</v>
      </c>
      <c r="AE50" s="118"/>
      <c r="AF50" s="118"/>
      <c r="AG50" s="118"/>
      <c r="AH50" s="118"/>
      <c r="AI50" s="152" t="e">
        <f t="shared" si="40"/>
        <v>#DIV/0!</v>
      </c>
      <c r="AJ50" s="118"/>
      <c r="AK50" s="120">
        <f t="shared" si="41"/>
        <v>0</v>
      </c>
      <c r="AL50" s="121" t="e">
        <f t="shared" si="42"/>
        <v>#DIV/0!</v>
      </c>
      <c r="AM50" s="122"/>
      <c r="AN50" s="123">
        <f t="shared" si="43"/>
        <v>0</v>
      </c>
      <c r="AO50" s="124">
        <f t="shared" si="44"/>
        <v>0</v>
      </c>
      <c r="AP50" s="124">
        <f t="shared" si="45"/>
        <v>0</v>
      </c>
      <c r="AQ50" s="124">
        <f t="shared" si="46"/>
        <v>0</v>
      </c>
      <c r="AR50" s="124">
        <f t="shared" si="47"/>
        <v>0</v>
      </c>
      <c r="AS50" s="124" t="e">
        <f t="array" ref="AS50">_xlfn.IFS(S50=0,AL50,S50&lt;0,AL50/-S50,S50&gt;0,AL50/S50)</f>
        <v>#DIV/0!</v>
      </c>
      <c r="AT50" s="119">
        <f t="shared" si="48"/>
        <v>0</v>
      </c>
      <c r="AU50" s="119">
        <f t="shared" si="49"/>
        <v>0</v>
      </c>
      <c r="AV50" s="125"/>
      <c r="AW50" s="120" t="e">
        <f t="shared" si="50"/>
        <v>#DIV/0!</v>
      </c>
    </row>
    <row r="51" spans="1:49" hidden="1" outlineLevel="1">
      <c r="A51" s="114"/>
      <c r="B51" s="115"/>
      <c r="C51" s="115"/>
      <c r="D51" s="116"/>
      <c r="E51" s="117">
        <f t="shared" si="30"/>
        <v>0</v>
      </c>
      <c r="F51" s="117"/>
      <c r="G51" s="117"/>
      <c r="H51" s="117"/>
      <c r="I51" s="117"/>
      <c r="J51" s="117">
        <f t="shared" si="31"/>
        <v>0</v>
      </c>
      <c r="K51" s="114"/>
      <c r="L51" s="114"/>
      <c r="M51" s="114"/>
      <c r="N51" s="114"/>
      <c r="O51" s="117">
        <f t="shared" si="32"/>
        <v>0</v>
      </c>
      <c r="P51" s="117">
        <f t="shared" si="33"/>
        <v>0</v>
      </c>
      <c r="Q51" s="118"/>
      <c r="R51" s="118"/>
      <c r="S51" s="117">
        <f t="shared" si="34"/>
        <v>0</v>
      </c>
      <c r="T51" s="117"/>
      <c r="U51" s="117"/>
      <c r="V51" s="117">
        <f t="shared" si="35"/>
        <v>0</v>
      </c>
      <c r="W51" s="118"/>
      <c r="X51" s="118"/>
      <c r="Y51" s="117">
        <f t="shared" si="36"/>
        <v>0</v>
      </c>
      <c r="Z51" s="117">
        <f t="shared" si="37"/>
        <v>0</v>
      </c>
      <c r="AA51" s="119" t="e">
        <f t="shared" si="51"/>
        <v>#DIV/0!</v>
      </c>
      <c r="AB51" s="117">
        <f t="shared" si="38"/>
        <v>0</v>
      </c>
      <c r="AC51" s="118"/>
      <c r="AD51" s="119">
        <f t="shared" si="39"/>
        <v>0</v>
      </c>
      <c r="AE51" s="118"/>
      <c r="AF51" s="118"/>
      <c r="AG51" s="118"/>
      <c r="AH51" s="118"/>
      <c r="AI51" s="152" t="e">
        <f t="shared" si="40"/>
        <v>#DIV/0!</v>
      </c>
      <c r="AJ51" s="118"/>
      <c r="AK51" s="120">
        <f t="shared" si="41"/>
        <v>0</v>
      </c>
      <c r="AL51" s="121" t="e">
        <f t="shared" si="42"/>
        <v>#DIV/0!</v>
      </c>
      <c r="AM51" s="122"/>
      <c r="AN51" s="123">
        <f t="shared" si="43"/>
        <v>0</v>
      </c>
      <c r="AO51" s="124">
        <f t="shared" si="44"/>
        <v>0</v>
      </c>
      <c r="AP51" s="124">
        <f t="shared" si="45"/>
        <v>0</v>
      </c>
      <c r="AQ51" s="124">
        <f t="shared" si="46"/>
        <v>0</v>
      </c>
      <c r="AR51" s="124">
        <f t="shared" si="47"/>
        <v>0</v>
      </c>
      <c r="AS51" s="124" t="e">
        <f t="array" ref="AS51">_xlfn.IFS(S51=0,AL51,S51&lt;0,AL51/-S51,S51&gt;0,AL51/S51)</f>
        <v>#DIV/0!</v>
      </c>
      <c r="AT51" s="119">
        <f t="shared" si="48"/>
        <v>0</v>
      </c>
      <c r="AU51" s="119">
        <f t="shared" si="49"/>
        <v>0</v>
      </c>
      <c r="AV51" s="125"/>
      <c r="AW51" s="120" t="e">
        <f t="shared" si="50"/>
        <v>#DIV/0!</v>
      </c>
    </row>
    <row r="52" spans="1:49" hidden="1" outlineLevel="1">
      <c r="A52" s="114"/>
      <c r="B52" s="115"/>
      <c r="C52" s="115"/>
      <c r="D52" s="116"/>
      <c r="E52" s="117">
        <f t="shared" si="30"/>
        <v>0</v>
      </c>
      <c r="F52" s="117"/>
      <c r="G52" s="117"/>
      <c r="H52" s="117"/>
      <c r="I52" s="117"/>
      <c r="J52" s="117">
        <f t="shared" si="31"/>
        <v>0</v>
      </c>
      <c r="K52" s="114"/>
      <c r="L52" s="114"/>
      <c r="M52" s="114"/>
      <c r="N52" s="114"/>
      <c r="O52" s="117">
        <f t="shared" si="32"/>
        <v>0</v>
      </c>
      <c r="P52" s="117">
        <f t="shared" si="33"/>
        <v>0</v>
      </c>
      <c r="Q52" s="118"/>
      <c r="R52" s="118"/>
      <c r="S52" s="117">
        <f t="shared" si="34"/>
        <v>0</v>
      </c>
      <c r="T52" s="117"/>
      <c r="U52" s="117"/>
      <c r="V52" s="117">
        <f t="shared" si="35"/>
        <v>0</v>
      </c>
      <c r="W52" s="118"/>
      <c r="X52" s="118"/>
      <c r="Y52" s="117">
        <f t="shared" si="36"/>
        <v>0</v>
      </c>
      <c r="Z52" s="117">
        <f t="shared" si="37"/>
        <v>0</v>
      </c>
      <c r="AA52" s="119" t="e">
        <f t="shared" si="51"/>
        <v>#DIV/0!</v>
      </c>
      <c r="AB52" s="117">
        <f t="shared" si="38"/>
        <v>0</v>
      </c>
      <c r="AC52" s="118"/>
      <c r="AD52" s="119">
        <f t="shared" si="39"/>
        <v>0</v>
      </c>
      <c r="AE52" s="118"/>
      <c r="AF52" s="118"/>
      <c r="AG52" s="118"/>
      <c r="AH52" s="118"/>
      <c r="AI52" s="152" t="e">
        <f t="shared" si="40"/>
        <v>#DIV/0!</v>
      </c>
      <c r="AJ52" s="118"/>
      <c r="AK52" s="120">
        <f t="shared" si="41"/>
        <v>0</v>
      </c>
      <c r="AL52" s="121" t="e">
        <f t="shared" si="42"/>
        <v>#DIV/0!</v>
      </c>
      <c r="AM52" s="122"/>
      <c r="AN52" s="123">
        <f t="shared" si="43"/>
        <v>0</v>
      </c>
      <c r="AO52" s="124">
        <f t="shared" si="44"/>
        <v>0</v>
      </c>
      <c r="AP52" s="124">
        <f t="shared" si="45"/>
        <v>0</v>
      </c>
      <c r="AQ52" s="124">
        <f t="shared" si="46"/>
        <v>0</v>
      </c>
      <c r="AR52" s="124">
        <f t="shared" si="47"/>
        <v>0</v>
      </c>
      <c r="AS52" s="124" t="e">
        <f t="array" ref="AS52">_xlfn.IFS(S52=0,AL52,S52&lt;0,AL52/-S52,S52&gt;0,AL52/S52)</f>
        <v>#DIV/0!</v>
      </c>
      <c r="AT52" s="119">
        <f t="shared" si="48"/>
        <v>0</v>
      </c>
      <c r="AU52" s="119">
        <f t="shared" si="49"/>
        <v>0</v>
      </c>
      <c r="AV52" s="125"/>
      <c r="AW52" s="120" t="e">
        <f t="shared" si="50"/>
        <v>#DIV/0!</v>
      </c>
    </row>
    <row r="53" spans="1:49" hidden="1" outlineLevel="1">
      <c r="A53" s="114"/>
      <c r="B53" s="115"/>
      <c r="C53" s="115"/>
      <c r="D53" s="116"/>
      <c r="E53" s="117">
        <f t="shared" si="30"/>
        <v>0</v>
      </c>
      <c r="F53" s="117"/>
      <c r="G53" s="117"/>
      <c r="H53" s="117"/>
      <c r="I53" s="117"/>
      <c r="J53" s="117">
        <f t="shared" si="31"/>
        <v>0</v>
      </c>
      <c r="K53" s="114"/>
      <c r="L53" s="114"/>
      <c r="M53" s="114"/>
      <c r="N53" s="114"/>
      <c r="O53" s="117">
        <f t="shared" si="32"/>
        <v>0</v>
      </c>
      <c r="P53" s="117">
        <f t="shared" si="33"/>
        <v>0</v>
      </c>
      <c r="Q53" s="118"/>
      <c r="R53" s="118"/>
      <c r="S53" s="117">
        <f t="shared" si="34"/>
        <v>0</v>
      </c>
      <c r="T53" s="117"/>
      <c r="U53" s="117"/>
      <c r="V53" s="117">
        <f t="shared" si="35"/>
        <v>0</v>
      </c>
      <c r="W53" s="118"/>
      <c r="X53" s="118"/>
      <c r="Y53" s="117">
        <f t="shared" si="36"/>
        <v>0</v>
      </c>
      <c r="Z53" s="117">
        <f t="shared" si="37"/>
        <v>0</v>
      </c>
      <c r="AA53" s="119" t="e">
        <f t="shared" si="51"/>
        <v>#DIV/0!</v>
      </c>
      <c r="AB53" s="117">
        <f t="shared" si="38"/>
        <v>0</v>
      </c>
      <c r="AC53" s="118"/>
      <c r="AD53" s="119">
        <f t="shared" si="39"/>
        <v>0</v>
      </c>
      <c r="AE53" s="118"/>
      <c r="AF53" s="118"/>
      <c r="AG53" s="118"/>
      <c r="AH53" s="118"/>
      <c r="AI53" s="152" t="e">
        <f t="shared" si="40"/>
        <v>#DIV/0!</v>
      </c>
      <c r="AJ53" s="118"/>
      <c r="AK53" s="120">
        <f t="shared" si="41"/>
        <v>0</v>
      </c>
      <c r="AL53" s="121" t="e">
        <f t="shared" si="42"/>
        <v>#DIV/0!</v>
      </c>
      <c r="AM53" s="122"/>
      <c r="AN53" s="123">
        <f t="shared" si="43"/>
        <v>0</v>
      </c>
      <c r="AO53" s="124">
        <f t="shared" si="44"/>
        <v>0</v>
      </c>
      <c r="AP53" s="124">
        <f t="shared" si="45"/>
        <v>0</v>
      </c>
      <c r="AQ53" s="124">
        <f t="shared" si="46"/>
        <v>0</v>
      </c>
      <c r="AR53" s="124">
        <f t="shared" si="47"/>
        <v>0</v>
      </c>
      <c r="AS53" s="124" t="e">
        <f t="array" ref="AS53">_xlfn.IFS(S53=0,AL53,S53&lt;0,AL53/-S53,S53&gt;0,AL53/S53)</f>
        <v>#DIV/0!</v>
      </c>
      <c r="AT53" s="119">
        <f t="shared" si="48"/>
        <v>0</v>
      </c>
      <c r="AU53" s="119">
        <f t="shared" si="49"/>
        <v>0</v>
      </c>
      <c r="AV53" s="125"/>
      <c r="AW53" s="120" t="e">
        <f t="shared" si="50"/>
        <v>#DIV/0!</v>
      </c>
    </row>
    <row r="54" spans="1:49" hidden="1" outlineLevel="1">
      <c r="A54" s="114"/>
      <c r="B54" s="115"/>
      <c r="C54" s="115"/>
      <c r="D54" s="116"/>
      <c r="E54" s="117">
        <f t="shared" si="30"/>
        <v>0</v>
      </c>
      <c r="F54" s="117"/>
      <c r="G54" s="117"/>
      <c r="H54" s="117"/>
      <c r="I54" s="117"/>
      <c r="J54" s="117">
        <f t="shared" si="31"/>
        <v>0</v>
      </c>
      <c r="K54" s="114"/>
      <c r="L54" s="114"/>
      <c r="M54" s="114"/>
      <c r="N54" s="114"/>
      <c r="O54" s="117">
        <f t="shared" si="32"/>
        <v>0</v>
      </c>
      <c r="P54" s="117">
        <f t="shared" si="33"/>
        <v>0</v>
      </c>
      <c r="Q54" s="118"/>
      <c r="R54" s="118"/>
      <c r="S54" s="117">
        <f t="shared" si="34"/>
        <v>0</v>
      </c>
      <c r="T54" s="117"/>
      <c r="U54" s="117"/>
      <c r="V54" s="117">
        <f t="shared" si="35"/>
        <v>0</v>
      </c>
      <c r="W54" s="118"/>
      <c r="X54" s="118"/>
      <c r="Y54" s="117">
        <f t="shared" si="36"/>
        <v>0</v>
      </c>
      <c r="Z54" s="117">
        <f t="shared" si="37"/>
        <v>0</v>
      </c>
      <c r="AA54" s="119" t="e">
        <f t="shared" si="51"/>
        <v>#DIV/0!</v>
      </c>
      <c r="AB54" s="117">
        <f t="shared" si="38"/>
        <v>0</v>
      </c>
      <c r="AC54" s="118"/>
      <c r="AD54" s="119">
        <f t="shared" si="39"/>
        <v>0</v>
      </c>
      <c r="AE54" s="118"/>
      <c r="AF54" s="118"/>
      <c r="AG54" s="118"/>
      <c r="AH54" s="118"/>
      <c r="AI54" s="152" t="e">
        <f t="shared" si="40"/>
        <v>#DIV/0!</v>
      </c>
      <c r="AJ54" s="118"/>
      <c r="AK54" s="120">
        <f t="shared" si="41"/>
        <v>0</v>
      </c>
      <c r="AL54" s="121" t="e">
        <f t="shared" si="42"/>
        <v>#DIV/0!</v>
      </c>
      <c r="AM54" s="122"/>
      <c r="AN54" s="123">
        <f t="shared" si="43"/>
        <v>0</v>
      </c>
      <c r="AO54" s="124">
        <f t="shared" si="44"/>
        <v>0</v>
      </c>
      <c r="AP54" s="124">
        <f t="shared" si="45"/>
        <v>0</v>
      </c>
      <c r="AQ54" s="124">
        <f t="shared" si="46"/>
        <v>0</v>
      </c>
      <c r="AR54" s="124">
        <f t="shared" si="47"/>
        <v>0</v>
      </c>
      <c r="AS54" s="124" t="e">
        <f t="array" ref="AS54">_xlfn.IFS(S54=0,AL54,S54&lt;0,AL54/-S54,S54&gt;0,AL54/S54)</f>
        <v>#DIV/0!</v>
      </c>
      <c r="AT54" s="119">
        <f t="shared" si="48"/>
        <v>0</v>
      </c>
      <c r="AU54" s="119">
        <f t="shared" si="49"/>
        <v>0</v>
      </c>
      <c r="AV54" s="125"/>
      <c r="AW54" s="120" t="e">
        <f t="shared" si="50"/>
        <v>#DIV/0!</v>
      </c>
    </row>
    <row r="55" spans="1:49" hidden="1" outlineLevel="1">
      <c r="A55" s="114"/>
      <c r="B55" s="115"/>
      <c r="C55" s="115"/>
      <c r="D55" s="116"/>
      <c r="E55" s="117">
        <f t="shared" si="30"/>
        <v>0</v>
      </c>
      <c r="F55" s="117"/>
      <c r="G55" s="117"/>
      <c r="H55" s="117"/>
      <c r="I55" s="117"/>
      <c r="J55" s="117">
        <f t="shared" si="31"/>
        <v>0</v>
      </c>
      <c r="K55" s="114"/>
      <c r="L55" s="114"/>
      <c r="M55" s="114"/>
      <c r="N55" s="114"/>
      <c r="O55" s="117">
        <f t="shared" si="32"/>
        <v>0</v>
      </c>
      <c r="P55" s="117">
        <f t="shared" si="33"/>
        <v>0</v>
      </c>
      <c r="Q55" s="118"/>
      <c r="R55" s="118"/>
      <c r="S55" s="117">
        <f t="shared" si="34"/>
        <v>0</v>
      </c>
      <c r="T55" s="117"/>
      <c r="U55" s="117"/>
      <c r="V55" s="117">
        <f t="shared" si="35"/>
        <v>0</v>
      </c>
      <c r="W55" s="118"/>
      <c r="X55" s="118"/>
      <c r="Y55" s="117">
        <f t="shared" si="36"/>
        <v>0</v>
      </c>
      <c r="Z55" s="117">
        <f t="shared" si="37"/>
        <v>0</v>
      </c>
      <c r="AA55" s="119" t="e">
        <f t="shared" si="51"/>
        <v>#DIV/0!</v>
      </c>
      <c r="AB55" s="117">
        <f t="shared" si="38"/>
        <v>0</v>
      </c>
      <c r="AC55" s="118"/>
      <c r="AD55" s="119">
        <f t="shared" si="39"/>
        <v>0</v>
      </c>
      <c r="AE55" s="118"/>
      <c r="AF55" s="118"/>
      <c r="AG55" s="118"/>
      <c r="AH55" s="118"/>
      <c r="AI55" s="152" t="e">
        <f t="shared" si="40"/>
        <v>#DIV/0!</v>
      </c>
      <c r="AJ55" s="118"/>
      <c r="AK55" s="120">
        <f t="shared" si="41"/>
        <v>0</v>
      </c>
      <c r="AL55" s="121" t="e">
        <f t="shared" si="42"/>
        <v>#DIV/0!</v>
      </c>
      <c r="AM55" s="122"/>
      <c r="AN55" s="123">
        <f t="shared" si="43"/>
        <v>0</v>
      </c>
      <c r="AO55" s="124">
        <f t="shared" si="44"/>
        <v>0</v>
      </c>
      <c r="AP55" s="124">
        <f t="shared" si="45"/>
        <v>0</v>
      </c>
      <c r="AQ55" s="124">
        <f t="shared" si="46"/>
        <v>0</v>
      </c>
      <c r="AR55" s="124">
        <f t="shared" si="47"/>
        <v>0</v>
      </c>
      <c r="AS55" s="124" t="e">
        <f t="array" ref="AS55">_xlfn.IFS(S55=0,AL55,S55&lt;0,AL55/-S55,S55&gt;0,AL55/S55)</f>
        <v>#DIV/0!</v>
      </c>
      <c r="AT55" s="119">
        <f t="shared" si="48"/>
        <v>0</v>
      </c>
      <c r="AU55" s="119">
        <f t="shared" si="49"/>
        <v>0</v>
      </c>
      <c r="AV55" s="125"/>
      <c r="AW55" s="120" t="e">
        <f t="shared" si="50"/>
        <v>#DIV/0!</v>
      </c>
    </row>
    <row r="56" spans="1:49" hidden="1" outlineLevel="1">
      <c r="A56" s="114"/>
      <c r="B56" s="115"/>
      <c r="C56" s="115"/>
      <c r="D56" s="116"/>
      <c r="E56" s="117">
        <f t="shared" si="30"/>
        <v>0</v>
      </c>
      <c r="F56" s="117"/>
      <c r="G56" s="117"/>
      <c r="H56" s="117"/>
      <c r="I56" s="117"/>
      <c r="J56" s="117">
        <f t="shared" si="31"/>
        <v>0</v>
      </c>
      <c r="K56" s="114"/>
      <c r="L56" s="114"/>
      <c r="M56" s="114"/>
      <c r="N56" s="114"/>
      <c r="O56" s="117">
        <f t="shared" si="32"/>
        <v>0</v>
      </c>
      <c r="P56" s="117">
        <f t="shared" si="33"/>
        <v>0</v>
      </c>
      <c r="Q56" s="118"/>
      <c r="R56" s="118"/>
      <c r="S56" s="117">
        <f t="shared" si="34"/>
        <v>0</v>
      </c>
      <c r="T56" s="117"/>
      <c r="U56" s="117"/>
      <c r="V56" s="117">
        <f t="shared" si="35"/>
        <v>0</v>
      </c>
      <c r="W56" s="118"/>
      <c r="X56" s="118"/>
      <c r="Y56" s="117">
        <f t="shared" si="36"/>
        <v>0</v>
      </c>
      <c r="Z56" s="117">
        <f t="shared" si="37"/>
        <v>0</v>
      </c>
      <c r="AA56" s="119" t="e">
        <f t="shared" si="51"/>
        <v>#DIV/0!</v>
      </c>
      <c r="AB56" s="117">
        <f t="shared" si="38"/>
        <v>0</v>
      </c>
      <c r="AC56" s="118"/>
      <c r="AD56" s="119">
        <f t="shared" si="39"/>
        <v>0</v>
      </c>
      <c r="AE56" s="118"/>
      <c r="AF56" s="118"/>
      <c r="AG56" s="118"/>
      <c r="AH56" s="118"/>
      <c r="AI56" s="152" t="e">
        <f t="shared" si="40"/>
        <v>#DIV/0!</v>
      </c>
      <c r="AJ56" s="118"/>
      <c r="AK56" s="120">
        <f t="shared" si="41"/>
        <v>0</v>
      </c>
      <c r="AL56" s="121" t="e">
        <f t="shared" si="42"/>
        <v>#DIV/0!</v>
      </c>
      <c r="AM56" s="122"/>
      <c r="AN56" s="123">
        <f t="shared" si="43"/>
        <v>0</v>
      </c>
      <c r="AO56" s="124">
        <f t="shared" si="44"/>
        <v>0</v>
      </c>
      <c r="AP56" s="124">
        <f t="shared" si="45"/>
        <v>0</v>
      </c>
      <c r="AQ56" s="124">
        <f t="shared" si="46"/>
        <v>0</v>
      </c>
      <c r="AR56" s="124">
        <f t="shared" si="47"/>
        <v>0</v>
      </c>
      <c r="AS56" s="124" t="e">
        <f t="array" ref="AS56">_xlfn.IFS(S56=0,AL56,S56&lt;0,AL56/-S56,S56&gt;0,AL56/S56)</f>
        <v>#DIV/0!</v>
      </c>
      <c r="AT56" s="119">
        <f t="shared" si="48"/>
        <v>0</v>
      </c>
      <c r="AU56" s="119">
        <f t="shared" si="49"/>
        <v>0</v>
      </c>
      <c r="AV56" s="125"/>
      <c r="AW56" s="120" t="e">
        <f t="shared" si="50"/>
        <v>#DIV/0!</v>
      </c>
    </row>
    <row r="57" spans="1:49" hidden="1" outlineLevel="1">
      <c r="A57" s="114"/>
      <c r="B57" s="115"/>
      <c r="C57" s="115"/>
      <c r="D57" s="116"/>
      <c r="E57" s="117">
        <f t="shared" si="30"/>
        <v>0</v>
      </c>
      <c r="F57" s="117"/>
      <c r="G57" s="117"/>
      <c r="H57" s="117"/>
      <c r="I57" s="117"/>
      <c r="J57" s="117">
        <f t="shared" si="31"/>
        <v>0</v>
      </c>
      <c r="K57" s="114"/>
      <c r="L57" s="114"/>
      <c r="M57" s="114"/>
      <c r="N57" s="114"/>
      <c r="O57" s="117">
        <f t="shared" si="32"/>
        <v>0</v>
      </c>
      <c r="P57" s="117">
        <f t="shared" si="33"/>
        <v>0</v>
      </c>
      <c r="Q57" s="118"/>
      <c r="R57" s="118"/>
      <c r="S57" s="117">
        <f t="shared" si="34"/>
        <v>0</v>
      </c>
      <c r="T57" s="117"/>
      <c r="U57" s="117"/>
      <c r="V57" s="117">
        <f t="shared" si="35"/>
        <v>0</v>
      </c>
      <c r="W57" s="118"/>
      <c r="X57" s="118"/>
      <c r="Y57" s="117">
        <f t="shared" si="36"/>
        <v>0</v>
      </c>
      <c r="Z57" s="117">
        <f t="shared" si="37"/>
        <v>0</v>
      </c>
      <c r="AA57" s="119" t="e">
        <f t="shared" si="51"/>
        <v>#DIV/0!</v>
      </c>
      <c r="AB57" s="117">
        <f t="shared" si="38"/>
        <v>0</v>
      </c>
      <c r="AC57" s="118"/>
      <c r="AD57" s="119">
        <f t="shared" si="39"/>
        <v>0</v>
      </c>
      <c r="AE57" s="118"/>
      <c r="AF57" s="118"/>
      <c r="AG57" s="118"/>
      <c r="AH57" s="118"/>
      <c r="AI57" s="152" t="e">
        <f t="shared" si="40"/>
        <v>#DIV/0!</v>
      </c>
      <c r="AJ57" s="118"/>
      <c r="AK57" s="120">
        <f t="shared" si="41"/>
        <v>0</v>
      </c>
      <c r="AL57" s="121" t="e">
        <f t="shared" si="42"/>
        <v>#DIV/0!</v>
      </c>
      <c r="AM57" s="122"/>
      <c r="AN57" s="123">
        <f t="shared" si="43"/>
        <v>0</v>
      </c>
      <c r="AO57" s="124">
        <f t="shared" si="44"/>
        <v>0</v>
      </c>
      <c r="AP57" s="124">
        <f t="shared" si="45"/>
        <v>0</v>
      </c>
      <c r="AQ57" s="124">
        <f t="shared" si="46"/>
        <v>0</v>
      </c>
      <c r="AR57" s="124">
        <f t="shared" si="47"/>
        <v>0</v>
      </c>
      <c r="AS57" s="124" t="e">
        <f t="array" ref="AS57">_xlfn.IFS(S57=0,AL57,S57&lt;0,AL57/-S57,S57&gt;0,AL57/S57)</f>
        <v>#DIV/0!</v>
      </c>
      <c r="AT57" s="119">
        <f t="shared" si="48"/>
        <v>0</v>
      </c>
      <c r="AU57" s="119">
        <f t="shared" si="49"/>
        <v>0</v>
      </c>
      <c r="AV57" s="125"/>
      <c r="AW57" s="120" t="e">
        <f t="shared" si="50"/>
        <v>#DIV/0!</v>
      </c>
    </row>
    <row r="58" spans="1:49" hidden="1" outlineLevel="1">
      <c r="A58" s="114"/>
      <c r="B58" s="115"/>
      <c r="C58" s="115"/>
      <c r="D58" s="116"/>
      <c r="E58" s="117">
        <f t="shared" si="30"/>
        <v>0</v>
      </c>
      <c r="F58" s="117"/>
      <c r="G58" s="117"/>
      <c r="H58" s="117"/>
      <c r="I58" s="117"/>
      <c r="J58" s="117">
        <f t="shared" si="31"/>
        <v>0</v>
      </c>
      <c r="K58" s="114"/>
      <c r="L58" s="114"/>
      <c r="M58" s="114"/>
      <c r="N58" s="114"/>
      <c r="O58" s="117">
        <f t="shared" si="32"/>
        <v>0</v>
      </c>
      <c r="P58" s="117">
        <f t="shared" si="33"/>
        <v>0</v>
      </c>
      <c r="Q58" s="118"/>
      <c r="R58" s="118"/>
      <c r="S58" s="117">
        <f t="shared" si="34"/>
        <v>0</v>
      </c>
      <c r="T58" s="117"/>
      <c r="U58" s="117"/>
      <c r="V58" s="117">
        <f t="shared" si="35"/>
        <v>0</v>
      </c>
      <c r="W58" s="118"/>
      <c r="X58" s="118"/>
      <c r="Y58" s="117">
        <f t="shared" si="36"/>
        <v>0</v>
      </c>
      <c r="Z58" s="117">
        <f t="shared" si="37"/>
        <v>0</v>
      </c>
      <c r="AA58" s="119" t="e">
        <f t="shared" si="51"/>
        <v>#DIV/0!</v>
      </c>
      <c r="AB58" s="117">
        <f t="shared" si="38"/>
        <v>0</v>
      </c>
      <c r="AC58" s="118"/>
      <c r="AD58" s="119">
        <f t="shared" si="39"/>
        <v>0</v>
      </c>
      <c r="AE58" s="118"/>
      <c r="AF58" s="118"/>
      <c r="AG58" s="118"/>
      <c r="AH58" s="118"/>
      <c r="AI58" s="152" t="e">
        <f t="shared" si="40"/>
        <v>#DIV/0!</v>
      </c>
      <c r="AJ58" s="118"/>
      <c r="AK58" s="120">
        <f t="shared" si="41"/>
        <v>0</v>
      </c>
      <c r="AL58" s="121" t="e">
        <f t="shared" si="42"/>
        <v>#DIV/0!</v>
      </c>
      <c r="AM58" s="122"/>
      <c r="AN58" s="123">
        <f t="shared" si="43"/>
        <v>0</v>
      </c>
      <c r="AO58" s="124">
        <f t="shared" si="44"/>
        <v>0</v>
      </c>
      <c r="AP58" s="124">
        <f t="shared" si="45"/>
        <v>0</v>
      </c>
      <c r="AQ58" s="124">
        <f t="shared" si="46"/>
        <v>0</v>
      </c>
      <c r="AR58" s="124">
        <f t="shared" si="47"/>
        <v>0</v>
      </c>
      <c r="AS58" s="124" t="e">
        <f t="array" ref="AS58">_xlfn.IFS(S58=0,AL58,S58&lt;0,AL58/-S58,S58&gt;0,AL58/S58)</f>
        <v>#DIV/0!</v>
      </c>
      <c r="AT58" s="119">
        <f t="shared" si="48"/>
        <v>0</v>
      </c>
      <c r="AU58" s="119">
        <f t="shared" si="49"/>
        <v>0</v>
      </c>
      <c r="AV58" s="125"/>
      <c r="AW58" s="120" t="e">
        <f t="shared" si="50"/>
        <v>#DIV/0!</v>
      </c>
    </row>
    <row r="59" spans="1:49" hidden="1" outlineLevel="1">
      <c r="A59" s="114"/>
      <c r="B59" s="115"/>
      <c r="C59" s="115"/>
      <c r="D59" s="116"/>
      <c r="E59" s="117">
        <f t="shared" si="30"/>
        <v>0</v>
      </c>
      <c r="F59" s="117"/>
      <c r="G59" s="117"/>
      <c r="H59" s="117"/>
      <c r="I59" s="117"/>
      <c r="J59" s="117">
        <f t="shared" si="31"/>
        <v>0</v>
      </c>
      <c r="K59" s="114"/>
      <c r="L59" s="114"/>
      <c r="M59" s="114"/>
      <c r="N59" s="114"/>
      <c r="O59" s="117">
        <f t="shared" si="32"/>
        <v>0</v>
      </c>
      <c r="P59" s="117">
        <f t="shared" si="33"/>
        <v>0</v>
      </c>
      <c r="Q59" s="118"/>
      <c r="R59" s="118"/>
      <c r="S59" s="117">
        <f t="shared" si="34"/>
        <v>0</v>
      </c>
      <c r="T59" s="117"/>
      <c r="U59" s="117"/>
      <c r="V59" s="117">
        <f t="shared" si="35"/>
        <v>0</v>
      </c>
      <c r="W59" s="118"/>
      <c r="X59" s="118"/>
      <c r="Y59" s="117">
        <f t="shared" si="36"/>
        <v>0</v>
      </c>
      <c r="Z59" s="117">
        <f t="shared" si="37"/>
        <v>0</v>
      </c>
      <c r="AA59" s="119" t="e">
        <f t="shared" si="51"/>
        <v>#DIV/0!</v>
      </c>
      <c r="AB59" s="117">
        <f t="shared" si="38"/>
        <v>0</v>
      </c>
      <c r="AC59" s="118"/>
      <c r="AD59" s="119">
        <f t="shared" si="39"/>
        <v>0</v>
      </c>
      <c r="AE59" s="118"/>
      <c r="AF59" s="118"/>
      <c r="AG59" s="118"/>
      <c r="AH59" s="118"/>
      <c r="AI59" s="152" t="e">
        <f t="shared" si="40"/>
        <v>#DIV/0!</v>
      </c>
      <c r="AJ59" s="118"/>
      <c r="AK59" s="120">
        <f t="shared" si="41"/>
        <v>0</v>
      </c>
      <c r="AL59" s="121" t="e">
        <f t="shared" si="42"/>
        <v>#DIV/0!</v>
      </c>
      <c r="AM59" s="122"/>
      <c r="AN59" s="123">
        <f t="shared" si="43"/>
        <v>0</v>
      </c>
      <c r="AO59" s="124">
        <f t="shared" si="44"/>
        <v>0</v>
      </c>
      <c r="AP59" s="124">
        <f t="shared" si="45"/>
        <v>0</v>
      </c>
      <c r="AQ59" s="124">
        <f t="shared" si="46"/>
        <v>0</v>
      </c>
      <c r="AR59" s="124">
        <f t="shared" si="47"/>
        <v>0</v>
      </c>
      <c r="AS59" s="124" t="e">
        <f t="array" ref="AS59">_xlfn.IFS(S59=0,AL59,S59&lt;0,AL59/-S59,S59&gt;0,AL59/S59)</f>
        <v>#DIV/0!</v>
      </c>
      <c r="AT59" s="119">
        <f t="shared" si="48"/>
        <v>0</v>
      </c>
      <c r="AU59" s="119">
        <f t="shared" si="49"/>
        <v>0</v>
      </c>
      <c r="AV59" s="125"/>
      <c r="AW59" s="120" t="e">
        <f t="shared" si="50"/>
        <v>#DIV/0!</v>
      </c>
    </row>
    <row r="60" spans="1:49" hidden="1" outlineLevel="1">
      <c r="A60" s="114"/>
      <c r="B60" s="115"/>
      <c r="C60" s="115"/>
      <c r="D60" s="116"/>
      <c r="E60" s="117">
        <f t="shared" si="30"/>
        <v>0</v>
      </c>
      <c r="F60" s="117"/>
      <c r="G60" s="117"/>
      <c r="H60" s="117"/>
      <c r="I60" s="117"/>
      <c r="J60" s="117">
        <f t="shared" si="31"/>
        <v>0</v>
      </c>
      <c r="K60" s="114"/>
      <c r="L60" s="114"/>
      <c r="M60" s="114"/>
      <c r="N60" s="114"/>
      <c r="O60" s="117">
        <f t="shared" si="32"/>
        <v>0</v>
      </c>
      <c r="P60" s="117">
        <f t="shared" si="33"/>
        <v>0</v>
      </c>
      <c r="Q60" s="118"/>
      <c r="R60" s="118"/>
      <c r="S60" s="117">
        <f t="shared" si="34"/>
        <v>0</v>
      </c>
      <c r="T60" s="117"/>
      <c r="U60" s="117"/>
      <c r="V60" s="117">
        <f t="shared" si="35"/>
        <v>0</v>
      </c>
      <c r="W60" s="118"/>
      <c r="X60" s="118"/>
      <c r="Y60" s="117">
        <f t="shared" si="36"/>
        <v>0</v>
      </c>
      <c r="Z60" s="117">
        <f t="shared" si="37"/>
        <v>0</v>
      </c>
      <c r="AA60" s="119" t="e">
        <f t="shared" si="51"/>
        <v>#DIV/0!</v>
      </c>
      <c r="AB60" s="117">
        <f t="shared" si="38"/>
        <v>0</v>
      </c>
      <c r="AC60" s="118"/>
      <c r="AD60" s="119">
        <f t="shared" si="39"/>
        <v>0</v>
      </c>
      <c r="AE60" s="118"/>
      <c r="AF60" s="118"/>
      <c r="AG60" s="118"/>
      <c r="AH60" s="118"/>
      <c r="AI60" s="152" t="e">
        <f t="shared" si="40"/>
        <v>#DIV/0!</v>
      </c>
      <c r="AJ60" s="118"/>
      <c r="AK60" s="120">
        <f t="shared" si="41"/>
        <v>0</v>
      </c>
      <c r="AL60" s="121" t="e">
        <f t="shared" si="42"/>
        <v>#DIV/0!</v>
      </c>
      <c r="AM60" s="122"/>
      <c r="AN60" s="123">
        <f t="shared" si="43"/>
        <v>0</v>
      </c>
      <c r="AO60" s="124">
        <f t="shared" si="44"/>
        <v>0</v>
      </c>
      <c r="AP60" s="124">
        <f t="shared" si="45"/>
        <v>0</v>
      </c>
      <c r="AQ60" s="124">
        <f t="shared" si="46"/>
        <v>0</v>
      </c>
      <c r="AR60" s="124">
        <f t="shared" si="47"/>
        <v>0</v>
      </c>
      <c r="AS60" s="124" t="e">
        <f t="array" ref="AS60">_xlfn.IFS(S60=0,AL60,S60&lt;0,AL60/-S60,S60&gt;0,AL60/S60)</f>
        <v>#DIV/0!</v>
      </c>
      <c r="AT60" s="119">
        <f t="shared" si="48"/>
        <v>0</v>
      </c>
      <c r="AU60" s="119">
        <f t="shared" si="49"/>
        <v>0</v>
      </c>
      <c r="AV60" s="125"/>
      <c r="AW60" s="120" t="e">
        <f t="shared" si="50"/>
        <v>#DIV/0!</v>
      </c>
    </row>
    <row r="61" spans="1:49" hidden="1" outlineLevel="1">
      <c r="A61" s="114"/>
      <c r="B61" s="115"/>
      <c r="C61" s="115"/>
      <c r="D61" s="116"/>
      <c r="E61" s="117">
        <f t="shared" si="30"/>
        <v>0</v>
      </c>
      <c r="F61" s="117"/>
      <c r="G61" s="117"/>
      <c r="H61" s="117"/>
      <c r="I61" s="117"/>
      <c r="J61" s="117">
        <f t="shared" si="31"/>
        <v>0</v>
      </c>
      <c r="K61" s="114"/>
      <c r="L61" s="114"/>
      <c r="M61" s="114"/>
      <c r="N61" s="114"/>
      <c r="O61" s="117">
        <f t="shared" si="32"/>
        <v>0</v>
      </c>
      <c r="P61" s="117">
        <f t="shared" si="33"/>
        <v>0</v>
      </c>
      <c r="Q61" s="118"/>
      <c r="R61" s="118"/>
      <c r="S61" s="117">
        <f t="shared" si="34"/>
        <v>0</v>
      </c>
      <c r="T61" s="117"/>
      <c r="U61" s="117"/>
      <c r="V61" s="117">
        <f t="shared" si="35"/>
        <v>0</v>
      </c>
      <c r="W61" s="118"/>
      <c r="X61" s="118"/>
      <c r="Y61" s="117">
        <f t="shared" si="36"/>
        <v>0</v>
      </c>
      <c r="Z61" s="117">
        <f t="shared" si="37"/>
        <v>0</v>
      </c>
      <c r="AA61" s="119" t="e">
        <f t="shared" si="51"/>
        <v>#DIV/0!</v>
      </c>
      <c r="AB61" s="117">
        <f t="shared" si="38"/>
        <v>0</v>
      </c>
      <c r="AC61" s="118"/>
      <c r="AD61" s="119">
        <f t="shared" si="39"/>
        <v>0</v>
      </c>
      <c r="AE61" s="118"/>
      <c r="AF61" s="118"/>
      <c r="AG61" s="118"/>
      <c r="AH61" s="118"/>
      <c r="AI61" s="152" t="e">
        <f t="shared" si="40"/>
        <v>#DIV/0!</v>
      </c>
      <c r="AJ61" s="118"/>
      <c r="AK61" s="120">
        <f t="shared" si="41"/>
        <v>0</v>
      </c>
      <c r="AL61" s="121" t="e">
        <f t="shared" si="42"/>
        <v>#DIV/0!</v>
      </c>
      <c r="AM61" s="122"/>
      <c r="AN61" s="123">
        <f t="shared" si="43"/>
        <v>0</v>
      </c>
      <c r="AO61" s="124">
        <f t="shared" si="44"/>
        <v>0</v>
      </c>
      <c r="AP61" s="124">
        <f t="shared" si="45"/>
        <v>0</v>
      </c>
      <c r="AQ61" s="124">
        <f t="shared" si="46"/>
        <v>0</v>
      </c>
      <c r="AR61" s="124">
        <f t="shared" si="47"/>
        <v>0</v>
      </c>
      <c r="AS61" s="124" t="e">
        <f t="array" ref="AS61">_xlfn.IFS(S61=0,AL61,S61&lt;0,AL61/-S61,S61&gt;0,AL61/S61)</f>
        <v>#DIV/0!</v>
      </c>
      <c r="AT61" s="119">
        <f t="shared" si="48"/>
        <v>0</v>
      </c>
      <c r="AU61" s="119">
        <f t="shared" si="49"/>
        <v>0</v>
      </c>
      <c r="AV61" s="125"/>
      <c r="AW61" s="120" t="e">
        <f t="shared" si="50"/>
        <v>#DIV/0!</v>
      </c>
    </row>
    <row r="62" spans="1:49" hidden="1" outlineLevel="1">
      <c r="A62" s="114"/>
      <c r="B62" s="115"/>
      <c r="C62" s="115"/>
      <c r="D62" s="116"/>
      <c r="E62" s="117">
        <f t="shared" si="30"/>
        <v>0</v>
      </c>
      <c r="F62" s="117"/>
      <c r="G62" s="117"/>
      <c r="H62" s="117"/>
      <c r="I62" s="117"/>
      <c r="J62" s="117">
        <f t="shared" si="31"/>
        <v>0</v>
      </c>
      <c r="K62" s="114"/>
      <c r="L62" s="114"/>
      <c r="M62" s="114"/>
      <c r="N62" s="114"/>
      <c r="O62" s="117">
        <f t="shared" si="32"/>
        <v>0</v>
      </c>
      <c r="P62" s="117">
        <f t="shared" si="33"/>
        <v>0</v>
      </c>
      <c r="Q62" s="118"/>
      <c r="R62" s="118"/>
      <c r="S62" s="117">
        <f t="shared" si="34"/>
        <v>0</v>
      </c>
      <c r="T62" s="117"/>
      <c r="U62" s="117"/>
      <c r="V62" s="117">
        <f t="shared" si="35"/>
        <v>0</v>
      </c>
      <c r="W62" s="118"/>
      <c r="X62" s="118"/>
      <c r="Y62" s="117">
        <f t="shared" si="36"/>
        <v>0</v>
      </c>
      <c r="Z62" s="117">
        <f t="shared" si="37"/>
        <v>0</v>
      </c>
      <c r="AA62" s="119" t="e">
        <f t="shared" si="51"/>
        <v>#DIV/0!</v>
      </c>
      <c r="AB62" s="117">
        <f t="shared" si="38"/>
        <v>0</v>
      </c>
      <c r="AC62" s="118"/>
      <c r="AD62" s="119">
        <f t="shared" si="39"/>
        <v>0</v>
      </c>
      <c r="AE62" s="118"/>
      <c r="AF62" s="118"/>
      <c r="AG62" s="118"/>
      <c r="AH62" s="118"/>
      <c r="AI62" s="152" t="e">
        <f t="shared" si="40"/>
        <v>#DIV/0!</v>
      </c>
      <c r="AJ62" s="118"/>
      <c r="AK62" s="120">
        <f t="shared" si="41"/>
        <v>0</v>
      </c>
      <c r="AL62" s="121" t="e">
        <f t="shared" si="42"/>
        <v>#DIV/0!</v>
      </c>
      <c r="AM62" s="122"/>
      <c r="AN62" s="123">
        <f t="shared" si="43"/>
        <v>0</v>
      </c>
      <c r="AO62" s="124">
        <f t="shared" si="44"/>
        <v>0</v>
      </c>
      <c r="AP62" s="124">
        <f t="shared" si="45"/>
        <v>0</v>
      </c>
      <c r="AQ62" s="124">
        <f t="shared" si="46"/>
        <v>0</v>
      </c>
      <c r="AR62" s="124">
        <f t="shared" si="47"/>
        <v>0</v>
      </c>
      <c r="AS62" s="124" t="e">
        <f t="array" ref="AS62">_xlfn.IFS(S62=0,AL62,S62&lt;0,AL62/-S62,S62&gt;0,AL62/S62)</f>
        <v>#DIV/0!</v>
      </c>
      <c r="AT62" s="119">
        <f t="shared" si="48"/>
        <v>0</v>
      </c>
      <c r="AU62" s="119">
        <f t="shared" si="49"/>
        <v>0</v>
      </c>
      <c r="AV62" s="125"/>
      <c r="AW62" s="120" t="e">
        <f t="shared" si="50"/>
        <v>#DIV/0!</v>
      </c>
    </row>
    <row r="63" spans="1:49" hidden="1" outlineLevel="1">
      <c r="A63" s="114"/>
      <c r="B63" s="115"/>
      <c r="C63" s="115"/>
      <c r="D63" s="149"/>
      <c r="E63" s="118">
        <f t="shared" si="30"/>
        <v>0</v>
      </c>
      <c r="F63" s="117"/>
      <c r="G63" s="117"/>
      <c r="H63" s="117"/>
      <c r="I63" s="117"/>
      <c r="J63" s="117">
        <f t="shared" si="31"/>
        <v>0</v>
      </c>
      <c r="K63" s="114"/>
      <c r="L63" s="114"/>
      <c r="M63" s="114"/>
      <c r="N63" s="114"/>
      <c r="O63" s="117">
        <f t="shared" si="32"/>
        <v>0</v>
      </c>
      <c r="P63" s="117">
        <f t="shared" si="33"/>
        <v>0</v>
      </c>
      <c r="Q63" s="118"/>
      <c r="R63" s="118"/>
      <c r="S63" s="117">
        <f t="shared" si="34"/>
        <v>0</v>
      </c>
      <c r="T63" s="117"/>
      <c r="U63" s="117"/>
      <c r="V63" s="117">
        <f t="shared" si="35"/>
        <v>0</v>
      </c>
      <c r="W63" s="118"/>
      <c r="X63" s="118"/>
      <c r="Y63" s="117">
        <f t="shared" si="36"/>
        <v>0</v>
      </c>
      <c r="Z63" s="117">
        <f t="shared" si="37"/>
        <v>0</v>
      </c>
      <c r="AA63" s="119" t="e">
        <f t="shared" si="51"/>
        <v>#DIV/0!</v>
      </c>
      <c r="AB63" s="117">
        <f t="shared" si="38"/>
        <v>0</v>
      </c>
      <c r="AC63" s="118"/>
      <c r="AD63" s="119">
        <f t="shared" si="39"/>
        <v>0</v>
      </c>
      <c r="AE63" s="118"/>
      <c r="AF63" s="118"/>
      <c r="AG63" s="118"/>
      <c r="AH63" s="118"/>
      <c r="AI63" s="152" t="e">
        <f t="shared" si="40"/>
        <v>#DIV/0!</v>
      </c>
      <c r="AJ63" s="118"/>
      <c r="AK63" s="120">
        <f t="shared" si="41"/>
        <v>0</v>
      </c>
      <c r="AL63" s="121" t="e">
        <f t="shared" si="42"/>
        <v>#DIV/0!</v>
      </c>
      <c r="AM63" s="122"/>
      <c r="AN63" s="123">
        <f t="shared" si="43"/>
        <v>0</v>
      </c>
      <c r="AO63" s="124">
        <f t="shared" si="44"/>
        <v>0</v>
      </c>
      <c r="AP63" s="124">
        <f t="shared" si="45"/>
        <v>0</v>
      </c>
      <c r="AQ63" s="124">
        <f t="shared" si="46"/>
        <v>0</v>
      </c>
      <c r="AR63" s="124">
        <f t="shared" si="47"/>
        <v>0</v>
      </c>
      <c r="AS63" s="124" t="e">
        <f t="array" ref="AS63">_xlfn.IFS(S63=0,AL63,S63&lt;0,AL63/-S63,S63&gt;0,AL63/S63)</f>
        <v>#DIV/0!</v>
      </c>
      <c r="AT63" s="119">
        <f t="shared" si="48"/>
        <v>0</v>
      </c>
      <c r="AU63" s="119">
        <f t="shared" si="49"/>
        <v>0</v>
      </c>
      <c r="AV63" s="125"/>
      <c r="AW63" s="120" t="e">
        <f t="shared" si="50"/>
        <v>#DIV/0!</v>
      </c>
    </row>
    <row r="64" spans="1:49" hidden="1" outlineLevel="1">
      <c r="A64" s="114"/>
      <c r="B64" s="115"/>
      <c r="C64" s="115"/>
      <c r="D64" s="149"/>
      <c r="E64" s="118">
        <f t="shared" si="30"/>
        <v>0</v>
      </c>
      <c r="F64" s="117"/>
      <c r="G64" s="117"/>
      <c r="H64" s="117"/>
      <c r="I64" s="117"/>
      <c r="J64" s="117">
        <f t="shared" si="31"/>
        <v>0</v>
      </c>
      <c r="K64" s="114"/>
      <c r="L64" s="114"/>
      <c r="M64" s="114"/>
      <c r="N64" s="114"/>
      <c r="O64" s="117">
        <f t="shared" si="32"/>
        <v>0</v>
      </c>
      <c r="P64" s="117">
        <f t="shared" si="33"/>
        <v>0</v>
      </c>
      <c r="Q64" s="118"/>
      <c r="R64" s="118"/>
      <c r="S64" s="117">
        <f t="shared" si="34"/>
        <v>0</v>
      </c>
      <c r="T64" s="117"/>
      <c r="U64" s="117"/>
      <c r="V64" s="117">
        <f t="shared" si="35"/>
        <v>0</v>
      </c>
      <c r="W64" s="118"/>
      <c r="X64" s="118"/>
      <c r="Y64" s="117">
        <f t="shared" si="36"/>
        <v>0</v>
      </c>
      <c r="Z64" s="117">
        <f t="shared" si="37"/>
        <v>0</v>
      </c>
      <c r="AA64" s="119" t="e">
        <f t="shared" si="51"/>
        <v>#DIV/0!</v>
      </c>
      <c r="AB64" s="117">
        <f t="shared" si="38"/>
        <v>0</v>
      </c>
      <c r="AC64" s="118"/>
      <c r="AD64" s="119">
        <f t="shared" si="39"/>
        <v>0</v>
      </c>
      <c r="AE64" s="118"/>
      <c r="AF64" s="118"/>
      <c r="AG64" s="118"/>
      <c r="AH64" s="118"/>
      <c r="AI64" s="152" t="e">
        <f t="shared" si="40"/>
        <v>#DIV/0!</v>
      </c>
      <c r="AJ64" s="118"/>
      <c r="AK64" s="120">
        <f t="shared" si="41"/>
        <v>0</v>
      </c>
      <c r="AL64" s="121" t="e">
        <f t="shared" si="42"/>
        <v>#DIV/0!</v>
      </c>
      <c r="AM64" s="122"/>
      <c r="AN64" s="123">
        <f t="shared" si="43"/>
        <v>0</v>
      </c>
      <c r="AO64" s="124">
        <f t="shared" si="44"/>
        <v>0</v>
      </c>
      <c r="AP64" s="124">
        <f t="shared" si="45"/>
        <v>0</v>
      </c>
      <c r="AQ64" s="124">
        <f t="shared" si="46"/>
        <v>0</v>
      </c>
      <c r="AR64" s="124">
        <f t="shared" si="47"/>
        <v>0</v>
      </c>
      <c r="AS64" s="124" t="e">
        <f t="array" ref="AS64">_xlfn.IFS(S64=0,AL64,S64&lt;0,AL64/-S64,S64&gt;0,AL64/S64)</f>
        <v>#DIV/0!</v>
      </c>
      <c r="AT64" s="119">
        <f t="shared" si="48"/>
        <v>0</v>
      </c>
      <c r="AU64" s="119">
        <f t="shared" si="49"/>
        <v>0</v>
      </c>
      <c r="AV64" s="125"/>
      <c r="AW64" s="120" t="e">
        <f t="shared" si="50"/>
        <v>#DIV/0!</v>
      </c>
    </row>
    <row r="65" spans="1:49" hidden="1" outlineLevel="1">
      <c r="A65" s="114"/>
      <c r="B65" s="115"/>
      <c r="C65" s="115"/>
      <c r="D65" s="149"/>
      <c r="E65" s="118">
        <f t="shared" si="30"/>
        <v>0</v>
      </c>
      <c r="F65" s="117"/>
      <c r="G65" s="117"/>
      <c r="H65" s="117"/>
      <c r="I65" s="117"/>
      <c r="J65" s="117">
        <f t="shared" si="31"/>
        <v>0</v>
      </c>
      <c r="K65" s="114"/>
      <c r="L65" s="114"/>
      <c r="M65" s="114"/>
      <c r="N65" s="114"/>
      <c r="O65" s="117">
        <f t="shared" si="32"/>
        <v>0</v>
      </c>
      <c r="P65" s="117">
        <f t="shared" si="33"/>
        <v>0</v>
      </c>
      <c r="Q65" s="118"/>
      <c r="R65" s="118"/>
      <c r="S65" s="117">
        <f t="shared" si="34"/>
        <v>0</v>
      </c>
      <c r="T65" s="117"/>
      <c r="U65" s="117"/>
      <c r="V65" s="117">
        <f t="shared" si="35"/>
        <v>0</v>
      </c>
      <c r="W65" s="118"/>
      <c r="X65" s="118"/>
      <c r="Y65" s="117">
        <f t="shared" si="36"/>
        <v>0</v>
      </c>
      <c r="Z65" s="117">
        <f t="shared" si="37"/>
        <v>0</v>
      </c>
      <c r="AA65" s="119" t="e">
        <f t="shared" si="51"/>
        <v>#DIV/0!</v>
      </c>
      <c r="AB65" s="117">
        <f t="shared" si="38"/>
        <v>0</v>
      </c>
      <c r="AC65" s="118"/>
      <c r="AD65" s="119">
        <f t="shared" si="39"/>
        <v>0</v>
      </c>
      <c r="AE65" s="118"/>
      <c r="AF65" s="118"/>
      <c r="AG65" s="118"/>
      <c r="AH65" s="118"/>
      <c r="AI65" s="152" t="e">
        <f t="shared" si="40"/>
        <v>#DIV/0!</v>
      </c>
      <c r="AJ65" s="118"/>
      <c r="AK65" s="120">
        <f t="shared" si="41"/>
        <v>0</v>
      </c>
      <c r="AL65" s="121" t="e">
        <f t="shared" si="42"/>
        <v>#DIV/0!</v>
      </c>
      <c r="AM65" s="122"/>
      <c r="AN65" s="123">
        <f t="shared" si="43"/>
        <v>0</v>
      </c>
      <c r="AO65" s="124">
        <f t="shared" si="44"/>
        <v>0</v>
      </c>
      <c r="AP65" s="124">
        <f t="shared" si="45"/>
        <v>0</v>
      </c>
      <c r="AQ65" s="124">
        <f t="shared" si="46"/>
        <v>0</v>
      </c>
      <c r="AR65" s="124">
        <f t="shared" si="47"/>
        <v>0</v>
      </c>
      <c r="AS65" s="124" t="e">
        <f t="array" ref="AS65">_xlfn.IFS(S65=0,AL65,S65&lt;0,AL65/-S65,S65&gt;0,AL65/S65)</f>
        <v>#DIV/0!</v>
      </c>
      <c r="AT65" s="119">
        <f t="shared" si="48"/>
        <v>0</v>
      </c>
      <c r="AU65" s="119">
        <f t="shared" si="49"/>
        <v>0</v>
      </c>
      <c r="AV65" s="125"/>
      <c r="AW65" s="120" t="e">
        <f t="shared" si="50"/>
        <v>#DIV/0!</v>
      </c>
    </row>
    <row r="66" spans="1:49" hidden="1" outlineLevel="1">
      <c r="A66" s="114"/>
      <c r="B66" s="115"/>
      <c r="C66" s="115"/>
      <c r="D66" s="116"/>
      <c r="E66" s="117">
        <f t="shared" si="30"/>
        <v>0</v>
      </c>
      <c r="F66" s="117"/>
      <c r="G66" s="117"/>
      <c r="H66" s="117"/>
      <c r="I66" s="117"/>
      <c r="J66" s="117">
        <f t="shared" si="31"/>
        <v>0</v>
      </c>
      <c r="K66" s="114"/>
      <c r="L66" s="114"/>
      <c r="M66" s="114"/>
      <c r="N66" s="114"/>
      <c r="O66" s="117">
        <f t="shared" si="32"/>
        <v>0</v>
      </c>
      <c r="P66" s="117">
        <f t="shared" si="33"/>
        <v>0</v>
      </c>
      <c r="Q66" s="118"/>
      <c r="R66" s="118"/>
      <c r="S66" s="117">
        <f t="shared" si="34"/>
        <v>0</v>
      </c>
      <c r="T66" s="117"/>
      <c r="U66" s="117"/>
      <c r="V66" s="117">
        <f t="shared" si="35"/>
        <v>0</v>
      </c>
      <c r="W66" s="118"/>
      <c r="X66" s="118"/>
      <c r="Y66" s="117">
        <f t="shared" si="36"/>
        <v>0</v>
      </c>
      <c r="Z66" s="117">
        <f t="shared" si="37"/>
        <v>0</v>
      </c>
      <c r="AA66" s="119" t="e">
        <f t="shared" si="51"/>
        <v>#DIV/0!</v>
      </c>
      <c r="AB66" s="117">
        <f t="shared" si="38"/>
        <v>0</v>
      </c>
      <c r="AC66" s="118"/>
      <c r="AD66" s="119">
        <f t="shared" si="39"/>
        <v>0</v>
      </c>
      <c r="AE66" s="118"/>
      <c r="AF66" s="118"/>
      <c r="AG66" s="118"/>
      <c r="AH66" s="118"/>
      <c r="AI66" s="152" t="e">
        <f t="shared" si="40"/>
        <v>#DIV/0!</v>
      </c>
      <c r="AJ66" s="118"/>
      <c r="AK66" s="120">
        <f t="shared" si="41"/>
        <v>0</v>
      </c>
      <c r="AL66" s="121" t="e">
        <f t="shared" si="42"/>
        <v>#DIV/0!</v>
      </c>
      <c r="AM66" s="122"/>
      <c r="AN66" s="123">
        <f t="shared" si="43"/>
        <v>0</v>
      </c>
      <c r="AO66" s="124">
        <f t="shared" si="44"/>
        <v>0</v>
      </c>
      <c r="AP66" s="124">
        <f t="shared" si="45"/>
        <v>0</v>
      </c>
      <c r="AQ66" s="124">
        <f t="shared" si="46"/>
        <v>0</v>
      </c>
      <c r="AR66" s="124">
        <f t="shared" si="47"/>
        <v>0</v>
      </c>
      <c r="AS66" s="124" t="e">
        <f t="array" ref="AS66">_xlfn.IFS(S66=0,AL66,S66&lt;0,AL66/-S66,S66&gt;0,AL66/S66)</f>
        <v>#DIV/0!</v>
      </c>
      <c r="AT66" s="119">
        <f t="shared" si="48"/>
        <v>0</v>
      </c>
      <c r="AU66" s="119">
        <f t="shared" si="49"/>
        <v>0</v>
      </c>
      <c r="AV66" s="125"/>
      <c r="AW66" s="120" t="e">
        <f t="shared" si="50"/>
        <v>#DIV/0!</v>
      </c>
    </row>
    <row r="67" spans="1:49" hidden="1" outlineLevel="1">
      <c r="A67" s="114"/>
      <c r="B67" s="115"/>
      <c r="C67" s="115"/>
      <c r="D67" s="116"/>
      <c r="E67" s="117">
        <f t="shared" si="30"/>
        <v>0</v>
      </c>
      <c r="F67" s="117"/>
      <c r="G67" s="117"/>
      <c r="H67" s="117"/>
      <c r="I67" s="117"/>
      <c r="J67" s="117">
        <f t="shared" si="31"/>
        <v>0</v>
      </c>
      <c r="K67" s="114"/>
      <c r="L67" s="114"/>
      <c r="M67" s="114"/>
      <c r="N67" s="114"/>
      <c r="O67" s="117">
        <f t="shared" si="32"/>
        <v>0</v>
      </c>
      <c r="P67" s="117">
        <f t="shared" si="33"/>
        <v>0</v>
      </c>
      <c r="Q67" s="118"/>
      <c r="R67" s="118"/>
      <c r="S67" s="117">
        <f t="shared" si="34"/>
        <v>0</v>
      </c>
      <c r="T67" s="117"/>
      <c r="U67" s="117"/>
      <c r="V67" s="117">
        <f t="shared" si="35"/>
        <v>0</v>
      </c>
      <c r="W67" s="118"/>
      <c r="X67" s="118"/>
      <c r="Y67" s="117">
        <f t="shared" si="36"/>
        <v>0</v>
      </c>
      <c r="Z67" s="117">
        <f t="shared" si="37"/>
        <v>0</v>
      </c>
      <c r="AA67" s="119" t="e">
        <f t="shared" si="51"/>
        <v>#DIV/0!</v>
      </c>
      <c r="AB67" s="117">
        <f t="shared" si="38"/>
        <v>0</v>
      </c>
      <c r="AC67" s="118"/>
      <c r="AD67" s="119">
        <f t="shared" si="39"/>
        <v>0</v>
      </c>
      <c r="AE67" s="118"/>
      <c r="AF67" s="118"/>
      <c r="AG67" s="118"/>
      <c r="AH67" s="118"/>
      <c r="AI67" s="152" t="e">
        <f t="shared" si="40"/>
        <v>#DIV/0!</v>
      </c>
      <c r="AJ67" s="118"/>
      <c r="AK67" s="120">
        <f t="shared" si="41"/>
        <v>0</v>
      </c>
      <c r="AL67" s="121" t="e">
        <f t="shared" si="42"/>
        <v>#DIV/0!</v>
      </c>
      <c r="AM67" s="122"/>
      <c r="AN67" s="123">
        <f t="shared" si="43"/>
        <v>0</v>
      </c>
      <c r="AO67" s="124">
        <f t="shared" si="44"/>
        <v>0</v>
      </c>
      <c r="AP67" s="124">
        <f t="shared" si="45"/>
        <v>0</v>
      </c>
      <c r="AQ67" s="124">
        <f t="shared" si="46"/>
        <v>0</v>
      </c>
      <c r="AR67" s="124">
        <f t="shared" si="47"/>
        <v>0</v>
      </c>
      <c r="AS67" s="124" t="e">
        <f t="array" ref="AS67">_xlfn.IFS(S67=0,AL67,S67&lt;0,AL67/-S67,S67&gt;0,AL67/S67)</f>
        <v>#DIV/0!</v>
      </c>
      <c r="AT67" s="119">
        <f t="shared" si="48"/>
        <v>0</v>
      </c>
      <c r="AU67" s="119">
        <f t="shared" si="49"/>
        <v>0</v>
      </c>
      <c r="AV67" s="125"/>
      <c r="AW67" s="120" t="e">
        <f t="shared" si="50"/>
        <v>#DIV/0!</v>
      </c>
    </row>
    <row r="68" spans="1:49" hidden="1" outlineLevel="1">
      <c r="A68" s="114"/>
      <c r="B68" s="115"/>
      <c r="C68" s="115"/>
      <c r="D68" s="116"/>
      <c r="E68" s="117">
        <f t="shared" si="30"/>
        <v>0</v>
      </c>
      <c r="F68" s="117"/>
      <c r="G68" s="117"/>
      <c r="H68" s="117"/>
      <c r="I68" s="117"/>
      <c r="J68" s="117">
        <f t="shared" si="31"/>
        <v>0</v>
      </c>
      <c r="K68" s="114"/>
      <c r="L68" s="114"/>
      <c r="M68" s="114"/>
      <c r="N68" s="114"/>
      <c r="O68" s="117">
        <f t="shared" si="32"/>
        <v>0</v>
      </c>
      <c r="P68" s="117">
        <f t="shared" si="33"/>
        <v>0</v>
      </c>
      <c r="Q68" s="118"/>
      <c r="R68" s="118"/>
      <c r="S68" s="117">
        <f t="shared" si="34"/>
        <v>0</v>
      </c>
      <c r="T68" s="117"/>
      <c r="U68" s="117"/>
      <c r="V68" s="117">
        <f t="shared" si="35"/>
        <v>0</v>
      </c>
      <c r="W68" s="118"/>
      <c r="X68" s="118"/>
      <c r="Y68" s="117">
        <f t="shared" si="36"/>
        <v>0</v>
      </c>
      <c r="Z68" s="117">
        <f t="shared" si="37"/>
        <v>0</v>
      </c>
      <c r="AA68" s="119" t="e">
        <f t="shared" si="51"/>
        <v>#DIV/0!</v>
      </c>
      <c r="AB68" s="117">
        <f t="shared" si="38"/>
        <v>0</v>
      </c>
      <c r="AC68" s="118"/>
      <c r="AD68" s="119">
        <f t="shared" si="39"/>
        <v>0</v>
      </c>
      <c r="AE68" s="118"/>
      <c r="AF68" s="118"/>
      <c r="AG68" s="118"/>
      <c r="AH68" s="118"/>
      <c r="AI68" s="152" t="e">
        <f t="shared" si="40"/>
        <v>#DIV/0!</v>
      </c>
      <c r="AJ68" s="118"/>
      <c r="AK68" s="120">
        <f t="shared" si="41"/>
        <v>0</v>
      </c>
      <c r="AL68" s="121" t="e">
        <f t="shared" si="42"/>
        <v>#DIV/0!</v>
      </c>
      <c r="AM68" s="122"/>
      <c r="AN68" s="123">
        <f t="shared" si="43"/>
        <v>0</v>
      </c>
      <c r="AO68" s="124">
        <f t="shared" si="44"/>
        <v>0</v>
      </c>
      <c r="AP68" s="124">
        <f t="shared" si="45"/>
        <v>0</v>
      </c>
      <c r="AQ68" s="124">
        <f t="shared" si="46"/>
        <v>0</v>
      </c>
      <c r="AR68" s="124">
        <f t="shared" si="47"/>
        <v>0</v>
      </c>
      <c r="AS68" s="124" t="e">
        <f t="array" ref="AS68">_xlfn.IFS(S68=0,AL68,S68&lt;0,AL68/-S68,S68&gt;0,AL68/S68)</f>
        <v>#DIV/0!</v>
      </c>
      <c r="AT68" s="119">
        <f t="shared" si="48"/>
        <v>0</v>
      </c>
      <c r="AU68" s="119">
        <f t="shared" si="49"/>
        <v>0</v>
      </c>
      <c r="AV68" s="125"/>
      <c r="AW68" s="120" t="e">
        <f t="shared" si="50"/>
        <v>#DIV/0!</v>
      </c>
    </row>
    <row r="69" spans="1:49" hidden="1" outlineLevel="1">
      <c r="A69" s="114"/>
      <c r="B69" s="115"/>
      <c r="C69" s="115"/>
      <c r="D69" s="116"/>
      <c r="E69" s="117">
        <f t="shared" si="30"/>
        <v>0</v>
      </c>
      <c r="F69" s="117"/>
      <c r="G69" s="117"/>
      <c r="H69" s="117"/>
      <c r="I69" s="117"/>
      <c r="J69" s="117">
        <f t="shared" si="31"/>
        <v>0</v>
      </c>
      <c r="K69" s="114"/>
      <c r="L69" s="114"/>
      <c r="M69" s="114"/>
      <c r="N69" s="114"/>
      <c r="O69" s="117">
        <f t="shared" si="32"/>
        <v>0</v>
      </c>
      <c r="P69" s="117">
        <f t="shared" si="33"/>
        <v>0</v>
      </c>
      <c r="Q69" s="118"/>
      <c r="R69" s="118"/>
      <c r="S69" s="117">
        <f t="shared" si="34"/>
        <v>0</v>
      </c>
      <c r="T69" s="117"/>
      <c r="U69" s="117"/>
      <c r="V69" s="117">
        <f t="shared" si="35"/>
        <v>0</v>
      </c>
      <c r="W69" s="118"/>
      <c r="X69" s="118"/>
      <c r="Y69" s="117">
        <f t="shared" si="36"/>
        <v>0</v>
      </c>
      <c r="Z69" s="117">
        <f t="shared" si="37"/>
        <v>0</v>
      </c>
      <c r="AA69" s="119" t="e">
        <f t="shared" si="51"/>
        <v>#DIV/0!</v>
      </c>
      <c r="AB69" s="117">
        <f t="shared" si="38"/>
        <v>0</v>
      </c>
      <c r="AC69" s="118"/>
      <c r="AD69" s="119">
        <f t="shared" si="39"/>
        <v>0</v>
      </c>
      <c r="AE69" s="118"/>
      <c r="AF69" s="118"/>
      <c r="AG69" s="118"/>
      <c r="AH69" s="118"/>
      <c r="AI69" s="152" t="e">
        <f t="shared" si="40"/>
        <v>#DIV/0!</v>
      </c>
      <c r="AJ69" s="118"/>
      <c r="AK69" s="120">
        <f t="shared" si="41"/>
        <v>0</v>
      </c>
      <c r="AL69" s="121" t="e">
        <f t="shared" si="42"/>
        <v>#DIV/0!</v>
      </c>
      <c r="AM69" s="122"/>
      <c r="AN69" s="123">
        <f t="shared" si="43"/>
        <v>0</v>
      </c>
      <c r="AO69" s="124">
        <f t="shared" si="44"/>
        <v>0</v>
      </c>
      <c r="AP69" s="124">
        <f t="shared" si="45"/>
        <v>0</v>
      </c>
      <c r="AQ69" s="124">
        <f t="shared" si="46"/>
        <v>0</v>
      </c>
      <c r="AR69" s="124">
        <f t="shared" si="47"/>
        <v>0</v>
      </c>
      <c r="AS69" s="124" t="e">
        <f t="array" ref="AS69">_xlfn.IFS(S69=0,AL69,S69&lt;0,AL69/-S69,S69&gt;0,AL69/S69)</f>
        <v>#DIV/0!</v>
      </c>
      <c r="AT69" s="119">
        <f t="shared" si="48"/>
        <v>0</v>
      </c>
      <c r="AU69" s="119">
        <f t="shared" si="49"/>
        <v>0</v>
      </c>
      <c r="AV69" s="125"/>
      <c r="AW69" s="120" t="e">
        <f t="shared" si="50"/>
        <v>#DIV/0!</v>
      </c>
    </row>
    <row r="70" spans="1:49" hidden="1" outlineLevel="1">
      <c r="A70" s="114"/>
      <c r="B70" s="115"/>
      <c r="C70" s="115"/>
      <c r="D70" s="116"/>
      <c r="E70" s="117">
        <f t="shared" ref="E70:E89" si="52">SUM(F70:H70)</f>
        <v>0</v>
      </c>
      <c r="F70" s="117"/>
      <c r="G70" s="117"/>
      <c r="H70" s="117"/>
      <c r="I70" s="117"/>
      <c r="J70" s="117">
        <f t="shared" si="31"/>
        <v>0</v>
      </c>
      <c r="K70" s="114"/>
      <c r="L70" s="114"/>
      <c r="M70" s="114"/>
      <c r="N70" s="114"/>
      <c r="O70" s="117">
        <f t="shared" si="32"/>
        <v>0</v>
      </c>
      <c r="P70" s="117">
        <f t="shared" si="33"/>
        <v>0</v>
      </c>
      <c r="Q70" s="118"/>
      <c r="R70" s="118"/>
      <c r="S70" s="117">
        <f t="shared" si="34"/>
        <v>0</v>
      </c>
      <c r="T70" s="117"/>
      <c r="U70" s="117"/>
      <c r="V70" s="117">
        <f t="shared" si="35"/>
        <v>0</v>
      </c>
      <c r="W70" s="118"/>
      <c r="X70" s="118"/>
      <c r="Y70" s="117">
        <f t="shared" si="36"/>
        <v>0</v>
      </c>
      <c r="Z70" s="117">
        <f t="shared" si="37"/>
        <v>0</v>
      </c>
      <c r="AA70" s="119" t="e">
        <f t="shared" si="51"/>
        <v>#DIV/0!</v>
      </c>
      <c r="AB70" s="117">
        <f t="shared" si="38"/>
        <v>0</v>
      </c>
      <c r="AC70" s="118"/>
      <c r="AD70" s="119">
        <f t="shared" si="39"/>
        <v>0</v>
      </c>
      <c r="AE70" s="118"/>
      <c r="AF70" s="118"/>
      <c r="AG70" s="118"/>
      <c r="AH70" s="118"/>
      <c r="AI70" s="152" t="e">
        <f t="shared" si="40"/>
        <v>#DIV/0!</v>
      </c>
      <c r="AJ70" s="118"/>
      <c r="AK70" s="120">
        <f t="shared" si="41"/>
        <v>0</v>
      </c>
      <c r="AL70" s="121" t="e">
        <f t="shared" si="42"/>
        <v>#DIV/0!</v>
      </c>
      <c r="AM70" s="122"/>
      <c r="AN70" s="123">
        <f t="shared" si="43"/>
        <v>0</v>
      </c>
      <c r="AO70" s="124">
        <f t="shared" si="44"/>
        <v>0</v>
      </c>
      <c r="AP70" s="124">
        <f t="shared" si="45"/>
        <v>0</v>
      </c>
      <c r="AQ70" s="124">
        <f t="shared" si="46"/>
        <v>0</v>
      </c>
      <c r="AR70" s="124">
        <f t="shared" si="47"/>
        <v>0</v>
      </c>
      <c r="AS70" s="124" t="e">
        <f t="array" ref="AS70">_xlfn.IFS(S70=0,AL70,S70&lt;0,AL70/-S70,S70&gt;0,AL70/S70)</f>
        <v>#DIV/0!</v>
      </c>
      <c r="AT70" s="119">
        <f t="shared" si="48"/>
        <v>0</v>
      </c>
      <c r="AU70" s="119">
        <f t="shared" si="49"/>
        <v>0</v>
      </c>
      <c r="AV70" s="125"/>
      <c r="AW70" s="120" t="e">
        <f t="shared" si="50"/>
        <v>#DIV/0!</v>
      </c>
    </row>
    <row r="71" spans="1:49" hidden="1" outlineLevel="1">
      <c r="A71" s="114"/>
      <c r="B71" s="115"/>
      <c r="C71" s="115"/>
      <c r="D71" s="116"/>
      <c r="E71" s="117">
        <f t="shared" si="52"/>
        <v>0</v>
      </c>
      <c r="F71" s="117"/>
      <c r="G71" s="117"/>
      <c r="H71" s="117"/>
      <c r="I71" s="117"/>
      <c r="J71" s="117">
        <f t="shared" si="31"/>
        <v>0</v>
      </c>
      <c r="K71" s="114"/>
      <c r="L71" s="114"/>
      <c r="M71" s="114"/>
      <c r="N71" s="114"/>
      <c r="O71" s="117">
        <f t="shared" si="32"/>
        <v>0</v>
      </c>
      <c r="P71" s="117">
        <f t="shared" si="33"/>
        <v>0</v>
      </c>
      <c r="Q71" s="118"/>
      <c r="R71" s="118"/>
      <c r="S71" s="117">
        <f t="shared" si="34"/>
        <v>0</v>
      </c>
      <c r="T71" s="117"/>
      <c r="U71" s="117"/>
      <c r="V71" s="117">
        <f t="shared" si="35"/>
        <v>0</v>
      </c>
      <c r="W71" s="118"/>
      <c r="X71" s="118"/>
      <c r="Y71" s="117">
        <f t="shared" si="36"/>
        <v>0</v>
      </c>
      <c r="Z71" s="117">
        <f t="shared" si="37"/>
        <v>0</v>
      </c>
      <c r="AA71" s="119" t="e">
        <f t="shared" si="51"/>
        <v>#DIV/0!</v>
      </c>
      <c r="AB71" s="117">
        <f t="shared" si="38"/>
        <v>0</v>
      </c>
      <c r="AC71" s="118"/>
      <c r="AD71" s="119">
        <f t="shared" si="39"/>
        <v>0</v>
      </c>
      <c r="AE71" s="118"/>
      <c r="AF71" s="118"/>
      <c r="AG71" s="118"/>
      <c r="AH71" s="118"/>
      <c r="AI71" s="152" t="e">
        <f t="shared" si="40"/>
        <v>#DIV/0!</v>
      </c>
      <c r="AJ71" s="118"/>
      <c r="AK71" s="120">
        <f t="shared" si="41"/>
        <v>0</v>
      </c>
      <c r="AL71" s="121" t="e">
        <f t="shared" si="42"/>
        <v>#DIV/0!</v>
      </c>
      <c r="AM71" s="122"/>
      <c r="AN71" s="123">
        <f t="shared" si="43"/>
        <v>0</v>
      </c>
      <c r="AO71" s="124">
        <f t="shared" si="44"/>
        <v>0</v>
      </c>
      <c r="AP71" s="124">
        <f t="shared" si="45"/>
        <v>0</v>
      </c>
      <c r="AQ71" s="124">
        <f t="shared" si="46"/>
        <v>0</v>
      </c>
      <c r="AR71" s="124">
        <f t="shared" si="47"/>
        <v>0</v>
      </c>
      <c r="AS71" s="124" t="e">
        <f t="array" ref="AS71">_xlfn.IFS(S71=0,AL71,S71&lt;0,AL71/-S71,S71&gt;0,AL71/S71)</f>
        <v>#DIV/0!</v>
      </c>
      <c r="AT71" s="119">
        <f t="shared" si="48"/>
        <v>0</v>
      </c>
      <c r="AU71" s="119">
        <f t="shared" si="49"/>
        <v>0</v>
      </c>
      <c r="AV71" s="125"/>
      <c r="AW71" s="120" t="e">
        <f t="shared" si="50"/>
        <v>#DIV/0!</v>
      </c>
    </row>
    <row r="72" spans="1:49" hidden="1" outlineLevel="1">
      <c r="A72" s="114"/>
      <c r="B72" s="115"/>
      <c r="C72" s="115"/>
      <c r="D72" s="116"/>
      <c r="E72" s="117">
        <f t="shared" si="52"/>
        <v>0</v>
      </c>
      <c r="F72" s="117"/>
      <c r="G72" s="117"/>
      <c r="H72" s="117"/>
      <c r="I72" s="117"/>
      <c r="J72" s="117">
        <f t="shared" si="31"/>
        <v>0</v>
      </c>
      <c r="K72" s="114"/>
      <c r="L72" s="114"/>
      <c r="M72" s="114"/>
      <c r="N72" s="114"/>
      <c r="O72" s="117">
        <f t="shared" si="32"/>
        <v>0</v>
      </c>
      <c r="P72" s="117">
        <f t="shared" si="33"/>
        <v>0</v>
      </c>
      <c r="Q72" s="118"/>
      <c r="R72" s="118"/>
      <c r="S72" s="117">
        <f t="shared" si="34"/>
        <v>0</v>
      </c>
      <c r="T72" s="117"/>
      <c r="U72" s="117"/>
      <c r="V72" s="117">
        <f t="shared" si="35"/>
        <v>0</v>
      </c>
      <c r="W72" s="118"/>
      <c r="X72" s="118"/>
      <c r="Y72" s="117">
        <f t="shared" si="36"/>
        <v>0</v>
      </c>
      <c r="Z72" s="117">
        <f t="shared" si="37"/>
        <v>0</v>
      </c>
      <c r="AA72" s="119" t="e">
        <f t="shared" si="51"/>
        <v>#DIV/0!</v>
      </c>
      <c r="AB72" s="117">
        <f t="shared" si="38"/>
        <v>0</v>
      </c>
      <c r="AC72" s="118"/>
      <c r="AD72" s="119">
        <f t="shared" si="39"/>
        <v>0</v>
      </c>
      <c r="AE72" s="118"/>
      <c r="AF72" s="118"/>
      <c r="AG72" s="118"/>
      <c r="AH72" s="118"/>
      <c r="AI72" s="152" t="e">
        <f t="shared" si="40"/>
        <v>#DIV/0!</v>
      </c>
      <c r="AJ72" s="118"/>
      <c r="AK72" s="120">
        <f t="shared" si="41"/>
        <v>0</v>
      </c>
      <c r="AL72" s="121" t="e">
        <f t="shared" si="42"/>
        <v>#DIV/0!</v>
      </c>
      <c r="AM72" s="122"/>
      <c r="AN72" s="123">
        <f t="shared" si="43"/>
        <v>0</v>
      </c>
      <c r="AO72" s="124">
        <f t="shared" si="44"/>
        <v>0</v>
      </c>
      <c r="AP72" s="124">
        <f t="shared" si="45"/>
        <v>0</v>
      </c>
      <c r="AQ72" s="124">
        <f t="shared" si="46"/>
        <v>0</v>
      </c>
      <c r="AR72" s="124">
        <f t="shared" si="47"/>
        <v>0</v>
      </c>
      <c r="AS72" s="124" t="e">
        <f t="array" ref="AS72">_xlfn.IFS(S72=0,AL72,S72&lt;0,AL72/-S72,S72&gt;0,AL72/S72)</f>
        <v>#DIV/0!</v>
      </c>
      <c r="AT72" s="119">
        <f t="shared" si="48"/>
        <v>0</v>
      </c>
      <c r="AU72" s="119">
        <f t="shared" si="49"/>
        <v>0</v>
      </c>
      <c r="AV72" s="125"/>
      <c r="AW72" s="120" t="e">
        <f t="shared" si="50"/>
        <v>#DIV/0!</v>
      </c>
    </row>
    <row r="73" spans="1:49" hidden="1" outlineLevel="1">
      <c r="A73" s="114"/>
      <c r="B73" s="115"/>
      <c r="C73" s="115"/>
      <c r="D73" s="116"/>
      <c r="E73" s="117">
        <f t="shared" si="52"/>
        <v>0</v>
      </c>
      <c r="F73" s="117"/>
      <c r="G73" s="117"/>
      <c r="H73" s="117"/>
      <c r="I73" s="117"/>
      <c r="J73" s="117">
        <f t="shared" si="31"/>
        <v>0</v>
      </c>
      <c r="K73" s="114"/>
      <c r="L73" s="114"/>
      <c r="M73" s="114"/>
      <c r="N73" s="114"/>
      <c r="O73" s="117">
        <f t="shared" si="32"/>
        <v>0</v>
      </c>
      <c r="P73" s="117">
        <f t="shared" si="33"/>
        <v>0</v>
      </c>
      <c r="Q73" s="118"/>
      <c r="R73" s="118"/>
      <c r="S73" s="117">
        <f t="shared" si="34"/>
        <v>0</v>
      </c>
      <c r="T73" s="117"/>
      <c r="U73" s="117"/>
      <c r="V73" s="117">
        <f t="shared" si="35"/>
        <v>0</v>
      </c>
      <c r="W73" s="118"/>
      <c r="X73" s="118"/>
      <c r="Y73" s="117">
        <f t="shared" si="36"/>
        <v>0</v>
      </c>
      <c r="Z73" s="117">
        <f t="shared" si="37"/>
        <v>0</v>
      </c>
      <c r="AA73" s="119" t="e">
        <f t="shared" si="51"/>
        <v>#DIV/0!</v>
      </c>
      <c r="AB73" s="117">
        <f t="shared" si="38"/>
        <v>0</v>
      </c>
      <c r="AC73" s="118"/>
      <c r="AD73" s="119">
        <f t="shared" si="39"/>
        <v>0</v>
      </c>
      <c r="AE73" s="118"/>
      <c r="AF73" s="118"/>
      <c r="AG73" s="118"/>
      <c r="AH73" s="118"/>
      <c r="AI73" s="152" t="e">
        <f t="shared" si="40"/>
        <v>#DIV/0!</v>
      </c>
      <c r="AJ73" s="118"/>
      <c r="AK73" s="120">
        <f t="shared" si="41"/>
        <v>0</v>
      </c>
      <c r="AL73" s="121" t="e">
        <f t="shared" si="42"/>
        <v>#DIV/0!</v>
      </c>
      <c r="AM73" s="122"/>
      <c r="AN73" s="123">
        <f t="shared" si="43"/>
        <v>0</v>
      </c>
      <c r="AO73" s="124">
        <f t="shared" si="44"/>
        <v>0</v>
      </c>
      <c r="AP73" s="124">
        <f t="shared" si="45"/>
        <v>0</v>
      </c>
      <c r="AQ73" s="124">
        <f t="shared" si="46"/>
        <v>0</v>
      </c>
      <c r="AR73" s="124">
        <f t="shared" si="47"/>
        <v>0</v>
      </c>
      <c r="AS73" s="124" t="e">
        <f t="array" ref="AS73">_xlfn.IFS(S73=0,AL73,S73&lt;0,AL73/-S73,S73&gt;0,AL73/S73)</f>
        <v>#DIV/0!</v>
      </c>
      <c r="AT73" s="119">
        <f t="shared" si="48"/>
        <v>0</v>
      </c>
      <c r="AU73" s="119">
        <f t="shared" si="49"/>
        <v>0</v>
      </c>
      <c r="AV73" s="125"/>
      <c r="AW73" s="120" t="e">
        <f t="shared" si="50"/>
        <v>#DIV/0!</v>
      </c>
    </row>
    <row r="74" spans="1:49" hidden="1" outlineLevel="1">
      <c r="A74" s="114"/>
      <c r="B74" s="115"/>
      <c r="C74" s="115"/>
      <c r="D74" s="116"/>
      <c r="E74" s="117">
        <f t="shared" si="52"/>
        <v>0</v>
      </c>
      <c r="F74" s="117"/>
      <c r="G74" s="117"/>
      <c r="H74" s="117"/>
      <c r="I74" s="117"/>
      <c r="J74" s="117">
        <f t="shared" si="31"/>
        <v>0</v>
      </c>
      <c r="K74" s="114"/>
      <c r="L74" s="114"/>
      <c r="M74" s="114"/>
      <c r="N74" s="114"/>
      <c r="O74" s="117">
        <f t="shared" si="32"/>
        <v>0</v>
      </c>
      <c r="P74" s="117">
        <f t="shared" si="33"/>
        <v>0</v>
      </c>
      <c r="Q74" s="118"/>
      <c r="R74" s="118"/>
      <c r="S74" s="117">
        <f t="shared" si="34"/>
        <v>0</v>
      </c>
      <c r="T74" s="117"/>
      <c r="U74" s="117"/>
      <c r="V74" s="117">
        <f t="shared" si="35"/>
        <v>0</v>
      </c>
      <c r="W74" s="118"/>
      <c r="X74" s="118"/>
      <c r="Y74" s="117">
        <f t="shared" si="36"/>
        <v>0</v>
      </c>
      <c r="Z74" s="117">
        <f t="shared" si="37"/>
        <v>0</v>
      </c>
      <c r="AA74" s="119" t="e">
        <f t="shared" si="51"/>
        <v>#DIV/0!</v>
      </c>
      <c r="AB74" s="117">
        <f t="shared" si="38"/>
        <v>0</v>
      </c>
      <c r="AC74" s="118"/>
      <c r="AD74" s="119">
        <f t="shared" si="39"/>
        <v>0</v>
      </c>
      <c r="AE74" s="118"/>
      <c r="AF74" s="118"/>
      <c r="AG74" s="118"/>
      <c r="AH74" s="118"/>
      <c r="AI74" s="152" t="e">
        <f t="shared" si="40"/>
        <v>#DIV/0!</v>
      </c>
      <c r="AJ74" s="118"/>
      <c r="AK74" s="120">
        <f t="shared" si="41"/>
        <v>0</v>
      </c>
      <c r="AL74" s="121" t="e">
        <f t="shared" si="42"/>
        <v>#DIV/0!</v>
      </c>
      <c r="AM74" s="122"/>
      <c r="AN74" s="123">
        <f t="shared" si="43"/>
        <v>0</v>
      </c>
      <c r="AO74" s="124">
        <f t="shared" si="44"/>
        <v>0</v>
      </c>
      <c r="AP74" s="124">
        <f t="shared" si="45"/>
        <v>0</v>
      </c>
      <c r="AQ74" s="124">
        <f t="shared" si="46"/>
        <v>0</v>
      </c>
      <c r="AR74" s="124">
        <f t="shared" si="47"/>
        <v>0</v>
      </c>
      <c r="AS74" s="124" t="e">
        <f t="array" ref="AS74">_xlfn.IFS(S74=0,AL74,S74&lt;0,AL74/-S74,S74&gt;0,AL74/S74)</f>
        <v>#DIV/0!</v>
      </c>
      <c r="AT74" s="119">
        <f t="shared" si="48"/>
        <v>0</v>
      </c>
      <c r="AU74" s="119">
        <f t="shared" si="49"/>
        <v>0</v>
      </c>
      <c r="AV74" s="125"/>
      <c r="AW74" s="120" t="e">
        <f t="shared" si="50"/>
        <v>#DIV/0!</v>
      </c>
    </row>
    <row r="75" spans="1:49" hidden="1" outlineLevel="1">
      <c r="A75" s="114"/>
      <c r="B75" s="115"/>
      <c r="C75" s="115"/>
      <c r="D75" s="116"/>
      <c r="E75" s="117">
        <f t="shared" si="52"/>
        <v>0</v>
      </c>
      <c r="F75" s="117"/>
      <c r="G75" s="117"/>
      <c r="H75" s="117"/>
      <c r="I75" s="117"/>
      <c r="J75" s="117">
        <f t="shared" si="31"/>
        <v>0</v>
      </c>
      <c r="K75" s="114"/>
      <c r="L75" s="114"/>
      <c r="M75" s="114"/>
      <c r="N75" s="114"/>
      <c r="O75" s="117">
        <f t="shared" si="32"/>
        <v>0</v>
      </c>
      <c r="P75" s="117">
        <f t="shared" si="33"/>
        <v>0</v>
      </c>
      <c r="Q75" s="118"/>
      <c r="R75" s="118"/>
      <c r="S75" s="117">
        <f t="shared" si="34"/>
        <v>0</v>
      </c>
      <c r="T75" s="117"/>
      <c r="U75" s="117"/>
      <c r="V75" s="117">
        <f t="shared" si="35"/>
        <v>0</v>
      </c>
      <c r="W75" s="118"/>
      <c r="X75" s="118"/>
      <c r="Y75" s="117">
        <f t="shared" si="36"/>
        <v>0</v>
      </c>
      <c r="Z75" s="117">
        <f t="shared" si="37"/>
        <v>0</v>
      </c>
      <c r="AA75" s="119" t="e">
        <f t="shared" si="51"/>
        <v>#DIV/0!</v>
      </c>
      <c r="AB75" s="117">
        <f t="shared" si="38"/>
        <v>0</v>
      </c>
      <c r="AC75" s="118"/>
      <c r="AD75" s="119">
        <f t="shared" si="39"/>
        <v>0</v>
      </c>
      <c r="AE75" s="118"/>
      <c r="AF75" s="118"/>
      <c r="AG75" s="118"/>
      <c r="AH75" s="118"/>
      <c r="AI75" s="152" t="e">
        <f t="shared" si="40"/>
        <v>#DIV/0!</v>
      </c>
      <c r="AJ75" s="118"/>
      <c r="AK75" s="120">
        <f t="shared" si="41"/>
        <v>0</v>
      </c>
      <c r="AL75" s="121" t="e">
        <f t="shared" si="42"/>
        <v>#DIV/0!</v>
      </c>
      <c r="AM75" s="122"/>
      <c r="AN75" s="123">
        <f t="shared" si="43"/>
        <v>0</v>
      </c>
      <c r="AO75" s="124">
        <f t="shared" si="44"/>
        <v>0</v>
      </c>
      <c r="AP75" s="124">
        <f t="shared" si="45"/>
        <v>0</v>
      </c>
      <c r="AQ75" s="124">
        <f t="shared" si="46"/>
        <v>0</v>
      </c>
      <c r="AR75" s="124">
        <f t="shared" si="47"/>
        <v>0</v>
      </c>
      <c r="AS75" s="124" t="e">
        <f t="array" ref="AS75">_xlfn.IFS(S75=0,AL75,S75&lt;0,AL75/-S75,S75&gt;0,AL75/S75)</f>
        <v>#DIV/0!</v>
      </c>
      <c r="AT75" s="119">
        <f t="shared" si="48"/>
        <v>0</v>
      </c>
      <c r="AU75" s="119">
        <f t="shared" si="49"/>
        <v>0</v>
      </c>
      <c r="AV75" s="125"/>
      <c r="AW75" s="120" t="e">
        <f t="shared" si="50"/>
        <v>#DIV/0!</v>
      </c>
    </row>
    <row r="76" spans="1:49" hidden="1" outlineLevel="1">
      <c r="A76" s="114"/>
      <c r="B76" s="115"/>
      <c r="C76" s="115"/>
      <c r="D76" s="116"/>
      <c r="E76" s="117">
        <f t="shared" si="52"/>
        <v>0</v>
      </c>
      <c r="F76" s="117"/>
      <c r="G76" s="117"/>
      <c r="H76" s="117"/>
      <c r="I76" s="117"/>
      <c r="J76" s="117">
        <f t="shared" si="31"/>
        <v>0</v>
      </c>
      <c r="K76" s="114"/>
      <c r="L76" s="114"/>
      <c r="M76" s="114"/>
      <c r="N76" s="114"/>
      <c r="O76" s="117">
        <f t="shared" si="32"/>
        <v>0</v>
      </c>
      <c r="P76" s="117">
        <f t="shared" si="33"/>
        <v>0</v>
      </c>
      <c r="Q76" s="118"/>
      <c r="R76" s="118"/>
      <c r="S76" s="117">
        <f t="shared" si="34"/>
        <v>0</v>
      </c>
      <c r="T76" s="117"/>
      <c r="U76" s="117"/>
      <c r="V76" s="117">
        <f t="shared" si="35"/>
        <v>0</v>
      </c>
      <c r="W76" s="118"/>
      <c r="X76" s="118"/>
      <c r="Y76" s="117">
        <f t="shared" si="36"/>
        <v>0</v>
      </c>
      <c r="Z76" s="117">
        <f t="shared" si="37"/>
        <v>0</v>
      </c>
      <c r="AA76" s="119" t="e">
        <f t="shared" si="51"/>
        <v>#DIV/0!</v>
      </c>
      <c r="AB76" s="117">
        <f t="shared" si="38"/>
        <v>0</v>
      </c>
      <c r="AC76" s="118"/>
      <c r="AD76" s="119">
        <f t="shared" si="39"/>
        <v>0</v>
      </c>
      <c r="AE76" s="118"/>
      <c r="AF76" s="118"/>
      <c r="AG76" s="118"/>
      <c r="AH76" s="118"/>
      <c r="AI76" s="152" t="e">
        <f t="shared" si="40"/>
        <v>#DIV/0!</v>
      </c>
      <c r="AJ76" s="118"/>
      <c r="AK76" s="120">
        <f t="shared" si="41"/>
        <v>0</v>
      </c>
      <c r="AL76" s="121" t="e">
        <f t="shared" si="42"/>
        <v>#DIV/0!</v>
      </c>
      <c r="AM76" s="122"/>
      <c r="AN76" s="123">
        <f t="shared" si="43"/>
        <v>0</v>
      </c>
      <c r="AO76" s="124">
        <f t="shared" si="44"/>
        <v>0</v>
      </c>
      <c r="AP76" s="124">
        <f t="shared" si="45"/>
        <v>0</v>
      </c>
      <c r="AQ76" s="124">
        <f t="shared" si="46"/>
        <v>0</v>
      </c>
      <c r="AR76" s="124">
        <f t="shared" si="47"/>
        <v>0</v>
      </c>
      <c r="AS76" s="124" t="e">
        <f t="array" ref="AS76">_xlfn.IFS(S76=0,AL76,S76&lt;0,AL76/-S76,S76&gt;0,AL76/S76)</f>
        <v>#DIV/0!</v>
      </c>
      <c r="AT76" s="119">
        <f t="shared" si="48"/>
        <v>0</v>
      </c>
      <c r="AU76" s="119">
        <f t="shared" si="49"/>
        <v>0</v>
      </c>
      <c r="AV76" s="125"/>
      <c r="AW76" s="120" t="e">
        <f t="shared" si="50"/>
        <v>#DIV/0!</v>
      </c>
    </row>
    <row r="77" spans="1:49" hidden="1" outlineLevel="1">
      <c r="A77" s="114"/>
      <c r="B77" s="115"/>
      <c r="C77" s="115"/>
      <c r="D77" s="116"/>
      <c r="E77" s="117">
        <f t="shared" si="52"/>
        <v>0</v>
      </c>
      <c r="F77" s="117"/>
      <c r="G77" s="117"/>
      <c r="H77" s="117"/>
      <c r="I77" s="117"/>
      <c r="J77" s="117">
        <f t="shared" si="31"/>
        <v>0</v>
      </c>
      <c r="K77" s="114"/>
      <c r="L77" s="114"/>
      <c r="M77" s="114"/>
      <c r="N77" s="114"/>
      <c r="O77" s="117">
        <f t="shared" si="32"/>
        <v>0</v>
      </c>
      <c r="P77" s="117">
        <f t="shared" si="33"/>
        <v>0</v>
      </c>
      <c r="Q77" s="118"/>
      <c r="R77" s="118"/>
      <c r="S77" s="117">
        <f t="shared" si="34"/>
        <v>0</v>
      </c>
      <c r="T77" s="117"/>
      <c r="U77" s="117"/>
      <c r="V77" s="117">
        <f t="shared" si="35"/>
        <v>0</v>
      </c>
      <c r="W77" s="118"/>
      <c r="X77" s="118"/>
      <c r="Y77" s="117">
        <f t="shared" si="36"/>
        <v>0</v>
      </c>
      <c r="Z77" s="117">
        <f t="shared" si="37"/>
        <v>0</v>
      </c>
      <c r="AA77" s="119" t="e">
        <f t="shared" si="51"/>
        <v>#DIV/0!</v>
      </c>
      <c r="AB77" s="117">
        <f t="shared" si="38"/>
        <v>0</v>
      </c>
      <c r="AC77" s="118"/>
      <c r="AD77" s="119">
        <f t="shared" si="39"/>
        <v>0</v>
      </c>
      <c r="AE77" s="118"/>
      <c r="AF77" s="118"/>
      <c r="AG77" s="118"/>
      <c r="AH77" s="118"/>
      <c r="AI77" s="152" t="e">
        <f t="shared" si="40"/>
        <v>#DIV/0!</v>
      </c>
      <c r="AJ77" s="118"/>
      <c r="AK77" s="120">
        <f t="shared" si="41"/>
        <v>0</v>
      </c>
      <c r="AL77" s="121" t="e">
        <f t="shared" si="42"/>
        <v>#DIV/0!</v>
      </c>
      <c r="AM77" s="122"/>
      <c r="AN77" s="123">
        <f t="shared" si="43"/>
        <v>0</v>
      </c>
      <c r="AO77" s="124">
        <f t="shared" si="44"/>
        <v>0</v>
      </c>
      <c r="AP77" s="124">
        <f t="shared" si="45"/>
        <v>0</v>
      </c>
      <c r="AQ77" s="124">
        <f t="shared" si="46"/>
        <v>0</v>
      </c>
      <c r="AR77" s="124">
        <f t="shared" si="47"/>
        <v>0</v>
      </c>
      <c r="AS77" s="124" t="e">
        <f t="array" ref="AS77">_xlfn.IFS(S77=0,AL77,S77&lt;0,AL77/-S77,S77&gt;0,AL77/S77)</f>
        <v>#DIV/0!</v>
      </c>
      <c r="AT77" s="119">
        <f t="shared" si="48"/>
        <v>0</v>
      </c>
      <c r="AU77" s="119">
        <f t="shared" si="49"/>
        <v>0</v>
      </c>
      <c r="AV77" s="125"/>
      <c r="AW77" s="120" t="e">
        <f t="shared" si="50"/>
        <v>#DIV/0!</v>
      </c>
    </row>
    <row r="78" spans="1:49" hidden="1" outlineLevel="1">
      <c r="A78" s="114"/>
      <c r="B78" s="115"/>
      <c r="C78" s="115"/>
      <c r="D78" s="116"/>
      <c r="E78" s="117">
        <f t="shared" si="52"/>
        <v>0</v>
      </c>
      <c r="F78" s="117"/>
      <c r="G78" s="117"/>
      <c r="H78" s="117"/>
      <c r="I78" s="117"/>
      <c r="J78" s="117">
        <f t="shared" si="31"/>
        <v>0</v>
      </c>
      <c r="K78" s="114"/>
      <c r="L78" s="114"/>
      <c r="M78" s="114"/>
      <c r="N78" s="114"/>
      <c r="O78" s="117">
        <f t="shared" si="32"/>
        <v>0</v>
      </c>
      <c r="P78" s="117">
        <f t="shared" si="33"/>
        <v>0</v>
      </c>
      <c r="Q78" s="118"/>
      <c r="R78" s="118"/>
      <c r="S78" s="117">
        <f t="shared" si="34"/>
        <v>0</v>
      </c>
      <c r="T78" s="117"/>
      <c r="U78" s="117"/>
      <c r="V78" s="117">
        <f t="shared" si="35"/>
        <v>0</v>
      </c>
      <c r="W78" s="118"/>
      <c r="X78" s="118"/>
      <c r="Y78" s="117">
        <f t="shared" si="36"/>
        <v>0</v>
      </c>
      <c r="Z78" s="117">
        <f t="shared" si="37"/>
        <v>0</v>
      </c>
      <c r="AA78" s="119" t="e">
        <f t="shared" si="51"/>
        <v>#DIV/0!</v>
      </c>
      <c r="AB78" s="117">
        <f t="shared" si="38"/>
        <v>0</v>
      </c>
      <c r="AC78" s="118"/>
      <c r="AD78" s="119">
        <f t="shared" si="39"/>
        <v>0</v>
      </c>
      <c r="AE78" s="118"/>
      <c r="AF78" s="118"/>
      <c r="AG78" s="118"/>
      <c r="AH78" s="118"/>
      <c r="AI78" s="152" t="e">
        <f t="shared" si="40"/>
        <v>#DIV/0!</v>
      </c>
      <c r="AJ78" s="118"/>
      <c r="AK78" s="120">
        <f t="shared" si="41"/>
        <v>0</v>
      </c>
      <c r="AL78" s="121" t="e">
        <f t="shared" si="42"/>
        <v>#DIV/0!</v>
      </c>
      <c r="AM78" s="122"/>
      <c r="AN78" s="123">
        <f t="shared" si="43"/>
        <v>0</v>
      </c>
      <c r="AO78" s="124">
        <f t="shared" si="44"/>
        <v>0</v>
      </c>
      <c r="AP78" s="124">
        <f t="shared" si="45"/>
        <v>0</v>
      </c>
      <c r="AQ78" s="124">
        <f t="shared" si="46"/>
        <v>0</v>
      </c>
      <c r="AR78" s="124">
        <f t="shared" si="47"/>
        <v>0</v>
      </c>
      <c r="AS78" s="124" t="e">
        <f t="array" ref="AS78">_xlfn.IFS(S78=0,AL78,S78&lt;0,AL78/-S78,S78&gt;0,AL78/S78)</f>
        <v>#DIV/0!</v>
      </c>
      <c r="AT78" s="119">
        <f t="shared" si="48"/>
        <v>0</v>
      </c>
      <c r="AU78" s="119">
        <f t="shared" si="49"/>
        <v>0</v>
      </c>
      <c r="AV78" s="125"/>
      <c r="AW78" s="120" t="e">
        <f t="shared" si="50"/>
        <v>#DIV/0!</v>
      </c>
    </row>
    <row r="79" spans="1:49" hidden="1" outlineLevel="1">
      <c r="A79" s="114"/>
      <c r="B79" s="115"/>
      <c r="C79" s="115"/>
      <c r="D79" s="116"/>
      <c r="E79" s="117">
        <f t="shared" si="52"/>
        <v>0</v>
      </c>
      <c r="F79" s="117"/>
      <c r="G79" s="117"/>
      <c r="H79" s="117"/>
      <c r="I79" s="117"/>
      <c r="J79" s="117">
        <f t="shared" si="31"/>
        <v>0</v>
      </c>
      <c r="K79" s="114"/>
      <c r="L79" s="114"/>
      <c r="M79" s="114"/>
      <c r="N79" s="114"/>
      <c r="O79" s="117">
        <f t="shared" si="32"/>
        <v>0</v>
      </c>
      <c r="P79" s="117">
        <f t="shared" si="33"/>
        <v>0</v>
      </c>
      <c r="Q79" s="118"/>
      <c r="R79" s="118"/>
      <c r="S79" s="117">
        <f t="shared" si="34"/>
        <v>0</v>
      </c>
      <c r="T79" s="117"/>
      <c r="U79" s="117"/>
      <c r="V79" s="117">
        <f t="shared" si="35"/>
        <v>0</v>
      </c>
      <c r="W79" s="118"/>
      <c r="X79" s="118"/>
      <c r="Y79" s="117">
        <f t="shared" si="36"/>
        <v>0</v>
      </c>
      <c r="Z79" s="117">
        <f t="shared" si="37"/>
        <v>0</v>
      </c>
      <c r="AA79" s="119" t="e">
        <f t="shared" si="51"/>
        <v>#DIV/0!</v>
      </c>
      <c r="AB79" s="117">
        <f t="shared" si="38"/>
        <v>0</v>
      </c>
      <c r="AC79" s="118"/>
      <c r="AD79" s="119">
        <f t="shared" si="39"/>
        <v>0</v>
      </c>
      <c r="AE79" s="118"/>
      <c r="AF79" s="118"/>
      <c r="AG79" s="118"/>
      <c r="AH79" s="118"/>
      <c r="AI79" s="152" t="e">
        <f t="shared" si="40"/>
        <v>#DIV/0!</v>
      </c>
      <c r="AJ79" s="118"/>
      <c r="AK79" s="120">
        <f t="shared" si="41"/>
        <v>0</v>
      </c>
      <c r="AL79" s="121" t="e">
        <f t="shared" si="42"/>
        <v>#DIV/0!</v>
      </c>
      <c r="AM79" s="122"/>
      <c r="AN79" s="123">
        <f t="shared" si="43"/>
        <v>0</v>
      </c>
      <c r="AO79" s="124">
        <f t="shared" si="44"/>
        <v>0</v>
      </c>
      <c r="AP79" s="124">
        <f t="shared" si="45"/>
        <v>0</v>
      </c>
      <c r="AQ79" s="124">
        <f t="shared" si="46"/>
        <v>0</v>
      </c>
      <c r="AR79" s="124">
        <f t="shared" si="47"/>
        <v>0</v>
      </c>
      <c r="AS79" s="124" t="e">
        <f t="array" ref="AS79">_xlfn.IFS(S79=0,AL79,S79&lt;0,AL79/-S79,S79&gt;0,AL79/S79)</f>
        <v>#DIV/0!</v>
      </c>
      <c r="AT79" s="119">
        <f t="shared" si="48"/>
        <v>0</v>
      </c>
      <c r="AU79" s="119">
        <f t="shared" si="49"/>
        <v>0</v>
      </c>
      <c r="AV79" s="125"/>
      <c r="AW79" s="120" t="e">
        <f t="shared" si="50"/>
        <v>#DIV/0!</v>
      </c>
    </row>
    <row r="80" spans="1:49" hidden="1" outlineLevel="1">
      <c r="A80" s="114"/>
      <c r="B80" s="115"/>
      <c r="C80" s="115"/>
      <c r="D80" s="116"/>
      <c r="E80" s="117">
        <f t="shared" si="52"/>
        <v>0</v>
      </c>
      <c r="F80" s="117"/>
      <c r="G80" s="117"/>
      <c r="H80" s="117"/>
      <c r="I80" s="117"/>
      <c r="J80" s="117">
        <f t="shared" si="31"/>
        <v>0</v>
      </c>
      <c r="K80" s="114"/>
      <c r="L80" s="114"/>
      <c r="M80" s="114"/>
      <c r="N80" s="114"/>
      <c r="O80" s="117">
        <f t="shared" si="32"/>
        <v>0</v>
      </c>
      <c r="P80" s="117">
        <f t="shared" si="33"/>
        <v>0</v>
      </c>
      <c r="Q80" s="118"/>
      <c r="R80" s="118"/>
      <c r="S80" s="117">
        <f t="shared" si="34"/>
        <v>0</v>
      </c>
      <c r="T80" s="117"/>
      <c r="U80" s="117"/>
      <c r="V80" s="117">
        <f t="shared" si="35"/>
        <v>0</v>
      </c>
      <c r="W80" s="118"/>
      <c r="X80" s="118"/>
      <c r="Y80" s="117">
        <f t="shared" si="36"/>
        <v>0</v>
      </c>
      <c r="Z80" s="117">
        <f t="shared" si="37"/>
        <v>0</v>
      </c>
      <c r="AA80" s="119" t="e">
        <f t="shared" si="51"/>
        <v>#DIV/0!</v>
      </c>
      <c r="AB80" s="117">
        <f t="shared" si="38"/>
        <v>0</v>
      </c>
      <c r="AC80" s="118"/>
      <c r="AD80" s="119">
        <f t="shared" si="39"/>
        <v>0</v>
      </c>
      <c r="AE80" s="118"/>
      <c r="AF80" s="118"/>
      <c r="AG80" s="118"/>
      <c r="AH80" s="118"/>
      <c r="AI80" s="152" t="e">
        <f t="shared" si="40"/>
        <v>#DIV/0!</v>
      </c>
      <c r="AJ80" s="118"/>
      <c r="AK80" s="120">
        <f t="shared" si="41"/>
        <v>0</v>
      </c>
      <c r="AL80" s="121" t="e">
        <f t="shared" si="42"/>
        <v>#DIV/0!</v>
      </c>
      <c r="AM80" s="122"/>
      <c r="AN80" s="123">
        <f t="shared" si="43"/>
        <v>0</v>
      </c>
      <c r="AO80" s="124">
        <f t="shared" si="44"/>
        <v>0</v>
      </c>
      <c r="AP80" s="124">
        <f t="shared" si="45"/>
        <v>0</v>
      </c>
      <c r="AQ80" s="124">
        <f t="shared" si="46"/>
        <v>0</v>
      </c>
      <c r="AR80" s="124">
        <f t="shared" si="47"/>
        <v>0</v>
      </c>
      <c r="AS80" s="124" t="e">
        <f t="array" ref="AS80">_xlfn.IFS(S80=0,AL80,S80&lt;0,AL80/-S80,S80&gt;0,AL80/S80)</f>
        <v>#DIV/0!</v>
      </c>
      <c r="AT80" s="119">
        <f t="shared" si="48"/>
        <v>0</v>
      </c>
      <c r="AU80" s="119">
        <f t="shared" si="49"/>
        <v>0</v>
      </c>
      <c r="AV80" s="125"/>
      <c r="AW80" s="120" t="e">
        <f t="shared" si="50"/>
        <v>#DIV/0!</v>
      </c>
    </row>
    <row r="81" spans="1:49" hidden="1" outlineLevel="1">
      <c r="A81" s="114"/>
      <c r="B81" s="115"/>
      <c r="C81" s="115"/>
      <c r="D81" s="116"/>
      <c r="E81" s="117">
        <f t="shared" si="52"/>
        <v>0</v>
      </c>
      <c r="F81" s="117"/>
      <c r="G81" s="117"/>
      <c r="H81" s="117"/>
      <c r="I81" s="117"/>
      <c r="J81" s="117">
        <f t="shared" si="31"/>
        <v>0</v>
      </c>
      <c r="K81" s="114"/>
      <c r="L81" s="114"/>
      <c r="M81" s="114"/>
      <c r="N81" s="114"/>
      <c r="O81" s="117">
        <f t="shared" si="32"/>
        <v>0</v>
      </c>
      <c r="P81" s="117">
        <f t="shared" si="33"/>
        <v>0</v>
      </c>
      <c r="Q81" s="118"/>
      <c r="R81" s="118"/>
      <c r="S81" s="117">
        <f t="shared" si="34"/>
        <v>0</v>
      </c>
      <c r="T81" s="117"/>
      <c r="U81" s="117"/>
      <c r="V81" s="117">
        <f t="shared" si="35"/>
        <v>0</v>
      </c>
      <c r="W81" s="118"/>
      <c r="X81" s="118"/>
      <c r="Y81" s="117">
        <f t="shared" si="36"/>
        <v>0</v>
      </c>
      <c r="Z81" s="117">
        <f t="shared" si="37"/>
        <v>0</v>
      </c>
      <c r="AA81" s="119" t="e">
        <f t="shared" si="51"/>
        <v>#DIV/0!</v>
      </c>
      <c r="AB81" s="117">
        <f t="shared" si="38"/>
        <v>0</v>
      </c>
      <c r="AC81" s="118"/>
      <c r="AD81" s="119">
        <f t="shared" si="39"/>
        <v>0</v>
      </c>
      <c r="AE81" s="118"/>
      <c r="AF81" s="118"/>
      <c r="AG81" s="118"/>
      <c r="AH81" s="118"/>
      <c r="AI81" s="152" t="e">
        <f t="shared" si="40"/>
        <v>#DIV/0!</v>
      </c>
      <c r="AJ81" s="118"/>
      <c r="AK81" s="120">
        <f t="shared" si="41"/>
        <v>0</v>
      </c>
      <c r="AL81" s="121" t="e">
        <f t="shared" si="42"/>
        <v>#DIV/0!</v>
      </c>
      <c r="AM81" s="122"/>
      <c r="AN81" s="123">
        <f t="shared" si="43"/>
        <v>0</v>
      </c>
      <c r="AO81" s="124">
        <f t="shared" si="44"/>
        <v>0</v>
      </c>
      <c r="AP81" s="124">
        <f t="shared" si="45"/>
        <v>0</v>
      </c>
      <c r="AQ81" s="124">
        <f t="shared" si="46"/>
        <v>0</v>
      </c>
      <c r="AR81" s="124">
        <f t="shared" si="47"/>
        <v>0</v>
      </c>
      <c r="AS81" s="124" t="e">
        <f t="array" ref="AS81">_xlfn.IFS(S81=0,AL81,S81&lt;0,AL81/-S81,S81&gt;0,AL81/S81)</f>
        <v>#DIV/0!</v>
      </c>
      <c r="AT81" s="119">
        <f t="shared" si="48"/>
        <v>0</v>
      </c>
      <c r="AU81" s="119">
        <f t="shared" si="49"/>
        <v>0</v>
      </c>
      <c r="AV81" s="125"/>
      <c r="AW81" s="120" t="e">
        <f t="shared" si="50"/>
        <v>#DIV/0!</v>
      </c>
    </row>
    <row r="82" spans="1:49" hidden="1" outlineLevel="1">
      <c r="A82" s="114"/>
      <c r="B82" s="115"/>
      <c r="C82" s="115"/>
      <c r="D82" s="149"/>
      <c r="E82" s="118">
        <f t="shared" si="52"/>
        <v>0</v>
      </c>
      <c r="F82" s="117"/>
      <c r="G82" s="117"/>
      <c r="H82" s="117"/>
      <c r="I82" s="117"/>
      <c r="J82" s="117">
        <f t="shared" si="31"/>
        <v>0</v>
      </c>
      <c r="K82" s="114"/>
      <c r="L82" s="114"/>
      <c r="M82" s="114"/>
      <c r="N82" s="114"/>
      <c r="O82" s="117">
        <f t="shared" si="32"/>
        <v>0</v>
      </c>
      <c r="P82" s="117">
        <f t="shared" si="33"/>
        <v>0</v>
      </c>
      <c r="Q82" s="118"/>
      <c r="R82" s="118"/>
      <c r="S82" s="117">
        <f t="shared" si="34"/>
        <v>0</v>
      </c>
      <c r="T82" s="117"/>
      <c r="U82" s="117"/>
      <c r="V82" s="117">
        <f t="shared" si="35"/>
        <v>0</v>
      </c>
      <c r="W82" s="118"/>
      <c r="X82" s="118"/>
      <c r="Y82" s="117">
        <f t="shared" si="36"/>
        <v>0</v>
      </c>
      <c r="Z82" s="117">
        <f t="shared" si="37"/>
        <v>0</v>
      </c>
      <c r="AA82" s="119" t="e">
        <f t="shared" si="51"/>
        <v>#DIV/0!</v>
      </c>
      <c r="AB82" s="117">
        <f t="shared" si="38"/>
        <v>0</v>
      </c>
      <c r="AC82" s="118"/>
      <c r="AD82" s="119">
        <f t="shared" si="39"/>
        <v>0</v>
      </c>
      <c r="AE82" s="118"/>
      <c r="AF82" s="118"/>
      <c r="AG82" s="118"/>
      <c r="AH82" s="118"/>
      <c r="AI82" s="152" t="e">
        <f t="shared" si="40"/>
        <v>#DIV/0!</v>
      </c>
      <c r="AJ82" s="118"/>
      <c r="AK82" s="120">
        <f t="shared" si="41"/>
        <v>0</v>
      </c>
      <c r="AL82" s="121" t="e">
        <f t="shared" si="42"/>
        <v>#DIV/0!</v>
      </c>
      <c r="AM82" s="122"/>
      <c r="AN82" s="123">
        <f t="shared" si="43"/>
        <v>0</v>
      </c>
      <c r="AO82" s="124">
        <f t="shared" si="44"/>
        <v>0</v>
      </c>
      <c r="AP82" s="124">
        <f t="shared" si="45"/>
        <v>0</v>
      </c>
      <c r="AQ82" s="124">
        <f t="shared" si="46"/>
        <v>0</v>
      </c>
      <c r="AR82" s="124">
        <f t="shared" si="47"/>
        <v>0</v>
      </c>
      <c r="AS82" s="124" t="e">
        <f t="array" ref="AS82">_xlfn.IFS(S82=0,AL82,S82&lt;0,AL82/-S82,S82&gt;0,AL82/S82)</f>
        <v>#DIV/0!</v>
      </c>
      <c r="AT82" s="119">
        <f t="shared" si="48"/>
        <v>0</v>
      </c>
      <c r="AU82" s="119">
        <f t="shared" si="49"/>
        <v>0</v>
      </c>
      <c r="AV82" s="125"/>
      <c r="AW82" s="120" t="e">
        <f t="shared" si="50"/>
        <v>#DIV/0!</v>
      </c>
    </row>
    <row r="83" spans="1:49" hidden="1" outlineLevel="1">
      <c r="A83" s="114"/>
      <c r="B83" s="115"/>
      <c r="C83" s="115"/>
      <c r="D83" s="149"/>
      <c r="E83" s="118">
        <f t="shared" si="52"/>
        <v>0</v>
      </c>
      <c r="F83" s="117"/>
      <c r="G83" s="117"/>
      <c r="H83" s="117"/>
      <c r="I83" s="117"/>
      <c r="J83" s="117">
        <f t="shared" si="31"/>
        <v>0</v>
      </c>
      <c r="K83" s="114"/>
      <c r="L83" s="114"/>
      <c r="M83" s="114"/>
      <c r="N83" s="114"/>
      <c r="O83" s="117">
        <f t="shared" si="32"/>
        <v>0</v>
      </c>
      <c r="P83" s="117">
        <f t="shared" si="33"/>
        <v>0</v>
      </c>
      <c r="Q83" s="118"/>
      <c r="R83" s="118"/>
      <c r="S83" s="117">
        <f t="shared" si="34"/>
        <v>0</v>
      </c>
      <c r="T83" s="117"/>
      <c r="U83" s="117"/>
      <c r="V83" s="117">
        <f t="shared" si="35"/>
        <v>0</v>
      </c>
      <c r="W83" s="118"/>
      <c r="X83" s="118"/>
      <c r="Y83" s="117">
        <f t="shared" si="36"/>
        <v>0</v>
      </c>
      <c r="Z83" s="117">
        <f t="shared" si="37"/>
        <v>0</v>
      </c>
      <c r="AA83" s="119" t="e">
        <f t="shared" si="51"/>
        <v>#DIV/0!</v>
      </c>
      <c r="AB83" s="117">
        <f t="shared" si="38"/>
        <v>0</v>
      </c>
      <c r="AC83" s="118"/>
      <c r="AD83" s="119">
        <f t="shared" si="39"/>
        <v>0</v>
      </c>
      <c r="AE83" s="118"/>
      <c r="AF83" s="118"/>
      <c r="AG83" s="118"/>
      <c r="AH83" s="118"/>
      <c r="AI83" s="152" t="e">
        <f t="shared" si="40"/>
        <v>#DIV/0!</v>
      </c>
      <c r="AJ83" s="118"/>
      <c r="AK83" s="120">
        <f t="shared" si="41"/>
        <v>0</v>
      </c>
      <c r="AL83" s="121" t="e">
        <f t="shared" si="42"/>
        <v>#DIV/0!</v>
      </c>
      <c r="AM83" s="122"/>
      <c r="AN83" s="123">
        <f t="shared" si="43"/>
        <v>0</v>
      </c>
      <c r="AO83" s="124">
        <f t="shared" si="44"/>
        <v>0</v>
      </c>
      <c r="AP83" s="124">
        <f t="shared" si="45"/>
        <v>0</v>
      </c>
      <c r="AQ83" s="124">
        <f t="shared" si="46"/>
        <v>0</v>
      </c>
      <c r="AR83" s="124">
        <f t="shared" si="47"/>
        <v>0</v>
      </c>
      <c r="AS83" s="124" t="e">
        <f t="array" ref="AS83">_xlfn.IFS(S83=0,AL83,S83&lt;0,AL83/-S83,S83&gt;0,AL83/S83)</f>
        <v>#DIV/0!</v>
      </c>
      <c r="AT83" s="119">
        <f t="shared" si="48"/>
        <v>0</v>
      </c>
      <c r="AU83" s="119">
        <f t="shared" si="49"/>
        <v>0</v>
      </c>
      <c r="AV83" s="125"/>
      <c r="AW83" s="120" t="e">
        <f t="shared" si="50"/>
        <v>#DIV/0!</v>
      </c>
    </row>
    <row r="84" spans="1:49" hidden="1" outlineLevel="1">
      <c r="A84" s="114"/>
      <c r="B84" s="115"/>
      <c r="C84" s="115"/>
      <c r="D84" s="149"/>
      <c r="E84" s="118">
        <f t="shared" si="52"/>
        <v>0</v>
      </c>
      <c r="F84" s="117"/>
      <c r="G84" s="117"/>
      <c r="H84" s="117"/>
      <c r="I84" s="117"/>
      <c r="J84" s="117">
        <f t="shared" si="31"/>
        <v>0</v>
      </c>
      <c r="K84" s="114"/>
      <c r="L84" s="114"/>
      <c r="M84" s="114"/>
      <c r="N84" s="114"/>
      <c r="O84" s="117">
        <f t="shared" si="32"/>
        <v>0</v>
      </c>
      <c r="P84" s="117">
        <f t="shared" si="33"/>
        <v>0</v>
      </c>
      <c r="Q84" s="118"/>
      <c r="R84" s="118"/>
      <c r="S84" s="117">
        <f t="shared" si="34"/>
        <v>0</v>
      </c>
      <c r="T84" s="117"/>
      <c r="U84" s="117"/>
      <c r="V84" s="117">
        <f t="shared" si="35"/>
        <v>0</v>
      </c>
      <c r="W84" s="118"/>
      <c r="X84" s="118"/>
      <c r="Y84" s="117">
        <f t="shared" si="36"/>
        <v>0</v>
      </c>
      <c r="Z84" s="117">
        <f t="shared" si="37"/>
        <v>0</v>
      </c>
      <c r="AA84" s="119" t="e">
        <f t="shared" si="51"/>
        <v>#DIV/0!</v>
      </c>
      <c r="AB84" s="117">
        <f t="shared" si="38"/>
        <v>0</v>
      </c>
      <c r="AC84" s="118"/>
      <c r="AD84" s="119">
        <f t="shared" si="39"/>
        <v>0</v>
      </c>
      <c r="AE84" s="118"/>
      <c r="AF84" s="118"/>
      <c r="AG84" s="118"/>
      <c r="AH84" s="118"/>
      <c r="AI84" s="152" t="e">
        <f t="shared" si="40"/>
        <v>#DIV/0!</v>
      </c>
      <c r="AJ84" s="118"/>
      <c r="AK84" s="120">
        <f t="shared" si="41"/>
        <v>0</v>
      </c>
      <c r="AL84" s="121" t="e">
        <f t="shared" si="42"/>
        <v>#DIV/0!</v>
      </c>
      <c r="AM84" s="122"/>
      <c r="AN84" s="123">
        <f t="shared" si="43"/>
        <v>0</v>
      </c>
      <c r="AO84" s="124">
        <f t="shared" si="44"/>
        <v>0</v>
      </c>
      <c r="AP84" s="124">
        <f t="shared" si="45"/>
        <v>0</v>
      </c>
      <c r="AQ84" s="124">
        <f t="shared" si="46"/>
        <v>0</v>
      </c>
      <c r="AR84" s="124">
        <f t="shared" si="47"/>
        <v>0</v>
      </c>
      <c r="AS84" s="124" t="e">
        <f t="array" ref="AS84">_xlfn.IFS(S84=0,AL84,S84&lt;0,AL84/-S84,S84&gt;0,AL84/S84)</f>
        <v>#DIV/0!</v>
      </c>
      <c r="AT84" s="119">
        <f t="shared" si="48"/>
        <v>0</v>
      </c>
      <c r="AU84" s="119">
        <f t="shared" si="49"/>
        <v>0</v>
      </c>
      <c r="AV84" s="125"/>
      <c r="AW84" s="120" t="e">
        <f t="shared" si="50"/>
        <v>#DIV/0!</v>
      </c>
    </row>
    <row r="85" spans="1:49" hidden="1" outlineLevel="1">
      <c r="A85" s="114"/>
      <c r="B85" s="115"/>
      <c r="C85" s="115"/>
      <c r="D85" s="149"/>
      <c r="E85" s="118">
        <f t="shared" si="52"/>
        <v>0</v>
      </c>
      <c r="F85" s="117"/>
      <c r="G85" s="117"/>
      <c r="H85" s="117"/>
      <c r="I85" s="117"/>
      <c r="J85" s="117">
        <f t="shared" si="31"/>
        <v>0</v>
      </c>
      <c r="K85" s="114"/>
      <c r="L85" s="114"/>
      <c r="M85" s="114"/>
      <c r="N85" s="114"/>
      <c r="O85" s="117">
        <f t="shared" si="32"/>
        <v>0</v>
      </c>
      <c r="P85" s="117">
        <f t="shared" si="33"/>
        <v>0</v>
      </c>
      <c r="Q85" s="118"/>
      <c r="R85" s="118"/>
      <c r="S85" s="117">
        <f t="shared" si="34"/>
        <v>0</v>
      </c>
      <c r="T85" s="117"/>
      <c r="U85" s="117"/>
      <c r="V85" s="117">
        <f t="shared" si="35"/>
        <v>0</v>
      </c>
      <c r="W85" s="118"/>
      <c r="X85" s="118"/>
      <c r="Y85" s="117">
        <f t="shared" si="36"/>
        <v>0</v>
      </c>
      <c r="Z85" s="117">
        <f>L85*M85*N85/100</f>
        <v>0</v>
      </c>
      <c r="AA85" s="119" t="e">
        <f t="shared" si="51"/>
        <v>#DIV/0!</v>
      </c>
      <c r="AB85" s="117">
        <f t="shared" si="38"/>
        <v>0</v>
      </c>
      <c r="AC85" s="118"/>
      <c r="AD85" s="119">
        <f t="shared" si="39"/>
        <v>0</v>
      </c>
      <c r="AE85" s="118"/>
      <c r="AF85" s="118"/>
      <c r="AG85" s="118"/>
      <c r="AH85" s="118"/>
      <c r="AI85" s="152" t="e">
        <f t="shared" si="40"/>
        <v>#DIV/0!</v>
      </c>
      <c r="AJ85" s="118"/>
      <c r="AK85" s="120">
        <f t="shared" si="41"/>
        <v>0</v>
      </c>
      <c r="AL85" s="121" t="e">
        <f t="shared" si="42"/>
        <v>#DIV/0!</v>
      </c>
      <c r="AM85" s="122"/>
      <c r="AN85" s="123">
        <f t="shared" si="43"/>
        <v>0</v>
      </c>
      <c r="AO85" s="124">
        <f t="shared" si="44"/>
        <v>0</v>
      </c>
      <c r="AP85" s="124">
        <f t="shared" si="45"/>
        <v>0</v>
      </c>
      <c r="AQ85" s="124">
        <f t="shared" si="46"/>
        <v>0</v>
      </c>
      <c r="AR85" s="124">
        <f t="shared" si="47"/>
        <v>0</v>
      </c>
      <c r="AS85" s="124" t="e">
        <f t="array" ref="AS85">_xlfn.IFS(S85=0,AL85,S85&lt;0,AL85/-S85,S85&gt;0,AL85/S85)</f>
        <v>#DIV/0!</v>
      </c>
      <c r="AT85" s="119">
        <f t="shared" si="48"/>
        <v>0</v>
      </c>
      <c r="AU85" s="119">
        <f t="shared" si="49"/>
        <v>0</v>
      </c>
      <c r="AV85" s="125"/>
      <c r="AW85" s="120" t="e">
        <f t="shared" si="50"/>
        <v>#DIV/0!</v>
      </c>
    </row>
    <row r="86" spans="1:49" hidden="1" outlineLevel="1">
      <c r="A86" s="114"/>
      <c r="B86" s="115"/>
      <c r="C86" s="115"/>
      <c r="D86" s="149"/>
      <c r="E86" s="118">
        <f t="shared" si="52"/>
        <v>0</v>
      </c>
      <c r="F86" s="117"/>
      <c r="G86" s="117"/>
      <c r="H86" s="117"/>
      <c r="I86" s="117"/>
      <c r="J86" s="117">
        <f t="shared" si="31"/>
        <v>0</v>
      </c>
      <c r="K86" s="114"/>
      <c r="L86" s="114"/>
      <c r="M86" s="114"/>
      <c r="N86" s="114"/>
      <c r="O86" s="117">
        <f t="shared" si="32"/>
        <v>0</v>
      </c>
      <c r="P86" s="117">
        <f t="shared" si="33"/>
        <v>0</v>
      </c>
      <c r="Q86" s="118"/>
      <c r="R86" s="118"/>
      <c r="S86" s="117">
        <f t="shared" si="34"/>
        <v>0</v>
      </c>
      <c r="T86" s="117"/>
      <c r="U86" s="117"/>
      <c r="V86" s="117">
        <f t="shared" si="35"/>
        <v>0</v>
      </c>
      <c r="W86" s="118"/>
      <c r="X86" s="118"/>
      <c r="Y86" s="117">
        <f t="shared" si="36"/>
        <v>0</v>
      </c>
      <c r="Z86" s="117">
        <f t="shared" ref="Z86:Z89" si="53">L86*M86*N86/100</f>
        <v>0</v>
      </c>
      <c r="AA86" s="119" t="e">
        <f t="shared" si="51"/>
        <v>#DIV/0!</v>
      </c>
      <c r="AB86" s="117">
        <f t="shared" si="38"/>
        <v>0</v>
      </c>
      <c r="AC86" s="118"/>
      <c r="AD86" s="119">
        <f t="shared" si="39"/>
        <v>0</v>
      </c>
      <c r="AE86" s="118"/>
      <c r="AF86" s="118"/>
      <c r="AG86" s="118"/>
      <c r="AH86" s="118"/>
      <c r="AI86" s="152" t="e">
        <f t="shared" si="40"/>
        <v>#DIV/0!</v>
      </c>
      <c r="AJ86" s="118"/>
      <c r="AK86" s="120">
        <f t="shared" si="41"/>
        <v>0</v>
      </c>
      <c r="AL86" s="121" t="e">
        <f t="shared" si="42"/>
        <v>#DIV/0!</v>
      </c>
      <c r="AM86" s="122"/>
      <c r="AN86" s="123">
        <f t="shared" si="43"/>
        <v>0</v>
      </c>
      <c r="AO86" s="124">
        <f t="shared" si="44"/>
        <v>0</v>
      </c>
      <c r="AP86" s="124">
        <f t="shared" si="45"/>
        <v>0</v>
      </c>
      <c r="AQ86" s="124">
        <f t="shared" si="46"/>
        <v>0</v>
      </c>
      <c r="AR86" s="124">
        <f t="shared" si="47"/>
        <v>0</v>
      </c>
      <c r="AS86" s="124" t="e">
        <f t="array" ref="AS86">_xlfn.IFS(S86=0,AL86,S86&lt;0,AL86/-S86,S86&gt;0,AL86/S86)</f>
        <v>#DIV/0!</v>
      </c>
      <c r="AT86" s="119">
        <f t="shared" si="48"/>
        <v>0</v>
      </c>
      <c r="AU86" s="119">
        <f t="shared" si="49"/>
        <v>0</v>
      </c>
      <c r="AV86" s="125"/>
      <c r="AW86" s="120" t="e">
        <f t="shared" si="50"/>
        <v>#DIV/0!</v>
      </c>
    </row>
    <row r="87" spans="1:49" hidden="1" outlineLevel="1">
      <c r="A87" s="114"/>
      <c r="B87" s="115"/>
      <c r="C87" s="115"/>
      <c r="D87" s="116"/>
      <c r="E87" s="117">
        <f t="shared" si="52"/>
        <v>0</v>
      </c>
      <c r="F87" s="117"/>
      <c r="G87" s="117"/>
      <c r="H87" s="117"/>
      <c r="I87" s="117"/>
      <c r="J87" s="117">
        <f t="shared" si="31"/>
        <v>0</v>
      </c>
      <c r="K87" s="114"/>
      <c r="L87" s="114"/>
      <c r="M87" s="114"/>
      <c r="N87" s="114"/>
      <c r="O87" s="117">
        <f t="shared" si="32"/>
        <v>0</v>
      </c>
      <c r="P87" s="117">
        <f t="shared" si="33"/>
        <v>0</v>
      </c>
      <c r="Q87" s="118"/>
      <c r="R87" s="118"/>
      <c r="S87" s="117">
        <f t="shared" si="34"/>
        <v>0</v>
      </c>
      <c r="T87" s="117"/>
      <c r="U87" s="117"/>
      <c r="V87" s="117">
        <f t="shared" si="35"/>
        <v>0</v>
      </c>
      <c r="W87" s="118"/>
      <c r="X87" s="118"/>
      <c r="Y87" s="117">
        <f t="shared" si="36"/>
        <v>0</v>
      </c>
      <c r="Z87" s="117">
        <f t="shared" si="53"/>
        <v>0</v>
      </c>
      <c r="AA87" s="119" t="e">
        <f t="shared" si="51"/>
        <v>#DIV/0!</v>
      </c>
      <c r="AB87" s="117">
        <f t="shared" si="38"/>
        <v>0</v>
      </c>
      <c r="AC87" s="118"/>
      <c r="AD87" s="119">
        <f t="shared" si="39"/>
        <v>0</v>
      </c>
      <c r="AE87" s="118"/>
      <c r="AF87" s="118"/>
      <c r="AG87" s="118"/>
      <c r="AH87" s="118"/>
      <c r="AI87" s="152" t="e">
        <f t="shared" si="40"/>
        <v>#DIV/0!</v>
      </c>
      <c r="AJ87" s="118"/>
      <c r="AK87" s="120">
        <f t="shared" si="41"/>
        <v>0</v>
      </c>
      <c r="AL87" s="121" t="e">
        <f t="shared" si="42"/>
        <v>#DIV/0!</v>
      </c>
      <c r="AM87" s="122"/>
      <c r="AN87" s="123">
        <f t="shared" si="43"/>
        <v>0</v>
      </c>
      <c r="AO87" s="124">
        <f t="shared" si="44"/>
        <v>0</v>
      </c>
      <c r="AP87" s="124">
        <f t="shared" si="45"/>
        <v>0</v>
      </c>
      <c r="AQ87" s="124">
        <f t="shared" si="46"/>
        <v>0</v>
      </c>
      <c r="AR87" s="124">
        <f t="shared" si="47"/>
        <v>0</v>
      </c>
      <c r="AS87" s="124" t="e">
        <f t="array" ref="AS87">_xlfn.IFS(S87=0,AL87,S87&lt;0,AL87/-S87,S87&gt;0,AL87/S87)</f>
        <v>#DIV/0!</v>
      </c>
      <c r="AT87" s="119">
        <f t="shared" si="48"/>
        <v>0</v>
      </c>
      <c r="AU87" s="119">
        <f t="shared" si="49"/>
        <v>0</v>
      </c>
      <c r="AV87" s="125"/>
      <c r="AW87" s="120" t="e">
        <f t="shared" si="50"/>
        <v>#DIV/0!</v>
      </c>
    </row>
    <row r="88" spans="1:49" hidden="1" outlineLevel="1">
      <c r="A88" s="114"/>
      <c r="B88" s="115"/>
      <c r="C88" s="115"/>
      <c r="D88" s="116"/>
      <c r="E88" s="117">
        <f t="shared" si="52"/>
        <v>0</v>
      </c>
      <c r="F88" s="117"/>
      <c r="G88" s="117"/>
      <c r="H88" s="117"/>
      <c r="I88" s="117"/>
      <c r="J88" s="117">
        <f t="shared" si="31"/>
        <v>0</v>
      </c>
      <c r="K88" s="114"/>
      <c r="L88" s="114"/>
      <c r="M88" s="114"/>
      <c r="N88" s="114"/>
      <c r="O88" s="117">
        <f t="shared" si="32"/>
        <v>0</v>
      </c>
      <c r="P88" s="117">
        <f t="shared" si="33"/>
        <v>0</v>
      </c>
      <c r="Q88" s="118"/>
      <c r="R88" s="118"/>
      <c r="S88" s="117">
        <f t="shared" si="34"/>
        <v>0</v>
      </c>
      <c r="T88" s="117"/>
      <c r="U88" s="117"/>
      <c r="V88" s="117">
        <f t="shared" si="35"/>
        <v>0</v>
      </c>
      <c r="W88" s="118"/>
      <c r="X88" s="118"/>
      <c r="Y88" s="117">
        <f t="shared" si="36"/>
        <v>0</v>
      </c>
      <c r="Z88" s="117">
        <f t="shared" si="53"/>
        <v>0</v>
      </c>
      <c r="AA88" s="119" t="e">
        <f t="shared" si="51"/>
        <v>#DIV/0!</v>
      </c>
      <c r="AB88" s="117">
        <f t="shared" si="38"/>
        <v>0</v>
      </c>
      <c r="AC88" s="118"/>
      <c r="AD88" s="119">
        <f t="shared" si="39"/>
        <v>0</v>
      </c>
      <c r="AE88" s="118"/>
      <c r="AF88" s="118"/>
      <c r="AG88" s="118"/>
      <c r="AH88" s="118"/>
      <c r="AI88" s="152" t="e">
        <f t="shared" si="40"/>
        <v>#DIV/0!</v>
      </c>
      <c r="AJ88" s="118"/>
      <c r="AK88" s="120">
        <f t="shared" si="41"/>
        <v>0</v>
      </c>
      <c r="AL88" s="121" t="e">
        <f t="shared" si="42"/>
        <v>#DIV/0!</v>
      </c>
      <c r="AM88" s="122"/>
      <c r="AN88" s="123">
        <f t="shared" si="43"/>
        <v>0</v>
      </c>
      <c r="AO88" s="124">
        <f t="shared" si="44"/>
        <v>0</v>
      </c>
      <c r="AP88" s="124">
        <f t="shared" si="45"/>
        <v>0</v>
      </c>
      <c r="AQ88" s="124">
        <f t="shared" si="46"/>
        <v>0</v>
      </c>
      <c r="AR88" s="124">
        <f t="shared" si="47"/>
        <v>0</v>
      </c>
      <c r="AS88" s="124" t="e">
        <f t="array" ref="AS88">_xlfn.IFS(S88=0,AL88,S88&lt;0,AL88/-S88,S88&gt;0,AL88/S88)</f>
        <v>#DIV/0!</v>
      </c>
      <c r="AT88" s="119">
        <f t="shared" si="48"/>
        <v>0</v>
      </c>
      <c r="AU88" s="119">
        <f t="shared" si="49"/>
        <v>0</v>
      </c>
      <c r="AV88" s="125"/>
      <c r="AW88" s="120" t="e">
        <f t="shared" si="50"/>
        <v>#DIV/0!</v>
      </c>
    </row>
    <row r="89" spans="1:49" hidden="1" outlineLevel="1">
      <c r="A89" s="114"/>
      <c r="B89" s="115"/>
      <c r="C89" s="115"/>
      <c r="D89" s="116"/>
      <c r="E89" s="117">
        <f t="shared" si="52"/>
        <v>0</v>
      </c>
      <c r="F89" s="117"/>
      <c r="G89" s="117"/>
      <c r="H89" s="117"/>
      <c r="I89" s="117"/>
      <c r="J89" s="117">
        <f t="shared" si="31"/>
        <v>0</v>
      </c>
      <c r="K89" s="114"/>
      <c r="L89" s="114"/>
      <c r="M89" s="114"/>
      <c r="N89" s="114"/>
      <c r="O89" s="117">
        <f t="shared" si="32"/>
        <v>0</v>
      </c>
      <c r="P89" s="117">
        <f t="shared" si="33"/>
        <v>0</v>
      </c>
      <c r="Q89" s="118"/>
      <c r="R89" s="118"/>
      <c r="S89" s="117">
        <f t="shared" si="34"/>
        <v>0</v>
      </c>
      <c r="T89" s="117"/>
      <c r="U89" s="117"/>
      <c r="V89" s="117">
        <f t="shared" si="35"/>
        <v>0</v>
      </c>
      <c r="W89" s="118"/>
      <c r="X89" s="118"/>
      <c r="Y89" s="117">
        <f t="shared" si="36"/>
        <v>0</v>
      </c>
      <c r="Z89" s="117">
        <f t="shared" si="53"/>
        <v>0</v>
      </c>
      <c r="AA89" s="119" t="e">
        <f t="shared" si="51"/>
        <v>#DIV/0!</v>
      </c>
      <c r="AB89" s="117">
        <f t="shared" si="38"/>
        <v>0</v>
      </c>
      <c r="AC89" s="118"/>
      <c r="AD89" s="119">
        <f t="shared" si="39"/>
        <v>0</v>
      </c>
      <c r="AE89" s="118"/>
      <c r="AF89" s="118"/>
      <c r="AG89" s="118"/>
      <c r="AH89" s="118"/>
      <c r="AI89" s="152" t="e">
        <f t="shared" si="40"/>
        <v>#DIV/0!</v>
      </c>
      <c r="AJ89" s="118"/>
      <c r="AK89" s="120">
        <f t="shared" si="41"/>
        <v>0</v>
      </c>
      <c r="AL89" s="121" t="e">
        <f t="shared" si="42"/>
        <v>#DIV/0!</v>
      </c>
      <c r="AM89" s="122"/>
      <c r="AN89" s="123">
        <f t="shared" si="43"/>
        <v>0</v>
      </c>
      <c r="AO89" s="124">
        <f t="shared" si="44"/>
        <v>0</v>
      </c>
      <c r="AP89" s="124">
        <f t="shared" si="45"/>
        <v>0</v>
      </c>
      <c r="AQ89" s="124">
        <f t="shared" si="46"/>
        <v>0</v>
      </c>
      <c r="AR89" s="124">
        <f t="shared" si="47"/>
        <v>0</v>
      </c>
      <c r="AS89" s="124" t="e">
        <f t="array" ref="AS89">_xlfn.IFS(S89=0,AL89,S89&lt;0,AL89/-S89,S89&gt;0,AL89/S89)</f>
        <v>#DIV/0!</v>
      </c>
      <c r="AT89" s="119">
        <f t="shared" si="48"/>
        <v>0</v>
      </c>
      <c r="AU89" s="119">
        <f t="shared" si="49"/>
        <v>0</v>
      </c>
      <c r="AV89" s="125"/>
      <c r="AW89" s="120" t="e">
        <f t="shared" si="50"/>
        <v>#DIV/0!</v>
      </c>
    </row>
    <row r="90" spans="1:49" collapsed="1">
      <c r="A90" s="158"/>
      <c r="B90" s="126"/>
      <c r="C90" s="114"/>
      <c r="D90" s="158"/>
      <c r="E90" s="117"/>
      <c r="F90" s="117"/>
      <c r="G90" s="117"/>
      <c r="H90" s="117"/>
      <c r="I90" s="117"/>
      <c r="J90" s="117"/>
      <c r="K90" s="159"/>
      <c r="L90" s="160"/>
      <c r="M90" s="160"/>
      <c r="N90" s="160"/>
      <c r="O90" s="159"/>
      <c r="P90" s="159"/>
      <c r="Q90" s="117"/>
      <c r="R90" s="117"/>
      <c r="S90" s="117"/>
      <c r="T90" s="117"/>
      <c r="U90" s="117"/>
      <c r="V90" s="117"/>
      <c r="W90" s="117"/>
      <c r="X90" s="117"/>
      <c r="Y90" s="117"/>
      <c r="Z90" s="117"/>
      <c r="AA90" s="119"/>
      <c r="AB90" s="117"/>
      <c r="AC90" s="117"/>
      <c r="AD90" s="119"/>
      <c r="AE90" s="117"/>
      <c r="AF90" s="118"/>
      <c r="AG90" s="118"/>
      <c r="AH90" s="118"/>
      <c r="AI90" s="152"/>
      <c r="AJ90" s="118"/>
      <c r="AK90" s="120"/>
      <c r="AL90" s="121"/>
      <c r="AM90" s="122"/>
      <c r="AN90" s="161">
        <f>AVERAGE(AN38:AN89)</f>
        <v>0</v>
      </c>
      <c r="AO90" s="161">
        <f t="shared" ref="AO90:AU90" si="54">AVERAGE(AO38:AO89)</f>
        <v>0</v>
      </c>
      <c r="AP90" s="161">
        <f t="shared" si="54"/>
        <v>0</v>
      </c>
      <c r="AQ90" s="161">
        <f t="shared" si="54"/>
        <v>0</v>
      </c>
      <c r="AR90" s="161">
        <f t="shared" si="54"/>
        <v>0</v>
      </c>
      <c r="AS90" s="161" t="e">
        <f t="shared" si="54"/>
        <v>#DIV/0!</v>
      </c>
      <c r="AT90" s="162">
        <f t="shared" si="54"/>
        <v>0</v>
      </c>
      <c r="AU90" s="162">
        <f t="shared" si="54"/>
        <v>0</v>
      </c>
      <c r="AV90" s="125"/>
      <c r="AW90" s="120"/>
    </row>
    <row r="91" spans="1:49" s="171" customFormat="1" ht="15" customHeight="1">
      <c r="A91" s="163" t="s">
        <v>107</v>
      </c>
      <c r="B91" s="164"/>
      <c r="C91" s="165"/>
      <c r="D91" s="165"/>
      <c r="E91" s="165">
        <f>SUM(E38:E89)</f>
        <v>0</v>
      </c>
      <c r="F91" s="165">
        <f>SUM(F38:F89)</f>
        <v>0</v>
      </c>
      <c r="G91" s="165">
        <f>SUM(G38:G89)</f>
        <v>0</v>
      </c>
      <c r="H91" s="165">
        <f>SUM(H38:H89)</f>
        <v>0</v>
      </c>
      <c r="I91" s="165"/>
      <c r="J91" s="165">
        <f>SUM(J38:J89)</f>
        <v>0</v>
      </c>
      <c r="K91" s="165"/>
      <c r="L91" s="165">
        <f>SUM(L38:L89)</f>
        <v>0</v>
      </c>
      <c r="M91" s="165"/>
      <c r="N91" s="165"/>
      <c r="O91" s="165"/>
      <c r="P91" s="165"/>
      <c r="Q91" s="165">
        <f t="shared" ref="Q91:AC91" si="55">SUM(Q38:Q89)</f>
        <v>0</v>
      </c>
      <c r="R91" s="165">
        <f t="shared" si="55"/>
        <v>0</v>
      </c>
      <c r="S91" s="165">
        <f t="shared" si="55"/>
        <v>0</v>
      </c>
      <c r="T91" s="165">
        <f t="shared" si="55"/>
        <v>0</v>
      </c>
      <c r="U91" s="165">
        <f t="shared" si="55"/>
        <v>0</v>
      </c>
      <c r="V91" s="165">
        <f t="shared" si="55"/>
        <v>0</v>
      </c>
      <c r="W91" s="165">
        <f t="shared" si="55"/>
        <v>0</v>
      </c>
      <c r="X91" s="165">
        <f t="shared" si="55"/>
        <v>0</v>
      </c>
      <c r="Y91" s="165">
        <f t="shared" si="55"/>
        <v>0</v>
      </c>
      <c r="Z91" s="165">
        <f t="shared" si="55"/>
        <v>0</v>
      </c>
      <c r="AA91" s="166" t="e">
        <f t="shared" si="55"/>
        <v>#DIV/0!</v>
      </c>
      <c r="AB91" s="167">
        <f t="shared" si="55"/>
        <v>0</v>
      </c>
      <c r="AC91" s="165">
        <f t="shared" si="55"/>
        <v>0</v>
      </c>
      <c r="AD91" s="166" t="e">
        <f>AC91/Y91</f>
        <v>#DIV/0!</v>
      </c>
      <c r="AE91" s="165">
        <f t="shared" ref="AE91:AK91" si="56">SUM(AE38:AE89)</f>
        <v>0</v>
      </c>
      <c r="AF91" s="165">
        <f t="shared" si="56"/>
        <v>0</v>
      </c>
      <c r="AG91" s="165">
        <f>SUM(AG38:AG89)</f>
        <v>0</v>
      </c>
      <c r="AH91" s="165">
        <f>SUM(AH38:AH89)</f>
        <v>0</v>
      </c>
      <c r="AI91" s="168" t="e">
        <f>SUM(AI38:AI89)</f>
        <v>#DIV/0!</v>
      </c>
      <c r="AJ91" s="165">
        <f t="shared" si="56"/>
        <v>0</v>
      </c>
      <c r="AK91" s="165">
        <f t="shared" si="56"/>
        <v>0</v>
      </c>
      <c r="AL91" s="165" t="e">
        <f>SUM(AL38:AL89)</f>
        <v>#DIV/0!</v>
      </c>
      <c r="AM91" s="169"/>
      <c r="AN91" s="165"/>
      <c r="AO91" s="165"/>
      <c r="AP91" s="165"/>
      <c r="AQ91" s="165"/>
      <c r="AR91" s="165" t="e">
        <f>(AF91+AG91)/Q91</f>
        <v>#DIV/0!</v>
      </c>
      <c r="AS91" s="165"/>
      <c r="AT91" s="165"/>
      <c r="AU91" s="165"/>
      <c r="AV91" s="170"/>
      <c r="AW91" s="165" t="e">
        <f>SUM(AW38:AW89)</f>
        <v>#DIV/0!</v>
      </c>
    </row>
    <row r="92" spans="1:49" s="175" customFormat="1">
      <c r="A92" s="172"/>
      <c r="B92" s="173"/>
      <c r="C92" s="174"/>
      <c r="D92" s="174"/>
      <c r="L92" s="176"/>
      <c r="M92" s="176"/>
      <c r="N92" s="176"/>
      <c r="P92" s="177"/>
      <c r="Q92" s="178"/>
      <c r="R92" s="178"/>
      <c r="S92" s="179"/>
      <c r="T92" s="179"/>
      <c r="U92" s="179"/>
      <c r="V92" s="179"/>
      <c r="W92" s="178"/>
      <c r="X92" s="179"/>
      <c r="Y92" s="179"/>
      <c r="Z92" s="179"/>
      <c r="AC92" s="180"/>
      <c r="AE92" s="178"/>
      <c r="AF92" s="347"/>
      <c r="AG92" s="347"/>
      <c r="AH92" s="282"/>
      <c r="AI92" s="182"/>
      <c r="AJ92" s="183"/>
      <c r="AM92" s="184"/>
      <c r="AN92" s="176"/>
      <c r="AO92" s="176"/>
      <c r="AP92" s="176"/>
      <c r="AQ92" s="176"/>
      <c r="AR92" s="176"/>
      <c r="AS92" s="176"/>
      <c r="AT92" s="176"/>
      <c r="AU92" s="176"/>
      <c r="AV92" s="185"/>
    </row>
    <row r="93" spans="1:49" s="194" customFormat="1">
      <c r="A93" s="186" t="s">
        <v>7</v>
      </c>
      <c r="B93" s="187"/>
      <c r="C93" s="188"/>
      <c r="D93" s="188"/>
      <c r="E93" s="188">
        <f t="shared" ref="E93:AC93" si="57">E36+E91</f>
        <v>0</v>
      </c>
      <c r="F93" s="188">
        <f t="shared" si="57"/>
        <v>0</v>
      </c>
      <c r="G93" s="188">
        <f t="shared" si="57"/>
        <v>0</v>
      </c>
      <c r="H93" s="188">
        <f t="shared" si="57"/>
        <v>0</v>
      </c>
      <c r="I93" s="188">
        <f t="shared" si="57"/>
        <v>0</v>
      </c>
      <c r="J93" s="188">
        <f t="shared" si="57"/>
        <v>0</v>
      </c>
      <c r="K93" s="188">
        <f t="shared" si="57"/>
        <v>0</v>
      </c>
      <c r="L93" s="188">
        <f t="shared" si="57"/>
        <v>0</v>
      </c>
      <c r="M93" s="188">
        <f t="shared" si="57"/>
        <v>0</v>
      </c>
      <c r="N93" s="188">
        <f t="shared" si="57"/>
        <v>0</v>
      </c>
      <c r="O93" s="188">
        <f t="shared" si="57"/>
        <v>0</v>
      </c>
      <c r="P93" s="188">
        <f t="shared" si="57"/>
        <v>0</v>
      </c>
      <c r="Q93" s="188">
        <f t="shared" si="57"/>
        <v>0</v>
      </c>
      <c r="R93" s="188">
        <f t="shared" si="57"/>
        <v>0</v>
      </c>
      <c r="S93" s="188">
        <f t="shared" si="57"/>
        <v>0</v>
      </c>
      <c r="T93" s="188">
        <f t="shared" si="57"/>
        <v>0</v>
      </c>
      <c r="U93" s="188">
        <f t="shared" si="57"/>
        <v>0</v>
      </c>
      <c r="V93" s="188">
        <f t="shared" si="57"/>
        <v>0</v>
      </c>
      <c r="W93" s="188">
        <f t="shared" si="57"/>
        <v>0</v>
      </c>
      <c r="X93" s="188">
        <f t="shared" si="57"/>
        <v>0</v>
      </c>
      <c r="Y93" s="188">
        <f t="shared" si="57"/>
        <v>0</v>
      </c>
      <c r="Z93" s="188">
        <f t="shared" si="57"/>
        <v>0</v>
      </c>
      <c r="AA93" s="189" t="e">
        <f t="shared" si="57"/>
        <v>#DIV/0!</v>
      </c>
      <c r="AB93" s="190">
        <f t="shared" si="57"/>
        <v>0</v>
      </c>
      <c r="AC93" s="188">
        <f t="shared" si="57"/>
        <v>0</v>
      </c>
      <c r="AD93" s="189" t="e">
        <f>AC93/Y93</f>
        <v>#DIV/0!</v>
      </c>
      <c r="AE93" s="190">
        <f>AE36+AE91</f>
        <v>0</v>
      </c>
      <c r="AF93" s="191">
        <f>AF36+AF91</f>
        <v>0</v>
      </c>
      <c r="AG93" s="191">
        <f>AG36+AG91</f>
        <v>0</v>
      </c>
      <c r="AH93" s="191">
        <f>AH36+AH91</f>
        <v>0</v>
      </c>
      <c r="AI93" s="192"/>
      <c r="AJ93" s="188">
        <f>AJ36+AJ91</f>
        <v>0</v>
      </c>
      <c r="AK93" s="188">
        <f>AK36+AK91</f>
        <v>0</v>
      </c>
      <c r="AL93" s="188" t="e">
        <f>AL36+AL91</f>
        <v>#DIV/0!</v>
      </c>
      <c r="AM93" s="188"/>
      <c r="AN93" s="188"/>
      <c r="AO93" s="188"/>
      <c r="AP93" s="188"/>
      <c r="AQ93" s="188"/>
      <c r="AR93" s="188" t="e">
        <f>(AF93+AG93)/Q93</f>
        <v>#DIV/0!</v>
      </c>
      <c r="AS93" s="188"/>
      <c r="AT93" s="188"/>
      <c r="AU93" s="188"/>
      <c r="AV93" s="193"/>
      <c r="AW93" s="188" t="e">
        <f>AW36+AW91</f>
        <v>#DIV/0!</v>
      </c>
    </row>
    <row r="94" spans="1:49" s="175" customFormat="1">
      <c r="A94" s="174"/>
      <c r="B94" s="173"/>
      <c r="C94" s="195"/>
      <c r="D94" s="174"/>
      <c r="L94" s="176"/>
      <c r="M94" s="176"/>
      <c r="N94" s="176"/>
      <c r="P94" s="177"/>
      <c r="Q94" s="178"/>
      <c r="R94" s="178"/>
      <c r="S94" s="179"/>
      <c r="T94" s="179"/>
      <c r="U94" s="179"/>
      <c r="V94" s="179"/>
      <c r="W94" s="178"/>
      <c r="X94" s="179"/>
      <c r="Y94" s="179"/>
      <c r="Z94" s="179"/>
      <c r="AC94" s="180"/>
      <c r="AE94" s="196"/>
      <c r="AF94" s="347">
        <f>AF37+AF92</f>
        <v>0</v>
      </c>
      <c r="AG94" s="347"/>
      <c r="AH94" s="282"/>
      <c r="AI94" s="182"/>
      <c r="AJ94" s="183"/>
      <c r="AM94" s="184"/>
      <c r="AN94" s="184"/>
      <c r="AO94" s="184"/>
      <c r="AP94" s="184"/>
      <c r="AQ94" s="184"/>
      <c r="AR94" s="184"/>
      <c r="AS94" s="184"/>
      <c r="AT94" s="184"/>
      <c r="AU94" s="184"/>
      <c r="AV94" s="185"/>
    </row>
    <row r="95" spans="1:49">
      <c r="C95" s="198"/>
      <c r="D95" s="198"/>
    </row>
    <row r="96" spans="1:49">
      <c r="C96" s="198"/>
      <c r="D96" s="198"/>
    </row>
  </sheetData>
  <mergeCells count="10">
    <mergeCell ref="AF92:AG92"/>
    <mergeCell ref="AF94:AG94"/>
    <mergeCell ref="AN1:AU1"/>
    <mergeCell ref="F1:H1"/>
    <mergeCell ref="L1:N1"/>
    <mergeCell ref="Q1:R1"/>
    <mergeCell ref="T1:U1"/>
    <mergeCell ref="W1:X1"/>
    <mergeCell ref="AF1:AG1"/>
    <mergeCell ref="AF37:AG37"/>
  </mergeCells>
  <conditionalFormatting sqref="K90:M90 K37:K89 K3:K35">
    <cfRule type="cellIs" dxfId="34" priority="3" operator="greaterThan">
      <formula>120</formula>
    </cfRule>
  </conditionalFormatting>
  <conditionalFormatting sqref="O90">
    <cfRule type="cellIs" dxfId="33" priority="2" operator="between">
      <formula>0.000001</formula>
      <formula>25</formula>
    </cfRule>
  </conditionalFormatting>
  <conditionalFormatting sqref="AA92 AA94:AA1048576">
    <cfRule type="cellIs" dxfId="32" priority="4" operator="greaterThan">
      <formula>0.23</formula>
    </cfRule>
  </conditionalFormatting>
  <conditionalFormatting sqref="AA1">
    <cfRule type="cellIs" dxfId="31" priority="1" operator="greaterThan">
      <formula>0.23</formula>
    </cfRule>
  </conditionalFormatting>
  <conditionalFormatting sqref="Y37:AA90 Y3:AA35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{6E8BE2B2-A450-4D90-A056-F0717D9E9C84}</x14:id>
        </ext>
      </extLst>
    </cfRule>
  </conditionalFormatting>
  <conditionalFormatting sqref="AS37:AS89 AS3:AS34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{583E7069-3613-411E-8BD7-54D2B5FC696F}</x14:id>
        </ext>
      </extLst>
    </cfRule>
  </conditionalFormatting>
  <conditionalFormatting sqref="AT37:AU89 AT3:AU34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{F50E7524-70D0-40B3-89EF-BBF966E05636}</x14:id>
        </ext>
      </extLst>
    </cfRule>
  </conditionalFormatting>
  <conditionalFormatting sqref="AW37:AW90 AW3:AW35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{264DD9D4-CCB7-45C4-B10B-BDADE3490E49}</x14:id>
        </ext>
      </extLst>
    </cfRule>
  </conditionalFormatting>
  <conditionalFormatting sqref="AA37:AA89 AA3:AA35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{D2B6D2EB-6745-44B7-A8DA-E64AB7B12907}</x14:id>
        </ext>
      </extLst>
    </cfRule>
  </conditionalFormatting>
  <conditionalFormatting sqref="AW37:AW89 AW3:AW35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{FF664A8E-8E8E-4297-A7C6-C4A09D60C805}</x14:id>
        </ext>
      </extLst>
    </cfRule>
  </conditionalFormatting>
  <conditionalFormatting sqref="AL37:AL90 AL3:AL35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{8A352A64-FDF1-4C52-B728-8726DF1BCD5C}</x14:id>
        </ext>
      </extLst>
    </cfRule>
  </conditionalFormatting>
  <conditionalFormatting sqref="AL37:AL89 AL3:AL35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{1FA0B61C-1E70-4E63-8321-AECEB64B978A}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E8BE2B2-A450-4D90-A056-F0717D9E9C8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Y37:AA90 Y3:AA35</xm:sqref>
        </x14:conditionalFormatting>
        <x14:conditionalFormatting xmlns:xm="http://schemas.microsoft.com/office/excel/2006/main">
          <x14:cfRule type="dataBar" id="{583E7069-3613-411E-8BD7-54D2B5FC696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AS37:AS89 AS3:AS34</xm:sqref>
        </x14:conditionalFormatting>
        <x14:conditionalFormatting xmlns:xm="http://schemas.microsoft.com/office/excel/2006/main">
          <x14:cfRule type="dataBar" id="{F50E7524-70D0-40B3-89EF-BBF966E0563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AT37:AU89 AT3:AU34</xm:sqref>
        </x14:conditionalFormatting>
        <x14:conditionalFormatting xmlns:xm="http://schemas.microsoft.com/office/excel/2006/main">
          <x14:cfRule type="dataBar" id="{264DD9D4-CCB7-45C4-B10B-BDADE3490E4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AW37:AW90 AW3:AW35</xm:sqref>
        </x14:conditionalFormatting>
        <x14:conditionalFormatting xmlns:xm="http://schemas.microsoft.com/office/excel/2006/main">
          <x14:cfRule type="dataBar" id="{D2B6D2EB-6745-44B7-A8DA-E64AB7B1290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AA37:AA89 AA3:AA35</xm:sqref>
        </x14:conditionalFormatting>
        <x14:conditionalFormatting xmlns:xm="http://schemas.microsoft.com/office/excel/2006/main">
          <x14:cfRule type="dataBar" id="{FF664A8E-8E8E-4297-A7C6-C4A09D60C80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AW37:AW89 AW3:AW35</xm:sqref>
        </x14:conditionalFormatting>
        <x14:conditionalFormatting xmlns:xm="http://schemas.microsoft.com/office/excel/2006/main">
          <x14:cfRule type="dataBar" id="{8A352A64-FDF1-4C52-B728-8726DF1BCD5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AL37:AL90 AL3:AL35</xm:sqref>
        </x14:conditionalFormatting>
        <x14:conditionalFormatting xmlns:xm="http://schemas.microsoft.com/office/excel/2006/main">
          <x14:cfRule type="dataBar" id="{1FA0B61C-1E70-4E63-8321-AECEB64B978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AL37:AL89 AL3:AL35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B7B24-C3DC-4273-AFFA-A978C8B48CE0}">
  <dimension ref="A1:AW96"/>
  <sheetViews>
    <sheetView tabSelected="1" zoomScale="70" zoomScaleNormal="70" workbookViewId="0">
      <pane xSplit="3" ySplit="2" topLeftCell="D18" activePane="bottomRight" state="frozen"/>
      <selection pane="topRight" activeCell="D1" sqref="D1"/>
      <selection pane="bottomLeft" activeCell="A3" sqref="A3"/>
      <selection pane="bottomRight" activeCell="L15" sqref="L15"/>
    </sheetView>
  </sheetViews>
  <sheetFormatPr defaultColWidth="12.54296875" defaultRowHeight="14.5" outlineLevelRow="1"/>
  <cols>
    <col min="1" max="1" width="9.08984375" style="197" customWidth="1"/>
    <col min="2" max="2" width="12.54296875" style="202"/>
    <col min="3" max="3" width="19.90625" style="197" customWidth="1"/>
    <col min="4" max="4" width="16.6328125" style="197" customWidth="1"/>
    <col min="5" max="5" width="12.36328125" style="126" customWidth="1"/>
    <col min="6" max="6" width="10.90625" style="126" customWidth="1"/>
    <col min="7" max="8" width="12.36328125" style="126" customWidth="1"/>
    <col min="9" max="9" width="13.36328125" style="126" customWidth="1"/>
    <col min="10" max="10" width="14.1796875" style="126" customWidth="1"/>
    <col min="11" max="11" width="14.26953125" style="126" customWidth="1"/>
    <col min="12" max="12" width="13.6328125" style="126" customWidth="1"/>
    <col min="13" max="13" width="15.08984375" style="126" customWidth="1"/>
    <col min="14" max="14" width="14.54296875" style="126" customWidth="1"/>
    <col min="15" max="16" width="11" style="126" customWidth="1"/>
    <col min="17" max="17" width="11.1796875" style="126" customWidth="1"/>
    <col min="18" max="18" width="12.08984375" style="126" customWidth="1"/>
    <col min="19" max="22" width="11.26953125" style="199" customWidth="1"/>
    <col min="23" max="23" width="13.1796875" style="199" customWidth="1"/>
    <col min="24" max="24" width="12.36328125" style="199" customWidth="1"/>
    <col min="25" max="25" width="20.7265625" style="199" customWidth="1"/>
    <col min="26" max="26" width="15.90625" style="199" customWidth="1"/>
    <col min="27" max="27" width="13.36328125" style="200" customWidth="1"/>
    <col min="28" max="28" width="14.453125" style="126" customWidth="1"/>
    <col min="29" max="29" width="17.81640625" style="126" customWidth="1"/>
    <col min="30" max="30" width="14.26953125" style="126" customWidth="1"/>
    <col min="31" max="31" width="19.08984375" style="126" customWidth="1"/>
    <col min="32" max="34" width="10.36328125" style="117" customWidth="1"/>
    <col min="35" max="35" width="18.08984375" style="201" customWidth="1"/>
    <col min="36" max="36" width="18.6328125" style="117" customWidth="1"/>
    <col min="37" max="37" width="12.54296875" style="126"/>
    <col min="38" max="38" width="18.90625" style="126" customWidth="1"/>
    <col min="39" max="39" width="3.08984375" style="126" customWidth="1"/>
    <col min="40" max="40" width="19.90625" style="126" customWidth="1"/>
    <col min="41" max="41" width="14.26953125" style="126" customWidth="1"/>
    <col min="42" max="42" width="9.6328125" style="126" customWidth="1"/>
    <col min="43" max="43" width="11.1796875" style="126" customWidth="1"/>
    <col min="44" max="44" width="9.54296875" style="126" customWidth="1"/>
    <col min="45" max="45" width="10.1796875" style="126" customWidth="1"/>
    <col min="46" max="46" width="11.7265625" style="126" customWidth="1"/>
    <col min="47" max="47" width="12.54296875" style="126"/>
    <col min="48" max="48" width="3.36328125" style="140" customWidth="1"/>
    <col min="49" max="16384" width="12.54296875" style="126"/>
  </cols>
  <sheetData>
    <row r="1" spans="1:49" s="95" customFormat="1" ht="16" customHeight="1">
      <c r="A1" s="92" t="s">
        <v>164</v>
      </c>
      <c r="B1" s="93"/>
      <c r="C1" s="92"/>
      <c r="D1" s="92"/>
      <c r="E1" s="94"/>
      <c r="F1" s="348" t="s">
        <v>47</v>
      </c>
      <c r="G1" s="348"/>
      <c r="H1" s="348"/>
      <c r="K1" s="258" t="s">
        <v>48</v>
      </c>
      <c r="L1" s="348" t="s">
        <v>49</v>
      </c>
      <c r="M1" s="348"/>
      <c r="N1" s="348"/>
      <c r="P1" s="96"/>
      <c r="Q1" s="349"/>
      <c r="R1" s="349"/>
      <c r="S1" s="240"/>
      <c r="T1" s="350"/>
      <c r="U1" s="351"/>
      <c r="V1" s="240"/>
      <c r="W1" s="349"/>
      <c r="X1" s="349"/>
      <c r="Y1" s="96"/>
      <c r="Z1" s="96"/>
      <c r="AA1" s="96"/>
      <c r="AB1" s="96"/>
      <c r="AC1" s="239"/>
      <c r="AD1" s="240"/>
      <c r="AE1" s="239"/>
      <c r="AF1" s="352"/>
      <c r="AG1" s="352"/>
      <c r="AH1" s="259"/>
      <c r="AI1" s="97" t="s">
        <v>50</v>
      </c>
      <c r="AJ1" s="239"/>
      <c r="AM1" s="98"/>
      <c r="AN1" s="343" t="s">
        <v>51</v>
      </c>
      <c r="AO1" s="344"/>
      <c r="AP1" s="344"/>
      <c r="AQ1" s="344"/>
      <c r="AR1" s="344"/>
      <c r="AS1" s="344"/>
      <c r="AT1" s="344"/>
      <c r="AU1" s="345"/>
      <c r="AV1" s="99"/>
    </row>
    <row r="2" spans="1:49" s="113" customFormat="1" ht="50.5" customHeight="1">
      <c r="A2" s="100" t="s">
        <v>52</v>
      </c>
      <c r="B2" s="101" t="s">
        <v>53</v>
      </c>
      <c r="C2" s="100" t="s">
        <v>54</v>
      </c>
      <c r="D2" s="100" t="s">
        <v>55</v>
      </c>
      <c r="E2" s="100" t="s">
        <v>194</v>
      </c>
      <c r="F2" s="102" t="s">
        <v>57</v>
      </c>
      <c r="G2" s="102" t="s">
        <v>58</v>
      </c>
      <c r="H2" s="102" t="s">
        <v>59</v>
      </c>
      <c r="I2" s="100" t="s">
        <v>60</v>
      </c>
      <c r="J2" s="100" t="s">
        <v>61</v>
      </c>
      <c r="K2" s="103" t="s">
        <v>62</v>
      </c>
      <c r="L2" s="103" t="s">
        <v>63</v>
      </c>
      <c r="M2" s="103" t="s">
        <v>64</v>
      </c>
      <c r="N2" s="103" t="s">
        <v>65</v>
      </c>
      <c r="O2" s="104" t="s">
        <v>66</v>
      </c>
      <c r="P2" s="104" t="s">
        <v>67</v>
      </c>
      <c r="Q2" s="105" t="s">
        <v>68</v>
      </c>
      <c r="R2" s="105" t="s">
        <v>69</v>
      </c>
      <c r="S2" s="100" t="s">
        <v>70</v>
      </c>
      <c r="T2" s="102" t="s">
        <v>71</v>
      </c>
      <c r="U2" s="102" t="s">
        <v>72</v>
      </c>
      <c r="V2" s="106" t="s">
        <v>73</v>
      </c>
      <c r="W2" s="105" t="s">
        <v>74</v>
      </c>
      <c r="X2" s="105" t="s">
        <v>75</v>
      </c>
      <c r="Y2" s="107" t="s">
        <v>76</v>
      </c>
      <c r="Z2" s="108" t="s">
        <v>77</v>
      </c>
      <c r="AA2" s="107" t="s">
        <v>78</v>
      </c>
      <c r="AB2" s="107" t="s">
        <v>18</v>
      </c>
      <c r="AC2" s="109" t="s">
        <v>79</v>
      </c>
      <c r="AD2" s="110" t="s">
        <v>80</v>
      </c>
      <c r="AE2" s="105" t="s">
        <v>8</v>
      </c>
      <c r="AF2" s="104" t="s">
        <v>25</v>
      </c>
      <c r="AG2" s="104" t="s">
        <v>26</v>
      </c>
      <c r="AH2" s="104" t="s">
        <v>27</v>
      </c>
      <c r="AI2" s="105" t="s">
        <v>9</v>
      </c>
      <c r="AJ2" s="105" t="s">
        <v>81</v>
      </c>
      <c r="AK2" s="100" t="s">
        <v>82</v>
      </c>
      <c r="AL2" s="100" t="s">
        <v>11</v>
      </c>
      <c r="AM2" s="111"/>
      <c r="AN2" s="110" t="s">
        <v>83</v>
      </c>
      <c r="AO2" s="110" t="s">
        <v>84</v>
      </c>
      <c r="AP2" s="110" t="s">
        <v>85</v>
      </c>
      <c r="AQ2" s="110" t="s">
        <v>86</v>
      </c>
      <c r="AR2" s="110" t="s">
        <v>87</v>
      </c>
      <c r="AS2" s="110" t="s">
        <v>88</v>
      </c>
      <c r="AT2" s="110" t="s">
        <v>89</v>
      </c>
      <c r="AU2" s="110" t="s">
        <v>90</v>
      </c>
      <c r="AV2" s="112"/>
      <c r="AW2" s="100" t="s">
        <v>91</v>
      </c>
    </row>
    <row r="3" spans="1:49" outlineLevel="1">
      <c r="A3" s="114"/>
      <c r="B3" s="115">
        <v>341479791</v>
      </c>
      <c r="C3" s="115" t="s">
        <v>92</v>
      </c>
      <c r="D3" s="116" t="s">
        <v>93</v>
      </c>
      <c r="E3" s="117">
        <f>F3+G3+H3</f>
        <v>388</v>
      </c>
      <c r="F3" s="117">
        <v>55</v>
      </c>
      <c r="G3" s="117">
        <v>14</v>
      </c>
      <c r="H3" s="117">
        <v>319</v>
      </c>
      <c r="I3" s="117">
        <v>142.97999999999999</v>
      </c>
      <c r="J3" s="117">
        <f t="shared" ref="J3:J15" si="0">E3*I3</f>
        <v>55476.24</v>
      </c>
      <c r="K3" s="114">
        <v>58</v>
      </c>
      <c r="L3" s="114">
        <v>73</v>
      </c>
      <c r="M3" s="114">
        <v>1238</v>
      </c>
      <c r="N3" s="114">
        <v>67</v>
      </c>
      <c r="O3" s="213">
        <f t="shared" ref="O3:O15" si="1">L3/7</f>
        <v>10.428571428571429</v>
      </c>
      <c r="P3" s="117">
        <f t="shared" ref="P3" si="2">S3/7</f>
        <v>7.1428571428571432</v>
      </c>
      <c r="Q3" s="118">
        <v>51</v>
      </c>
      <c r="R3" s="118">
        <v>-1</v>
      </c>
      <c r="S3" s="117">
        <f>Q3+R3</f>
        <v>50</v>
      </c>
      <c r="T3" s="118">
        <v>39799.06</v>
      </c>
      <c r="U3" s="118">
        <v>-753</v>
      </c>
      <c r="V3" s="117">
        <f>T3+U3</f>
        <v>39046.06</v>
      </c>
      <c r="W3" s="118">
        <v>63138.92</v>
      </c>
      <c r="X3" s="118">
        <v>-1238</v>
      </c>
      <c r="Y3" s="117">
        <f t="shared" ref="Y3" si="3">W3+X3</f>
        <v>61900.92</v>
      </c>
      <c r="Z3" s="117">
        <f>L3*M3*N3/100</f>
        <v>60550.58</v>
      </c>
      <c r="AA3" s="119">
        <f t="shared" ref="AA3" si="4">Y3/$Y$93</f>
        <v>0.26694347877123648</v>
      </c>
      <c r="AB3" s="117">
        <f>S3*I3</f>
        <v>7148.9999999999991</v>
      </c>
      <c r="AC3" s="118">
        <v>22440.450000000004</v>
      </c>
      <c r="AD3" s="119">
        <f t="shared" ref="AD3" si="5">IF(Y3=0,0,AC3/Y3)</f>
        <v>0.36252207560081506</v>
      </c>
      <c r="AE3" s="118">
        <v>5848.3899999999976</v>
      </c>
      <c r="AF3" s="118">
        <v>3000</v>
      </c>
      <c r="AG3" s="118">
        <v>5657</v>
      </c>
      <c r="AH3" s="118"/>
      <c r="AI3" s="152">
        <f t="shared" ref="AI3" si="6">IFERROR($AI$93*H3/$H$93,0)</f>
        <v>187.08168824443294</v>
      </c>
      <c r="AJ3" s="118">
        <v>0</v>
      </c>
      <c r="AK3" s="120">
        <f>V3*1%</f>
        <v>390.4606</v>
      </c>
      <c r="AL3" s="121">
        <f>Y3-AB3-AC3-AE3-AF3-AG3-AH3-AI3-AK3-AJ3</f>
        <v>17228.537711755562</v>
      </c>
      <c r="AM3" s="122"/>
      <c r="AN3" s="123">
        <f t="shared" ref="AN3:AN15" si="7">IF(S3=0,0,Y3/S3)</f>
        <v>1238.0183999999999</v>
      </c>
      <c r="AO3" s="124">
        <f t="shared" ref="AO3:AO15" si="8">I3</f>
        <v>142.97999999999999</v>
      </c>
      <c r="AP3" s="124">
        <f t="shared" ref="AP3:AP15" si="9">IF(S3=0,0,AC3/S3)</f>
        <v>448.80900000000008</v>
      </c>
      <c r="AQ3" s="124">
        <f>IF(Q3=0,AE3/1,AE3/Q3)</f>
        <v>114.67431372549015</v>
      </c>
      <c r="AR3" s="124">
        <f>IF(Q3=0,0,(AF3+AG3)/Q3)</f>
        <v>169.74509803921569</v>
      </c>
      <c r="AS3" s="124">
        <f>_xlfn.IFS(S3=0,AL3,S3&lt;0,AL3/-S3,S3&gt;0,AL3/S3)</f>
        <v>344.57075423511122</v>
      </c>
      <c r="AT3" s="119">
        <f t="shared" ref="AT3" si="10">IF(AN3=0,0,AS3/AN3)</f>
        <v>0.27832442089318804</v>
      </c>
      <c r="AU3" s="119">
        <f t="shared" ref="AU3" si="11">IF(AO3=0,0,AS3/AO3)</f>
        <v>2.4099227460841464</v>
      </c>
      <c r="AV3" s="125"/>
      <c r="AW3" s="120">
        <f t="shared" ref="AW3:AW15" si="12">AS3*E3</f>
        <v>133693.45264322317</v>
      </c>
    </row>
    <row r="4" spans="1:49" outlineLevel="1">
      <c r="A4" s="114"/>
      <c r="B4" s="115">
        <v>340343575</v>
      </c>
      <c r="C4" s="115" t="s">
        <v>94</v>
      </c>
      <c r="D4" s="116" t="s">
        <v>93</v>
      </c>
      <c r="E4" s="117">
        <f t="shared" ref="E4:E34" si="13">F4+G4+H4</f>
        <v>254</v>
      </c>
      <c r="F4" s="117">
        <v>100</v>
      </c>
      <c r="G4" s="117">
        <v>9</v>
      </c>
      <c r="H4" s="117">
        <v>145</v>
      </c>
      <c r="I4" s="117">
        <v>123.09</v>
      </c>
      <c r="J4" s="117">
        <f t="shared" si="0"/>
        <v>31264.86</v>
      </c>
      <c r="K4" s="114">
        <v>33</v>
      </c>
      <c r="L4" s="114">
        <v>135</v>
      </c>
      <c r="M4" s="114">
        <v>933</v>
      </c>
      <c r="N4" s="114">
        <v>83</v>
      </c>
      <c r="O4" s="213">
        <f t="shared" si="1"/>
        <v>19.285714285714285</v>
      </c>
      <c r="P4" s="117">
        <f>S4/7</f>
        <v>10.285714285714286</v>
      </c>
      <c r="Q4" s="118">
        <v>72</v>
      </c>
      <c r="R4" s="118">
        <v>0</v>
      </c>
      <c r="S4" s="117">
        <f t="shared" ref="S4:S34" si="14">Q4+R4</f>
        <v>72</v>
      </c>
      <c r="T4" s="118">
        <v>44541.530000000006</v>
      </c>
      <c r="U4" s="118">
        <v>0</v>
      </c>
      <c r="V4" s="117">
        <f t="shared" ref="V4:V34" si="15">T4+U4</f>
        <v>44541.530000000006</v>
      </c>
      <c r="W4" s="118">
        <v>67252.19</v>
      </c>
      <c r="X4" s="118">
        <v>0</v>
      </c>
      <c r="Y4" s="117">
        <f t="shared" ref="Y4:Y34" si="16">W4+X4</f>
        <v>67252.19</v>
      </c>
      <c r="Z4" s="117">
        <f t="shared" ref="Z4:Z34" si="17">L4*M4*N4/100</f>
        <v>104542.65</v>
      </c>
      <c r="AA4" s="119">
        <f t="shared" ref="AA4:AA34" si="18">Y4/$Y$93</f>
        <v>0.2900204642125539</v>
      </c>
      <c r="AB4" s="117">
        <f t="shared" ref="AB4:AB34" si="19">S4*I4</f>
        <v>8862.48</v>
      </c>
      <c r="AC4" s="118">
        <v>24473.610000000008</v>
      </c>
      <c r="AD4" s="119">
        <f t="shared" ref="AD4:AD34" si="20">IF(Y4=0,0,AC4/Y4)</f>
        <v>0.36390800061678297</v>
      </c>
      <c r="AE4" s="118">
        <v>6260.6199999999972</v>
      </c>
      <c r="AF4" s="118">
        <v>3000</v>
      </c>
      <c r="AG4" s="118">
        <v>4000</v>
      </c>
      <c r="AH4" s="118"/>
      <c r="AI4" s="152">
        <f t="shared" ref="AI4:AI34" si="21">IFERROR($AI$93*H4/$H$93,0)</f>
        <v>85.037131020196796</v>
      </c>
      <c r="AJ4" s="118">
        <v>0</v>
      </c>
      <c r="AK4" s="120">
        <f t="shared" ref="AK4:AK15" si="22">V4*1%</f>
        <v>445.41530000000006</v>
      </c>
      <c r="AL4" s="121">
        <f t="shared" ref="AL4:AL15" si="23">Y4-AB4-AC4-AE4-AF4-AG4-AH4-AI4-AK4-AJ4</f>
        <v>20125.027568979807</v>
      </c>
      <c r="AM4" s="122"/>
      <c r="AN4" s="123">
        <f t="shared" si="7"/>
        <v>934.05819444444444</v>
      </c>
      <c r="AO4" s="124">
        <f t="shared" si="8"/>
        <v>123.09</v>
      </c>
      <c r="AP4" s="124">
        <f t="shared" si="9"/>
        <v>339.91125000000011</v>
      </c>
      <c r="AQ4" s="124">
        <f t="shared" ref="AQ4:AQ15" si="24">IF(Q4=0,AE4/1,AE4/Q4)</f>
        <v>86.953055555555522</v>
      </c>
      <c r="AR4" s="124">
        <f t="shared" ref="AR4:AR15" si="25">IF(Q4=0,0,(AF4+AG4)/Q4)</f>
        <v>97.222222222222229</v>
      </c>
      <c r="AS4" s="124">
        <f t="array" ref="AS4">_xlfn.IFS(S4=0,AL4,S4&lt;0,AL4/-S4,S4&gt;0,AL4/S4)</f>
        <v>279.51427179138619</v>
      </c>
      <c r="AT4" s="119">
        <f>IF(AN4=0,0,AS4/AN4)</f>
        <v>0.29924717052306854</v>
      </c>
      <c r="AU4" s="119">
        <f>IF(AO4=0,0,AS4/AO4)</f>
        <v>2.2708121845104086</v>
      </c>
      <c r="AV4" s="125"/>
      <c r="AW4" s="120">
        <f t="shared" si="12"/>
        <v>70996.625035012097</v>
      </c>
    </row>
    <row r="5" spans="1:49" outlineLevel="1">
      <c r="A5" s="114"/>
      <c r="B5" s="115">
        <v>340332621</v>
      </c>
      <c r="C5" s="115" t="s">
        <v>95</v>
      </c>
      <c r="D5" s="116" t="s">
        <v>93</v>
      </c>
      <c r="E5" s="117">
        <f t="shared" si="13"/>
        <v>368</v>
      </c>
      <c r="F5" s="117">
        <v>6</v>
      </c>
      <c r="G5" s="117">
        <v>0</v>
      </c>
      <c r="H5" s="117">
        <v>362</v>
      </c>
      <c r="I5" s="117">
        <v>123.09</v>
      </c>
      <c r="J5" s="117">
        <f t="shared" si="0"/>
        <v>45297.120000000003</v>
      </c>
      <c r="K5" s="114">
        <v>698</v>
      </c>
      <c r="L5" s="114">
        <v>8</v>
      </c>
      <c r="M5" s="114">
        <v>1137</v>
      </c>
      <c r="N5" s="114">
        <v>75</v>
      </c>
      <c r="O5" s="213">
        <f t="shared" si="1"/>
        <v>1.1428571428571428</v>
      </c>
      <c r="P5" s="117">
        <f>S5/7</f>
        <v>0.42857142857142855</v>
      </c>
      <c r="Q5" s="118">
        <v>3</v>
      </c>
      <c r="R5" s="118">
        <v>0</v>
      </c>
      <c r="S5" s="117">
        <f t="shared" si="14"/>
        <v>3</v>
      </c>
      <c r="T5" s="118">
        <v>1968</v>
      </c>
      <c r="U5" s="118">
        <v>0</v>
      </c>
      <c r="V5" s="117">
        <f t="shared" si="15"/>
        <v>1968</v>
      </c>
      <c r="W5" s="118">
        <v>3342</v>
      </c>
      <c r="X5" s="118">
        <v>0</v>
      </c>
      <c r="Y5" s="117">
        <f t="shared" si="16"/>
        <v>3342</v>
      </c>
      <c r="Z5" s="117">
        <f t="shared" si="17"/>
        <v>6822</v>
      </c>
      <c r="AA5" s="119">
        <f t="shared" si="18"/>
        <v>1.4412146153134272E-2</v>
      </c>
      <c r="AB5" s="117">
        <f t="shared" si="19"/>
        <v>369.27</v>
      </c>
      <c r="AC5" s="118">
        <v>1216.9499999999998</v>
      </c>
      <c r="AD5" s="119">
        <f t="shared" si="20"/>
        <v>0.36413824057450622</v>
      </c>
      <c r="AE5" s="118">
        <v>380.14</v>
      </c>
      <c r="AF5" s="118"/>
      <c r="AG5" s="118">
        <v>715</v>
      </c>
      <c r="AH5" s="118"/>
      <c r="AI5" s="152">
        <f t="shared" si="21"/>
        <v>212.29959606421545</v>
      </c>
      <c r="AJ5" s="118">
        <v>0</v>
      </c>
      <c r="AK5" s="120">
        <f t="shared" si="22"/>
        <v>19.68</v>
      </c>
      <c r="AL5" s="121">
        <f t="shared" si="23"/>
        <v>428.66040393578487</v>
      </c>
      <c r="AM5" s="122"/>
      <c r="AN5" s="123">
        <f t="shared" si="7"/>
        <v>1114</v>
      </c>
      <c r="AO5" s="124">
        <f t="shared" si="8"/>
        <v>123.09</v>
      </c>
      <c r="AP5" s="124">
        <f t="shared" si="9"/>
        <v>405.64999999999992</v>
      </c>
      <c r="AQ5" s="124">
        <f t="shared" si="24"/>
        <v>126.71333333333332</v>
      </c>
      <c r="AR5" s="124">
        <f t="shared" si="25"/>
        <v>238.33333333333334</v>
      </c>
      <c r="AS5" s="124">
        <f t="array" ref="AS5">_xlfn.IFS(S5=0,AL5,S5&lt;0,AL5/-S5,S5&gt;0,AL5/S5)</f>
        <v>142.88680131192828</v>
      </c>
      <c r="AT5" s="119">
        <f>IF(AN5=0,0,AS5/AN5)</f>
        <v>0.12826463313458553</v>
      </c>
      <c r="AU5" s="119">
        <f>IF(AO5=0,0,AS5/AO5)</f>
        <v>1.1608319222676764</v>
      </c>
      <c r="AV5" s="125"/>
      <c r="AW5" s="120">
        <f t="shared" si="12"/>
        <v>52582.342882789606</v>
      </c>
    </row>
    <row r="6" spans="1:49" outlineLevel="1">
      <c r="A6" s="114"/>
      <c r="B6" s="115">
        <v>340341838</v>
      </c>
      <c r="C6" s="115" t="s">
        <v>96</v>
      </c>
      <c r="D6" s="116" t="s">
        <v>93</v>
      </c>
      <c r="E6" s="117">
        <f t="shared" si="13"/>
        <v>326</v>
      </c>
      <c r="F6" s="117">
        <v>16</v>
      </c>
      <c r="G6" s="117">
        <v>5</v>
      </c>
      <c r="H6" s="117">
        <v>305</v>
      </c>
      <c r="I6" s="117">
        <v>123.09</v>
      </c>
      <c r="J6" s="117">
        <f t="shared" si="0"/>
        <v>40127.340000000004</v>
      </c>
      <c r="K6" s="114">
        <v>240</v>
      </c>
      <c r="L6" s="114">
        <v>24</v>
      </c>
      <c r="M6" s="114">
        <v>1176</v>
      </c>
      <c r="N6" s="114">
        <v>70</v>
      </c>
      <c r="O6" s="213">
        <f t="shared" si="1"/>
        <v>3.4285714285714284</v>
      </c>
      <c r="P6" s="117">
        <f t="shared" ref="P6:P15" si="26">S6/7</f>
        <v>2.2857142857142856</v>
      </c>
      <c r="Q6" s="118">
        <v>16</v>
      </c>
      <c r="R6" s="118">
        <v>0</v>
      </c>
      <c r="S6" s="117">
        <f t="shared" si="14"/>
        <v>16</v>
      </c>
      <c r="T6" s="118">
        <v>11758.94</v>
      </c>
      <c r="U6" s="118">
        <v>0</v>
      </c>
      <c r="V6" s="117">
        <f t="shared" si="15"/>
        <v>11758.94</v>
      </c>
      <c r="W6" s="118">
        <v>18692.099999999999</v>
      </c>
      <c r="X6" s="118">
        <v>0</v>
      </c>
      <c r="Y6" s="117">
        <f t="shared" si="16"/>
        <v>18692.099999999999</v>
      </c>
      <c r="Z6" s="117">
        <f t="shared" si="17"/>
        <v>19756.8</v>
      </c>
      <c r="AA6" s="119">
        <f t="shared" si="18"/>
        <v>8.0608401289348028E-2</v>
      </c>
      <c r="AB6" s="117">
        <f t="shared" si="19"/>
        <v>1969.44</v>
      </c>
      <c r="AC6" s="118">
        <v>6766.6400000000012</v>
      </c>
      <c r="AD6" s="119">
        <f t="shared" si="20"/>
        <v>0.36200533915397426</v>
      </c>
      <c r="AE6" s="118">
        <v>1845.51</v>
      </c>
      <c r="AF6" s="118">
        <v>3000</v>
      </c>
      <c r="AG6" s="118">
        <v>2910</v>
      </c>
      <c r="AH6" s="118"/>
      <c r="AI6" s="152">
        <f t="shared" si="21"/>
        <v>178.87120662868981</v>
      </c>
      <c r="AJ6" s="118">
        <v>0</v>
      </c>
      <c r="AK6" s="120">
        <f t="shared" si="22"/>
        <v>117.58940000000001</v>
      </c>
      <c r="AL6" s="121">
        <f t="shared" si="23"/>
        <v>1904.0493933713085</v>
      </c>
      <c r="AM6" s="122"/>
      <c r="AN6" s="123">
        <f t="shared" si="7"/>
        <v>1168.2562499999999</v>
      </c>
      <c r="AO6" s="124">
        <f t="shared" si="8"/>
        <v>123.09</v>
      </c>
      <c r="AP6" s="124">
        <f t="shared" si="9"/>
        <v>422.91500000000008</v>
      </c>
      <c r="AQ6" s="124">
        <f t="shared" si="24"/>
        <v>115.344375</v>
      </c>
      <c r="AR6" s="124">
        <f t="shared" si="25"/>
        <v>369.375</v>
      </c>
      <c r="AS6" s="124">
        <f t="array" ref="AS6">_xlfn.IFS(S6=0,AL6,S6&lt;0,AL6/-S6,S6&gt;0,AL6/S6)</f>
        <v>119.00308708570678</v>
      </c>
      <c r="AT6" s="119">
        <f t="shared" ref="AT6:AT15" si="27">IF(AN6=0,0,AS6/AN6)</f>
        <v>0.10186385656888786</v>
      </c>
      <c r="AU6" s="119">
        <f t="shared" ref="AU6:AU15" si="28">IF(AO6=0,0,AS6/AO6)</f>
        <v>0.96679736035183017</v>
      </c>
      <c r="AV6" s="125"/>
      <c r="AW6" s="120">
        <f t="shared" si="12"/>
        <v>38795.006389940412</v>
      </c>
    </row>
    <row r="7" spans="1:49" outlineLevel="1">
      <c r="A7" s="114"/>
      <c r="B7" s="115">
        <v>445291724</v>
      </c>
      <c r="C7" s="115" t="s">
        <v>97</v>
      </c>
      <c r="D7" s="116" t="s">
        <v>93</v>
      </c>
      <c r="E7" s="117">
        <f t="shared" si="13"/>
        <v>255</v>
      </c>
      <c r="F7" s="117">
        <v>17</v>
      </c>
      <c r="G7" s="117">
        <v>6</v>
      </c>
      <c r="H7" s="117">
        <v>232</v>
      </c>
      <c r="I7" s="117">
        <v>123.09</v>
      </c>
      <c r="J7" s="117">
        <f t="shared" si="0"/>
        <v>31387.95</v>
      </c>
      <c r="K7" s="114">
        <v>154</v>
      </c>
      <c r="L7" s="114">
        <v>30</v>
      </c>
      <c r="M7" s="114">
        <v>1150</v>
      </c>
      <c r="N7" s="114">
        <v>63</v>
      </c>
      <c r="O7" s="213">
        <f t="shared" si="1"/>
        <v>4.2857142857142856</v>
      </c>
      <c r="P7" s="117">
        <f t="shared" si="26"/>
        <v>3.1428571428571428</v>
      </c>
      <c r="Q7" s="118">
        <v>22</v>
      </c>
      <c r="R7" s="118">
        <v>0</v>
      </c>
      <c r="S7" s="117">
        <f t="shared" si="14"/>
        <v>22</v>
      </c>
      <c r="T7" s="118">
        <v>15477</v>
      </c>
      <c r="U7" s="118">
        <v>0</v>
      </c>
      <c r="V7" s="117">
        <f t="shared" si="15"/>
        <v>15477</v>
      </c>
      <c r="W7" s="118">
        <v>25229</v>
      </c>
      <c r="X7" s="118">
        <v>0</v>
      </c>
      <c r="Y7" s="117">
        <f t="shared" si="16"/>
        <v>25229</v>
      </c>
      <c r="Z7" s="117">
        <f t="shared" si="17"/>
        <v>21735</v>
      </c>
      <c r="AA7" s="119">
        <f t="shared" si="18"/>
        <v>0.10879833491843942</v>
      </c>
      <c r="AB7" s="117">
        <f t="shared" si="19"/>
        <v>2707.98</v>
      </c>
      <c r="AC7" s="118">
        <v>9211.8500000000022</v>
      </c>
      <c r="AD7" s="119">
        <f t="shared" si="20"/>
        <v>0.36512941456260661</v>
      </c>
      <c r="AE7" s="118">
        <v>2288.8199999999997</v>
      </c>
      <c r="AF7" s="118">
        <v>1000</v>
      </c>
      <c r="AG7" s="118">
        <v>4000</v>
      </c>
      <c r="AH7" s="118"/>
      <c r="AI7" s="152">
        <f t="shared" si="21"/>
        <v>136.05940963231487</v>
      </c>
      <c r="AJ7" s="118">
        <v>0</v>
      </c>
      <c r="AK7" s="120">
        <f t="shared" si="22"/>
        <v>154.77000000000001</v>
      </c>
      <c r="AL7" s="121">
        <f t="shared" si="23"/>
        <v>5729.5205903676833</v>
      </c>
      <c r="AM7" s="122"/>
      <c r="AN7" s="123">
        <f t="shared" si="7"/>
        <v>1146.7727272727273</v>
      </c>
      <c r="AO7" s="124">
        <f t="shared" si="8"/>
        <v>123.09</v>
      </c>
      <c r="AP7" s="124">
        <f t="shared" si="9"/>
        <v>418.72045454545463</v>
      </c>
      <c r="AQ7" s="124">
        <f t="shared" si="24"/>
        <v>104.03727272727271</v>
      </c>
      <c r="AR7" s="124">
        <f t="shared" si="25"/>
        <v>227.27272727272728</v>
      </c>
      <c r="AS7" s="124">
        <f t="array" ref="AS7">_xlfn.IFS(S7=0,AL7,S7&lt;0,AL7/-S7,S7&gt;0,AL7/S7)</f>
        <v>260.43275410762197</v>
      </c>
      <c r="AT7" s="119">
        <f t="shared" si="27"/>
        <v>0.22710058228101326</v>
      </c>
      <c r="AU7" s="119">
        <f t="shared" si="28"/>
        <v>2.1157913242962221</v>
      </c>
      <c r="AV7" s="125"/>
      <c r="AW7" s="120">
        <f t="shared" si="12"/>
        <v>66410.352297443605</v>
      </c>
    </row>
    <row r="8" spans="1:49" outlineLevel="1">
      <c r="A8" s="114"/>
      <c r="B8" s="115">
        <v>445336740</v>
      </c>
      <c r="C8" s="115" t="s">
        <v>98</v>
      </c>
      <c r="D8" s="116" t="s">
        <v>93</v>
      </c>
      <c r="E8" s="117">
        <f t="shared" si="13"/>
        <v>212</v>
      </c>
      <c r="F8" s="117">
        <v>21</v>
      </c>
      <c r="G8" s="117">
        <v>8</v>
      </c>
      <c r="H8" s="117">
        <v>183</v>
      </c>
      <c r="I8" s="117">
        <v>123.09</v>
      </c>
      <c r="J8" s="117">
        <f t="shared" si="0"/>
        <v>26095.08</v>
      </c>
      <c r="K8" s="114">
        <v>35</v>
      </c>
      <c r="L8" s="114">
        <v>42</v>
      </c>
      <c r="M8" s="114">
        <v>1150</v>
      </c>
      <c r="N8" s="114">
        <v>74</v>
      </c>
      <c r="O8" s="213">
        <f t="shared" si="1"/>
        <v>6</v>
      </c>
      <c r="P8" s="117">
        <f t="shared" si="26"/>
        <v>3.4285714285714284</v>
      </c>
      <c r="Q8" s="118">
        <v>25</v>
      </c>
      <c r="R8" s="118">
        <v>-1</v>
      </c>
      <c r="S8" s="117">
        <f t="shared" si="14"/>
        <v>24</v>
      </c>
      <c r="T8" s="118">
        <v>18225.030000000002</v>
      </c>
      <c r="U8" s="118">
        <v>-705</v>
      </c>
      <c r="V8" s="117">
        <f t="shared" si="15"/>
        <v>17520.030000000002</v>
      </c>
      <c r="W8" s="118">
        <v>28750.940000000002</v>
      </c>
      <c r="X8" s="118">
        <v>-1150</v>
      </c>
      <c r="Y8" s="117">
        <f t="shared" si="16"/>
        <v>27600.940000000002</v>
      </c>
      <c r="Z8" s="117">
        <f t="shared" si="17"/>
        <v>35742</v>
      </c>
      <c r="AA8" s="119">
        <f t="shared" si="18"/>
        <v>0.11902716374742366</v>
      </c>
      <c r="AB8" s="117">
        <f t="shared" si="19"/>
        <v>2954.16</v>
      </c>
      <c r="AC8" s="118">
        <v>10103.950000000008</v>
      </c>
      <c r="AD8" s="119">
        <f t="shared" si="20"/>
        <v>0.36607267723490605</v>
      </c>
      <c r="AE8" s="118">
        <v>2390.15</v>
      </c>
      <c r="AF8" s="118">
        <v>2968</v>
      </c>
      <c r="AG8" s="118">
        <v>3000</v>
      </c>
      <c r="AH8" s="118"/>
      <c r="AI8" s="152">
        <f t="shared" si="21"/>
        <v>107.32272397721387</v>
      </c>
      <c r="AJ8" s="118">
        <v>0</v>
      </c>
      <c r="AK8" s="120">
        <f t="shared" si="22"/>
        <v>175.20030000000003</v>
      </c>
      <c r="AL8" s="121">
        <f t="shared" si="23"/>
        <v>5902.1569760227803</v>
      </c>
      <c r="AM8" s="122"/>
      <c r="AN8" s="123">
        <f t="shared" si="7"/>
        <v>1150.0391666666667</v>
      </c>
      <c r="AO8" s="124">
        <f t="shared" si="8"/>
        <v>123.09</v>
      </c>
      <c r="AP8" s="124">
        <f t="shared" si="9"/>
        <v>420.99791666666698</v>
      </c>
      <c r="AQ8" s="124">
        <f t="shared" si="24"/>
        <v>95.606000000000009</v>
      </c>
      <c r="AR8" s="124">
        <f t="shared" si="25"/>
        <v>238.72</v>
      </c>
      <c r="AS8" s="124">
        <f t="array" ref="AS8">_xlfn.IFS(S8=0,AL8,S8&lt;0,AL8/-S8,S8&gt;0,AL8/S8)</f>
        <v>245.92320733428252</v>
      </c>
      <c r="AT8" s="119">
        <f t="shared" si="27"/>
        <v>0.21383898432527226</v>
      </c>
      <c r="AU8" s="119">
        <f t="shared" si="28"/>
        <v>1.9979137812517875</v>
      </c>
      <c r="AV8" s="125"/>
      <c r="AW8" s="120">
        <f t="shared" si="12"/>
        <v>52135.719954867898</v>
      </c>
    </row>
    <row r="9" spans="1:49" outlineLevel="1">
      <c r="A9" s="114"/>
      <c r="B9" s="115">
        <v>445341507</v>
      </c>
      <c r="C9" s="115" t="s">
        <v>99</v>
      </c>
      <c r="D9" s="116" t="s">
        <v>93</v>
      </c>
      <c r="E9" s="117">
        <f t="shared" si="13"/>
        <v>223</v>
      </c>
      <c r="F9" s="117">
        <v>16</v>
      </c>
      <c r="G9" s="117">
        <v>5</v>
      </c>
      <c r="H9" s="117">
        <v>202</v>
      </c>
      <c r="I9" s="117">
        <v>169.89</v>
      </c>
      <c r="J9" s="117">
        <f t="shared" si="0"/>
        <v>37885.469999999994</v>
      </c>
      <c r="K9" s="114">
        <v>123</v>
      </c>
      <c r="L9" s="114">
        <v>18</v>
      </c>
      <c r="M9" s="114">
        <v>1230</v>
      </c>
      <c r="N9" s="114">
        <v>50</v>
      </c>
      <c r="O9" s="213">
        <f t="shared" si="1"/>
        <v>2.5714285714285716</v>
      </c>
      <c r="P9" s="117">
        <f t="shared" si="26"/>
        <v>1.5714285714285714</v>
      </c>
      <c r="Q9" s="118">
        <v>11</v>
      </c>
      <c r="R9" s="118">
        <v>0</v>
      </c>
      <c r="S9" s="117">
        <f t="shared" si="14"/>
        <v>11</v>
      </c>
      <c r="T9" s="118">
        <v>8339</v>
      </c>
      <c r="U9" s="118">
        <v>0</v>
      </c>
      <c r="V9" s="117">
        <f t="shared" si="15"/>
        <v>8339</v>
      </c>
      <c r="W9" s="118">
        <v>13250</v>
      </c>
      <c r="X9" s="118">
        <v>0</v>
      </c>
      <c r="Y9" s="117">
        <f t="shared" si="16"/>
        <v>13250</v>
      </c>
      <c r="Z9" s="117">
        <f t="shared" si="17"/>
        <v>11070</v>
      </c>
      <c r="AA9" s="119">
        <f t="shared" si="18"/>
        <v>5.7139717692707689E-2</v>
      </c>
      <c r="AB9" s="117">
        <f t="shared" si="19"/>
        <v>1868.79</v>
      </c>
      <c r="AC9" s="118">
        <v>4838.16</v>
      </c>
      <c r="AD9" s="119">
        <f t="shared" si="20"/>
        <v>0.3651441509433962</v>
      </c>
      <c r="AE9" s="118">
        <v>1526.29</v>
      </c>
      <c r="AF9" s="118"/>
      <c r="AG9" s="118"/>
      <c r="AH9" s="118"/>
      <c r="AI9" s="152">
        <f t="shared" si="21"/>
        <v>118.46552045572243</v>
      </c>
      <c r="AJ9" s="118">
        <v>0</v>
      </c>
      <c r="AK9" s="120">
        <f t="shared" si="22"/>
        <v>83.39</v>
      </c>
      <c r="AL9" s="121">
        <f t="shared" si="23"/>
        <v>4814.9044795442769</v>
      </c>
      <c r="AM9" s="122"/>
      <c r="AN9" s="123">
        <f t="shared" si="7"/>
        <v>1204.5454545454545</v>
      </c>
      <c r="AO9" s="124">
        <f t="shared" si="8"/>
        <v>169.89</v>
      </c>
      <c r="AP9" s="124">
        <f t="shared" si="9"/>
        <v>439.83272727272725</v>
      </c>
      <c r="AQ9" s="124">
        <f t="shared" si="24"/>
        <v>138.75363636363636</v>
      </c>
      <c r="AR9" s="124">
        <f t="shared" si="25"/>
        <v>0</v>
      </c>
      <c r="AS9" s="124">
        <f t="array" ref="AS9">_xlfn.IFS(S9=0,AL9,S9&lt;0,AL9/-S9,S9&gt;0,AL9/S9)</f>
        <v>437.7185890494797</v>
      </c>
      <c r="AT9" s="119">
        <f t="shared" si="27"/>
        <v>0.3633890173240964</v>
      </c>
      <c r="AU9" s="119">
        <f t="shared" si="28"/>
        <v>2.5764823653509903</v>
      </c>
      <c r="AV9" s="125"/>
      <c r="AW9" s="120">
        <f t="shared" si="12"/>
        <v>97611.245358033979</v>
      </c>
    </row>
    <row r="10" spans="1:49" outlineLevel="1">
      <c r="A10" s="114"/>
      <c r="B10" s="115">
        <v>497825485</v>
      </c>
      <c r="C10" s="115" t="s">
        <v>100</v>
      </c>
      <c r="D10" s="116" t="s">
        <v>93</v>
      </c>
      <c r="E10" s="117">
        <f t="shared" si="13"/>
        <v>35</v>
      </c>
      <c r="F10" s="117">
        <v>7</v>
      </c>
      <c r="G10" s="117">
        <v>3</v>
      </c>
      <c r="H10" s="117">
        <v>25</v>
      </c>
      <c r="I10" s="117">
        <v>169.89</v>
      </c>
      <c r="J10" s="117">
        <f t="shared" si="0"/>
        <v>5946.15</v>
      </c>
      <c r="K10" s="114">
        <v>71</v>
      </c>
      <c r="L10" s="114">
        <v>8</v>
      </c>
      <c r="M10" s="114">
        <v>1254</v>
      </c>
      <c r="N10" s="114">
        <v>33</v>
      </c>
      <c r="O10" s="213">
        <f t="shared" si="1"/>
        <v>1.1428571428571428</v>
      </c>
      <c r="P10" s="117">
        <f t="shared" si="26"/>
        <v>0.42857142857142855</v>
      </c>
      <c r="Q10" s="118">
        <v>3</v>
      </c>
      <c r="R10" s="118">
        <v>0</v>
      </c>
      <c r="S10" s="117">
        <f t="shared" si="14"/>
        <v>3</v>
      </c>
      <c r="T10" s="118">
        <v>2532.6400000000003</v>
      </c>
      <c r="U10" s="118">
        <v>0</v>
      </c>
      <c r="V10" s="117">
        <f t="shared" si="15"/>
        <v>2532.6400000000003</v>
      </c>
      <c r="W10" s="118">
        <v>3706.59</v>
      </c>
      <c r="X10" s="118">
        <v>0</v>
      </c>
      <c r="Y10" s="117">
        <f t="shared" si="16"/>
        <v>3706.59</v>
      </c>
      <c r="Z10" s="117">
        <f t="shared" si="17"/>
        <v>3310.56</v>
      </c>
      <c r="AA10" s="119">
        <f t="shared" si="18"/>
        <v>1.5984415562461388E-2</v>
      </c>
      <c r="AB10" s="117">
        <f t="shared" si="19"/>
        <v>509.66999999999996</v>
      </c>
      <c r="AC10" s="118">
        <v>1350.8400000000001</v>
      </c>
      <c r="AD10" s="119">
        <f t="shared" si="20"/>
        <v>0.36444278973396033</v>
      </c>
      <c r="AE10" s="118">
        <v>585.92999999999995</v>
      </c>
      <c r="AF10" s="118">
        <v>2000</v>
      </c>
      <c r="AG10" s="118">
        <v>1606</v>
      </c>
      <c r="AH10" s="118"/>
      <c r="AI10" s="152">
        <f t="shared" si="21"/>
        <v>14.661574313827032</v>
      </c>
      <c r="AJ10" s="118">
        <v>0</v>
      </c>
      <c r="AK10" s="120">
        <f t="shared" si="22"/>
        <v>25.326400000000003</v>
      </c>
      <c r="AL10" s="121">
        <f t="shared" si="23"/>
        <v>-2385.8379743138266</v>
      </c>
      <c r="AM10" s="122"/>
      <c r="AN10" s="123">
        <f t="shared" si="7"/>
        <v>1235.53</v>
      </c>
      <c r="AO10" s="124">
        <f t="shared" si="8"/>
        <v>169.89</v>
      </c>
      <c r="AP10" s="124">
        <f t="shared" si="9"/>
        <v>450.28000000000003</v>
      </c>
      <c r="AQ10" s="124">
        <f t="shared" si="24"/>
        <v>195.30999999999997</v>
      </c>
      <c r="AR10" s="124">
        <f t="shared" si="25"/>
        <v>1202</v>
      </c>
      <c r="AS10" s="124">
        <f t="array" ref="AS10">_xlfn.IFS(S10=0,AL10,S10&lt;0,AL10/-S10,S10&gt;0,AL10/S10)</f>
        <v>-795.27932477127558</v>
      </c>
      <c r="AT10" s="119">
        <f t="shared" si="27"/>
        <v>-0.64367463741979203</v>
      </c>
      <c r="AU10" s="119">
        <f t="shared" si="28"/>
        <v>-4.6811426497808917</v>
      </c>
      <c r="AV10" s="125"/>
      <c r="AW10" s="120">
        <f t="shared" si="12"/>
        <v>-27834.776366994647</v>
      </c>
    </row>
    <row r="11" spans="1:49" outlineLevel="1">
      <c r="A11" s="114"/>
      <c r="B11" s="115">
        <v>497825962</v>
      </c>
      <c r="C11" s="115" t="s">
        <v>101</v>
      </c>
      <c r="D11" s="116" t="s">
        <v>93</v>
      </c>
      <c r="E11" s="117">
        <f t="shared" si="13"/>
        <v>38</v>
      </c>
      <c r="F11" s="117">
        <v>1</v>
      </c>
      <c r="G11" s="117">
        <v>0</v>
      </c>
      <c r="H11" s="117">
        <v>37</v>
      </c>
      <c r="I11" s="117">
        <v>169.89</v>
      </c>
      <c r="J11" s="117">
        <f t="shared" si="0"/>
        <v>6455.82</v>
      </c>
      <c r="K11" s="114">
        <v>384</v>
      </c>
      <c r="L11" s="114">
        <v>1</v>
      </c>
      <c r="M11" s="114">
        <v>1145</v>
      </c>
      <c r="N11" s="114">
        <v>0</v>
      </c>
      <c r="O11" s="213">
        <f t="shared" si="1"/>
        <v>0.14285714285714285</v>
      </c>
      <c r="P11" s="117">
        <f t="shared" si="26"/>
        <v>0</v>
      </c>
      <c r="Q11" s="118">
        <v>0</v>
      </c>
      <c r="R11" s="118">
        <v>0</v>
      </c>
      <c r="S11" s="117">
        <f t="shared" si="14"/>
        <v>0</v>
      </c>
      <c r="T11" s="118">
        <v>0</v>
      </c>
      <c r="U11" s="118">
        <v>0</v>
      </c>
      <c r="V11" s="117">
        <f t="shared" si="15"/>
        <v>0</v>
      </c>
      <c r="W11" s="118">
        <v>0</v>
      </c>
      <c r="X11" s="118">
        <v>0</v>
      </c>
      <c r="Y11" s="117">
        <f t="shared" si="16"/>
        <v>0</v>
      </c>
      <c r="Z11" s="117">
        <f t="shared" si="17"/>
        <v>0</v>
      </c>
      <c r="AA11" s="119">
        <f t="shared" si="18"/>
        <v>0</v>
      </c>
      <c r="AB11" s="117">
        <f t="shared" si="19"/>
        <v>0</v>
      </c>
      <c r="AC11" s="118">
        <v>0</v>
      </c>
      <c r="AD11" s="119">
        <f t="shared" si="20"/>
        <v>0</v>
      </c>
      <c r="AE11" s="118">
        <v>113.8</v>
      </c>
      <c r="AF11" s="118"/>
      <c r="AG11" s="118"/>
      <c r="AH11" s="118"/>
      <c r="AI11" s="152">
        <f t="shared" si="21"/>
        <v>21.699129984464012</v>
      </c>
      <c r="AJ11" s="118">
        <v>0</v>
      </c>
      <c r="AK11" s="120">
        <f t="shared" si="22"/>
        <v>0</v>
      </c>
      <c r="AL11" s="121">
        <f t="shared" si="23"/>
        <v>-135.49912998446402</v>
      </c>
      <c r="AM11" s="122"/>
      <c r="AN11" s="123">
        <f t="shared" si="7"/>
        <v>0</v>
      </c>
      <c r="AO11" s="124">
        <f t="shared" si="8"/>
        <v>169.89</v>
      </c>
      <c r="AP11" s="124">
        <f t="shared" si="9"/>
        <v>0</v>
      </c>
      <c r="AQ11" s="124">
        <f t="shared" si="24"/>
        <v>113.8</v>
      </c>
      <c r="AR11" s="124">
        <f t="shared" si="25"/>
        <v>0</v>
      </c>
      <c r="AS11" s="124">
        <f t="array" ref="AS11">_xlfn.IFS(S11=0,AL11,S11&lt;0,AL11/-S11,S11&gt;0,AL11/S11)</f>
        <v>-135.49912998446402</v>
      </c>
      <c r="AT11" s="119">
        <f t="shared" si="27"/>
        <v>0</v>
      </c>
      <c r="AU11" s="119">
        <f t="shared" si="28"/>
        <v>-0.79756978035472381</v>
      </c>
      <c r="AV11" s="125"/>
      <c r="AW11" s="120">
        <f t="shared" si="12"/>
        <v>-5148.9669394096327</v>
      </c>
    </row>
    <row r="12" spans="1:49" outlineLevel="1">
      <c r="A12" s="114"/>
      <c r="B12" s="115">
        <v>497821775</v>
      </c>
      <c r="C12" s="115" t="s">
        <v>102</v>
      </c>
      <c r="D12" s="116" t="s">
        <v>93</v>
      </c>
      <c r="E12" s="117">
        <f t="shared" si="13"/>
        <v>40</v>
      </c>
      <c r="F12" s="117">
        <v>2</v>
      </c>
      <c r="G12" s="117">
        <v>3</v>
      </c>
      <c r="H12" s="117">
        <v>35</v>
      </c>
      <c r="I12" s="117">
        <v>169.89</v>
      </c>
      <c r="J12" s="117">
        <f t="shared" si="0"/>
        <v>6795.5999999999995</v>
      </c>
      <c r="K12" s="114">
        <v>136</v>
      </c>
      <c r="L12" s="114">
        <v>10</v>
      </c>
      <c r="M12" s="114">
        <v>1166</v>
      </c>
      <c r="N12" s="114">
        <v>33</v>
      </c>
      <c r="O12" s="213">
        <f t="shared" si="1"/>
        <v>1.4285714285714286</v>
      </c>
      <c r="P12" s="117">
        <f t="shared" si="26"/>
        <v>0.5714285714285714</v>
      </c>
      <c r="Q12" s="118">
        <v>4</v>
      </c>
      <c r="R12" s="118">
        <v>0</v>
      </c>
      <c r="S12" s="117">
        <f t="shared" si="14"/>
        <v>4</v>
      </c>
      <c r="T12" s="118">
        <v>2911</v>
      </c>
      <c r="U12" s="118">
        <v>0</v>
      </c>
      <c r="V12" s="117">
        <f t="shared" si="15"/>
        <v>2911</v>
      </c>
      <c r="W12" s="118">
        <v>4664</v>
      </c>
      <c r="X12" s="118">
        <v>0</v>
      </c>
      <c r="Y12" s="117">
        <f t="shared" si="16"/>
        <v>4664</v>
      </c>
      <c r="Z12" s="117">
        <f t="shared" si="17"/>
        <v>3847.8</v>
      </c>
      <c r="AA12" s="119">
        <f t="shared" si="18"/>
        <v>2.0113180627833106E-2</v>
      </c>
      <c r="AB12" s="117">
        <f t="shared" si="19"/>
        <v>679.56</v>
      </c>
      <c r="AC12" s="118">
        <v>1709.04</v>
      </c>
      <c r="AD12" s="119">
        <f t="shared" si="20"/>
        <v>0.36643224699828475</v>
      </c>
      <c r="AE12" s="118">
        <v>833.49999999999989</v>
      </c>
      <c r="AF12" s="118"/>
      <c r="AG12" s="118"/>
      <c r="AH12" s="118"/>
      <c r="AI12" s="152">
        <f t="shared" si="21"/>
        <v>20.526204039357847</v>
      </c>
      <c r="AJ12" s="118">
        <v>0</v>
      </c>
      <c r="AK12" s="120">
        <f t="shared" si="22"/>
        <v>29.11</v>
      </c>
      <c r="AL12" s="121">
        <f t="shared" si="23"/>
        <v>1392.2637959606423</v>
      </c>
      <c r="AM12" s="122"/>
      <c r="AN12" s="123">
        <f t="shared" si="7"/>
        <v>1166</v>
      </c>
      <c r="AO12" s="124">
        <f t="shared" si="8"/>
        <v>169.89</v>
      </c>
      <c r="AP12" s="124">
        <f t="shared" si="9"/>
        <v>427.26</v>
      </c>
      <c r="AQ12" s="124">
        <f t="shared" si="24"/>
        <v>208.37499999999997</v>
      </c>
      <c r="AR12" s="124">
        <f t="shared" si="25"/>
        <v>0</v>
      </c>
      <c r="AS12" s="124">
        <f t="array" ref="AS12">_xlfn.IFS(S12=0,AL12,S12&lt;0,AL12/-S12,S12&gt;0,AL12/S12)</f>
        <v>348.06594899016056</v>
      </c>
      <c r="AT12" s="119">
        <f t="shared" si="27"/>
        <v>0.29851282074627833</v>
      </c>
      <c r="AU12" s="119">
        <f t="shared" si="28"/>
        <v>2.0487724350471517</v>
      </c>
      <c r="AV12" s="125"/>
      <c r="AW12" s="120">
        <f t="shared" si="12"/>
        <v>13922.637959606422</v>
      </c>
    </row>
    <row r="13" spans="1:49" outlineLevel="1">
      <c r="A13" s="114"/>
      <c r="B13" s="115">
        <v>497823770</v>
      </c>
      <c r="C13" s="115" t="s">
        <v>103</v>
      </c>
      <c r="D13" s="116" t="s">
        <v>93</v>
      </c>
      <c r="E13" s="117">
        <f t="shared" si="13"/>
        <v>5</v>
      </c>
      <c r="F13" s="117">
        <v>0</v>
      </c>
      <c r="G13" s="117">
        <v>0</v>
      </c>
      <c r="H13" s="117">
        <v>5</v>
      </c>
      <c r="I13" s="117">
        <v>169.89</v>
      </c>
      <c r="J13" s="117">
        <f t="shared" si="0"/>
        <v>849.44999999999993</v>
      </c>
      <c r="K13" s="114">
        <v>74</v>
      </c>
      <c r="L13" s="114">
        <v>2</v>
      </c>
      <c r="M13" s="114">
        <v>1221</v>
      </c>
      <c r="N13" s="114">
        <v>100</v>
      </c>
      <c r="O13" s="213">
        <f t="shared" si="1"/>
        <v>0.2857142857142857</v>
      </c>
      <c r="P13" s="117">
        <f t="shared" si="26"/>
        <v>0.2857142857142857</v>
      </c>
      <c r="Q13" s="118">
        <v>2</v>
      </c>
      <c r="R13" s="118">
        <v>0</v>
      </c>
      <c r="S13" s="117">
        <f t="shared" si="14"/>
        <v>2</v>
      </c>
      <c r="T13" s="118">
        <v>1479</v>
      </c>
      <c r="U13" s="118">
        <v>0</v>
      </c>
      <c r="V13" s="117">
        <f t="shared" si="15"/>
        <v>1479</v>
      </c>
      <c r="W13" s="118">
        <v>2442</v>
      </c>
      <c r="X13" s="118">
        <v>0</v>
      </c>
      <c r="Y13" s="117">
        <f t="shared" si="16"/>
        <v>2442</v>
      </c>
      <c r="Z13" s="117">
        <f t="shared" si="17"/>
        <v>2442</v>
      </c>
      <c r="AA13" s="119">
        <f t="shared" si="18"/>
        <v>1.0530957781554126E-2</v>
      </c>
      <c r="AB13" s="117">
        <f t="shared" si="19"/>
        <v>339.78</v>
      </c>
      <c r="AC13" s="118">
        <v>890.54</v>
      </c>
      <c r="AD13" s="119">
        <f t="shared" si="20"/>
        <v>0.36467649467649466</v>
      </c>
      <c r="AE13" s="118">
        <v>102.05</v>
      </c>
      <c r="AF13" s="118"/>
      <c r="AG13" s="118"/>
      <c r="AH13" s="118"/>
      <c r="AI13" s="152">
        <f t="shared" si="21"/>
        <v>2.9323148627654065</v>
      </c>
      <c r="AJ13" s="118">
        <v>0</v>
      </c>
      <c r="AK13" s="120">
        <f t="shared" si="22"/>
        <v>14.790000000000001</v>
      </c>
      <c r="AL13" s="121">
        <f t="shared" si="23"/>
        <v>1091.9076851372349</v>
      </c>
      <c r="AM13" s="122"/>
      <c r="AN13" s="123">
        <f t="shared" si="7"/>
        <v>1221</v>
      </c>
      <c r="AO13" s="124">
        <f t="shared" si="8"/>
        <v>169.89</v>
      </c>
      <c r="AP13" s="124">
        <f t="shared" si="9"/>
        <v>445.27</v>
      </c>
      <c r="AQ13" s="124">
        <f t="shared" si="24"/>
        <v>51.024999999999999</v>
      </c>
      <c r="AR13" s="124">
        <f t="shared" si="25"/>
        <v>0</v>
      </c>
      <c r="AS13" s="124">
        <f t="array" ref="AS13">_xlfn.IFS(S13=0,AL13,S13&lt;0,AL13/-S13,S13&gt;0,AL13/S13)</f>
        <v>545.95384256861746</v>
      </c>
      <c r="AT13" s="119">
        <f t="shared" si="27"/>
        <v>0.44713664420034188</v>
      </c>
      <c r="AU13" s="119">
        <f t="shared" si="28"/>
        <v>3.213572562061437</v>
      </c>
      <c r="AV13" s="125"/>
      <c r="AW13" s="120">
        <f t="shared" si="12"/>
        <v>2729.7692128430872</v>
      </c>
    </row>
    <row r="14" spans="1:49" outlineLevel="1">
      <c r="A14" s="114"/>
      <c r="B14" s="115">
        <v>497824253</v>
      </c>
      <c r="C14" s="115" t="s">
        <v>104</v>
      </c>
      <c r="D14" s="116" t="s">
        <v>93</v>
      </c>
      <c r="E14" s="117">
        <f t="shared" si="13"/>
        <v>55</v>
      </c>
      <c r="F14" s="117">
        <v>4</v>
      </c>
      <c r="G14" s="117">
        <v>0</v>
      </c>
      <c r="H14" s="117">
        <v>51</v>
      </c>
      <c r="I14" s="117">
        <v>169.89</v>
      </c>
      <c r="J14" s="117">
        <f t="shared" si="0"/>
        <v>9343.9499999999989</v>
      </c>
      <c r="K14" s="114">
        <v>245</v>
      </c>
      <c r="L14" s="114">
        <v>5</v>
      </c>
      <c r="M14" s="114">
        <v>1288</v>
      </c>
      <c r="N14" s="114">
        <v>100</v>
      </c>
      <c r="O14" s="213">
        <f t="shared" si="1"/>
        <v>0.7142857142857143</v>
      </c>
      <c r="P14" s="117">
        <f t="shared" si="26"/>
        <v>0.2857142857142857</v>
      </c>
      <c r="Q14" s="118">
        <v>2</v>
      </c>
      <c r="R14" s="118">
        <v>0</v>
      </c>
      <c r="S14" s="117">
        <f t="shared" si="14"/>
        <v>2</v>
      </c>
      <c r="T14" s="118">
        <v>1609</v>
      </c>
      <c r="U14" s="118">
        <v>0</v>
      </c>
      <c r="V14" s="117">
        <f t="shared" si="15"/>
        <v>1609</v>
      </c>
      <c r="W14" s="118">
        <v>2576</v>
      </c>
      <c r="X14" s="118">
        <v>0</v>
      </c>
      <c r="Y14" s="117">
        <f t="shared" si="16"/>
        <v>2576</v>
      </c>
      <c r="Z14" s="117">
        <f t="shared" si="17"/>
        <v>6440</v>
      </c>
      <c r="AA14" s="119">
        <f t="shared" si="18"/>
        <v>1.1108823605767171E-2</v>
      </c>
      <c r="AB14" s="117">
        <f t="shared" si="19"/>
        <v>339.78</v>
      </c>
      <c r="AC14" s="118">
        <v>923.46</v>
      </c>
      <c r="AD14" s="119">
        <f t="shared" si="20"/>
        <v>0.35848602484472053</v>
      </c>
      <c r="AE14" s="118">
        <v>211.53</v>
      </c>
      <c r="AF14" s="118"/>
      <c r="AG14" s="118"/>
      <c r="AH14" s="118"/>
      <c r="AI14" s="152">
        <f t="shared" si="21"/>
        <v>29.909611600207146</v>
      </c>
      <c r="AJ14" s="118">
        <v>0</v>
      </c>
      <c r="AK14" s="120">
        <f t="shared" si="22"/>
        <v>16.09</v>
      </c>
      <c r="AL14" s="121">
        <f t="shared" si="23"/>
        <v>1055.2303883997931</v>
      </c>
      <c r="AM14" s="122"/>
      <c r="AN14" s="123">
        <f t="shared" si="7"/>
        <v>1288</v>
      </c>
      <c r="AO14" s="124">
        <f t="shared" si="8"/>
        <v>169.89</v>
      </c>
      <c r="AP14" s="124">
        <f t="shared" si="9"/>
        <v>461.73</v>
      </c>
      <c r="AQ14" s="124">
        <f t="shared" si="24"/>
        <v>105.765</v>
      </c>
      <c r="AR14" s="124">
        <f t="shared" si="25"/>
        <v>0</v>
      </c>
      <c r="AS14" s="124">
        <f t="array" ref="AS14">_xlfn.IFS(S14=0,AL14,S14&lt;0,AL14/-S14,S14&gt;0,AL14/S14)</f>
        <v>527.61519419989656</v>
      </c>
      <c r="AT14" s="119">
        <f t="shared" si="27"/>
        <v>0.40963912593159674</v>
      </c>
      <c r="AU14" s="119">
        <f t="shared" si="28"/>
        <v>3.1056283136140834</v>
      </c>
      <c r="AV14" s="125"/>
      <c r="AW14" s="120">
        <f t="shared" si="12"/>
        <v>29018.835680994311</v>
      </c>
    </row>
    <row r="15" spans="1:49" outlineLevel="1">
      <c r="A15" s="114"/>
      <c r="B15" s="115">
        <v>497824944</v>
      </c>
      <c r="C15" s="115" t="s">
        <v>105</v>
      </c>
      <c r="D15" s="116" t="s">
        <v>93</v>
      </c>
      <c r="E15" s="117">
        <f t="shared" si="13"/>
        <v>33</v>
      </c>
      <c r="F15" s="117">
        <v>2</v>
      </c>
      <c r="G15" s="117">
        <v>1</v>
      </c>
      <c r="H15" s="117">
        <v>30</v>
      </c>
      <c r="I15" s="117">
        <v>169.89</v>
      </c>
      <c r="J15" s="117">
        <f t="shared" si="0"/>
        <v>5606.37</v>
      </c>
      <c r="K15" s="114">
        <v>200</v>
      </c>
      <c r="L15" s="114">
        <v>3</v>
      </c>
      <c r="M15" s="114">
        <v>1232</v>
      </c>
      <c r="N15" s="114">
        <v>50</v>
      </c>
      <c r="O15" s="213">
        <f t="shared" si="1"/>
        <v>0.42857142857142855</v>
      </c>
      <c r="P15" s="117">
        <f t="shared" si="26"/>
        <v>0.14285714285714285</v>
      </c>
      <c r="Q15" s="118">
        <v>1</v>
      </c>
      <c r="R15" s="118">
        <v>0</v>
      </c>
      <c r="S15" s="117">
        <f t="shared" si="14"/>
        <v>1</v>
      </c>
      <c r="T15" s="118">
        <v>743</v>
      </c>
      <c r="U15" s="118">
        <v>0</v>
      </c>
      <c r="V15" s="117">
        <f t="shared" si="15"/>
        <v>743</v>
      </c>
      <c r="W15" s="118">
        <v>1232</v>
      </c>
      <c r="X15" s="118">
        <v>0</v>
      </c>
      <c r="Y15" s="117">
        <f t="shared" si="16"/>
        <v>1232</v>
      </c>
      <c r="Z15" s="117">
        <f t="shared" si="17"/>
        <v>1848</v>
      </c>
      <c r="AA15" s="119">
        <f t="shared" si="18"/>
        <v>5.312915637540821E-3</v>
      </c>
      <c r="AB15" s="117">
        <f t="shared" si="19"/>
        <v>169.89</v>
      </c>
      <c r="AC15" s="118">
        <v>449.19000000000005</v>
      </c>
      <c r="AD15" s="119">
        <f t="shared" si="20"/>
        <v>0.36460227272727275</v>
      </c>
      <c r="AE15" s="118">
        <v>271.90999999999997</v>
      </c>
      <c r="AF15" s="118"/>
      <c r="AG15" s="118"/>
      <c r="AH15" s="118"/>
      <c r="AI15" s="152">
        <f t="shared" si="21"/>
        <v>17.593889176592441</v>
      </c>
      <c r="AJ15" s="118">
        <v>0</v>
      </c>
      <c r="AK15" s="120">
        <f t="shared" si="22"/>
        <v>7.43</v>
      </c>
      <c r="AL15" s="121">
        <f t="shared" si="23"/>
        <v>315.98611082340767</v>
      </c>
      <c r="AM15" s="122"/>
      <c r="AN15" s="123">
        <f t="shared" si="7"/>
        <v>1232</v>
      </c>
      <c r="AO15" s="124">
        <f t="shared" si="8"/>
        <v>169.89</v>
      </c>
      <c r="AP15" s="124">
        <f t="shared" si="9"/>
        <v>449.19000000000005</v>
      </c>
      <c r="AQ15" s="124">
        <f t="shared" si="24"/>
        <v>271.90999999999997</v>
      </c>
      <c r="AR15" s="124">
        <f t="shared" si="25"/>
        <v>0</v>
      </c>
      <c r="AS15" s="124">
        <f t="array" ref="AS15">_xlfn.IFS(S15=0,AL15,S15&lt;0,AL15/-S15,S15&gt;0,AL15/S15)</f>
        <v>315.98611082340767</v>
      </c>
      <c r="AT15" s="119">
        <f t="shared" si="27"/>
        <v>0.25648223281120752</v>
      </c>
      <c r="AU15" s="119">
        <f t="shared" si="28"/>
        <v>1.859945322405131</v>
      </c>
      <c r="AV15" s="125"/>
      <c r="AW15" s="120">
        <f t="shared" si="12"/>
        <v>10427.541657172453</v>
      </c>
    </row>
    <row r="16" spans="1:49" outlineLevel="1">
      <c r="A16" s="114"/>
      <c r="B16" s="115">
        <v>806868318</v>
      </c>
      <c r="C16" s="115" t="s">
        <v>174</v>
      </c>
      <c r="D16" s="116" t="s">
        <v>93</v>
      </c>
      <c r="E16" s="117">
        <f t="shared" si="13"/>
        <v>0</v>
      </c>
      <c r="F16" s="117">
        <v>0</v>
      </c>
      <c r="G16" s="117">
        <v>0</v>
      </c>
      <c r="H16" s="117">
        <v>0</v>
      </c>
      <c r="I16" s="117">
        <v>129.46</v>
      </c>
      <c r="J16" s="117">
        <f t="shared" ref="J16:J34" si="29">E16*I16</f>
        <v>0</v>
      </c>
      <c r="K16" s="114" t="s">
        <v>145</v>
      </c>
      <c r="L16" s="114">
        <v>0</v>
      </c>
      <c r="M16" s="114">
        <v>0</v>
      </c>
      <c r="N16" s="114">
        <v>0</v>
      </c>
      <c r="O16" s="213">
        <f t="shared" ref="O16:O34" si="30">L16/7</f>
        <v>0</v>
      </c>
      <c r="P16" s="117">
        <f t="shared" ref="P16:P34" si="31">S16/7</f>
        <v>0</v>
      </c>
      <c r="Q16" s="118">
        <v>0</v>
      </c>
      <c r="R16" s="118">
        <v>0</v>
      </c>
      <c r="S16" s="117">
        <f t="shared" si="14"/>
        <v>0</v>
      </c>
      <c r="T16" s="118">
        <v>0</v>
      </c>
      <c r="U16" s="118">
        <v>0</v>
      </c>
      <c r="V16" s="117">
        <f t="shared" si="15"/>
        <v>0</v>
      </c>
      <c r="W16" s="118">
        <v>0</v>
      </c>
      <c r="X16" s="118">
        <v>0</v>
      </c>
      <c r="Y16" s="117">
        <f t="shared" si="16"/>
        <v>0</v>
      </c>
      <c r="Z16" s="117">
        <f t="shared" si="17"/>
        <v>0</v>
      </c>
      <c r="AA16" s="119">
        <f t="shared" si="18"/>
        <v>0</v>
      </c>
      <c r="AB16" s="117">
        <f t="shared" si="19"/>
        <v>0</v>
      </c>
      <c r="AC16" s="118">
        <v>0</v>
      </c>
      <c r="AD16" s="119">
        <f t="shared" si="20"/>
        <v>0</v>
      </c>
      <c r="AE16" s="118">
        <v>0</v>
      </c>
      <c r="AF16" s="118"/>
      <c r="AG16" s="118"/>
      <c r="AH16" s="118"/>
      <c r="AI16" s="152">
        <f t="shared" si="21"/>
        <v>0</v>
      </c>
      <c r="AJ16" s="118">
        <v>0</v>
      </c>
      <c r="AK16" s="120">
        <f t="shared" ref="AK16:AK34" si="32">V16*1%</f>
        <v>0</v>
      </c>
      <c r="AL16" s="121">
        <f t="shared" ref="AL16:AL34" si="33">Y16-AB16-AC16-AE16-AF16-AG16-AH16-AI16-AK16-AJ16</f>
        <v>0</v>
      </c>
      <c r="AM16" s="122"/>
      <c r="AN16" s="123">
        <f t="shared" ref="AN16:AN34" si="34">IF(S16=0,0,Y16/S16)</f>
        <v>0</v>
      </c>
      <c r="AO16" s="124">
        <f t="shared" ref="AO16:AO34" si="35">I16</f>
        <v>129.46</v>
      </c>
      <c r="AP16" s="124">
        <f t="shared" ref="AP16:AP34" si="36">IF(S16=0,0,AC16/S16)</f>
        <v>0</v>
      </c>
      <c r="AQ16" s="124">
        <f t="shared" ref="AQ16:AQ34" si="37">IF(Q16=0,AE16/1,AE16/Q16)</f>
        <v>0</v>
      </c>
      <c r="AR16" s="124">
        <f t="shared" ref="AR16:AR34" si="38">IF(Q16=0,0,(AF16+AG16)/Q16)</f>
        <v>0</v>
      </c>
      <c r="AS16" s="124">
        <f t="array" ref="AS16">_xlfn.IFS(S16=0,AL16,S16&lt;0,AL16/-S16,S16&gt;0,AL16/S16)</f>
        <v>0</v>
      </c>
      <c r="AT16" s="119">
        <f t="shared" ref="AT16:AT34" si="39">IF(AN16=0,0,AS16/AN16)</f>
        <v>0</v>
      </c>
      <c r="AU16" s="119">
        <f t="shared" ref="AU16:AU34" si="40">IF(AO16=0,0,AS16/AO16)</f>
        <v>0</v>
      </c>
      <c r="AV16" s="125"/>
      <c r="AW16" s="120">
        <f t="shared" ref="AW16:AW34" si="41">AS16*E16</f>
        <v>0</v>
      </c>
    </row>
    <row r="17" spans="1:49" outlineLevel="1">
      <c r="A17" s="114"/>
      <c r="B17" s="115">
        <v>806885508</v>
      </c>
      <c r="C17" s="115" t="s">
        <v>175</v>
      </c>
      <c r="D17" s="116" t="s">
        <v>93</v>
      </c>
      <c r="E17" s="117">
        <f t="shared" si="13"/>
        <v>0</v>
      </c>
      <c r="F17" s="117">
        <v>0</v>
      </c>
      <c r="G17" s="117">
        <v>0</v>
      </c>
      <c r="H17" s="117">
        <v>0</v>
      </c>
      <c r="I17" s="117">
        <v>117.76</v>
      </c>
      <c r="J17" s="117">
        <f t="shared" si="29"/>
        <v>0</v>
      </c>
      <c r="K17" s="114" t="s">
        <v>145</v>
      </c>
      <c r="L17" s="114">
        <v>2</v>
      </c>
      <c r="M17" s="114">
        <v>1350</v>
      </c>
      <c r="N17" s="114">
        <v>0</v>
      </c>
      <c r="O17" s="213">
        <f t="shared" si="30"/>
        <v>0.2857142857142857</v>
      </c>
      <c r="P17" s="117">
        <f t="shared" si="31"/>
        <v>0</v>
      </c>
      <c r="Q17" s="118">
        <v>0</v>
      </c>
      <c r="R17" s="118">
        <v>0</v>
      </c>
      <c r="S17" s="117">
        <f t="shared" si="14"/>
        <v>0</v>
      </c>
      <c r="T17" s="118">
        <v>0</v>
      </c>
      <c r="U17" s="118">
        <v>0</v>
      </c>
      <c r="V17" s="117">
        <f t="shared" si="15"/>
        <v>0</v>
      </c>
      <c r="W17" s="118">
        <v>0</v>
      </c>
      <c r="X17" s="118">
        <v>0</v>
      </c>
      <c r="Y17" s="117">
        <f t="shared" si="16"/>
        <v>0</v>
      </c>
      <c r="Z17" s="117">
        <f t="shared" si="17"/>
        <v>0</v>
      </c>
      <c r="AA17" s="119">
        <f t="shared" si="18"/>
        <v>0</v>
      </c>
      <c r="AB17" s="117">
        <f t="shared" si="19"/>
        <v>0</v>
      </c>
      <c r="AC17" s="118">
        <v>0</v>
      </c>
      <c r="AD17" s="119">
        <f t="shared" si="20"/>
        <v>0</v>
      </c>
      <c r="AE17" s="118">
        <v>0</v>
      </c>
      <c r="AF17" s="118"/>
      <c r="AG17" s="118"/>
      <c r="AH17" s="118"/>
      <c r="AI17" s="152">
        <f t="shared" si="21"/>
        <v>0</v>
      </c>
      <c r="AJ17" s="118">
        <v>0</v>
      </c>
      <c r="AK17" s="120">
        <f t="shared" si="32"/>
        <v>0</v>
      </c>
      <c r="AL17" s="121">
        <f t="shared" si="33"/>
        <v>0</v>
      </c>
      <c r="AM17" s="122"/>
      <c r="AN17" s="123">
        <f t="shared" si="34"/>
        <v>0</v>
      </c>
      <c r="AO17" s="124">
        <f t="shared" si="35"/>
        <v>117.76</v>
      </c>
      <c r="AP17" s="124">
        <f t="shared" si="36"/>
        <v>0</v>
      </c>
      <c r="AQ17" s="124">
        <f t="shared" si="37"/>
        <v>0</v>
      </c>
      <c r="AR17" s="124">
        <f t="shared" si="38"/>
        <v>0</v>
      </c>
      <c r="AS17" s="124">
        <f t="array" ref="AS17">_xlfn.IFS(S17=0,AL17,S17&lt;0,AL17/-S17,S17&gt;0,AL17/S17)</f>
        <v>0</v>
      </c>
      <c r="AT17" s="119">
        <f t="shared" si="39"/>
        <v>0</v>
      </c>
      <c r="AU17" s="119">
        <f t="shared" si="40"/>
        <v>0</v>
      </c>
      <c r="AV17" s="125"/>
      <c r="AW17" s="120">
        <f t="shared" si="41"/>
        <v>0</v>
      </c>
    </row>
    <row r="18" spans="1:49" outlineLevel="1">
      <c r="A18" s="114"/>
      <c r="B18" s="115">
        <v>807019357</v>
      </c>
      <c r="C18" s="115" t="s">
        <v>176</v>
      </c>
      <c r="D18" s="116" t="s">
        <v>93</v>
      </c>
      <c r="E18" s="117">
        <f t="shared" si="13"/>
        <v>0</v>
      </c>
      <c r="F18" s="117">
        <v>0</v>
      </c>
      <c r="G18" s="117">
        <v>0</v>
      </c>
      <c r="H18" s="117">
        <v>0</v>
      </c>
      <c r="I18" s="117">
        <v>129.46</v>
      </c>
      <c r="J18" s="117">
        <f t="shared" si="29"/>
        <v>0</v>
      </c>
      <c r="K18" s="114" t="s">
        <v>145</v>
      </c>
      <c r="L18" s="114">
        <v>0</v>
      </c>
      <c r="M18" s="114">
        <v>0</v>
      </c>
      <c r="N18" s="114">
        <v>0</v>
      </c>
      <c r="O18" s="213">
        <f t="shared" si="30"/>
        <v>0</v>
      </c>
      <c r="P18" s="117">
        <f t="shared" si="31"/>
        <v>0</v>
      </c>
      <c r="Q18" s="118">
        <v>0</v>
      </c>
      <c r="R18" s="118">
        <v>0</v>
      </c>
      <c r="S18" s="117">
        <f t="shared" si="14"/>
        <v>0</v>
      </c>
      <c r="T18" s="118">
        <v>0</v>
      </c>
      <c r="U18" s="118">
        <v>0</v>
      </c>
      <c r="V18" s="117">
        <f t="shared" si="15"/>
        <v>0</v>
      </c>
      <c r="W18" s="118">
        <v>0</v>
      </c>
      <c r="X18" s="118">
        <v>0</v>
      </c>
      <c r="Y18" s="117">
        <f t="shared" si="16"/>
        <v>0</v>
      </c>
      <c r="Z18" s="117">
        <f t="shared" si="17"/>
        <v>0</v>
      </c>
      <c r="AA18" s="119">
        <f t="shared" si="18"/>
        <v>0</v>
      </c>
      <c r="AB18" s="117">
        <f t="shared" si="19"/>
        <v>0</v>
      </c>
      <c r="AC18" s="118">
        <v>0</v>
      </c>
      <c r="AD18" s="119">
        <f t="shared" si="20"/>
        <v>0</v>
      </c>
      <c r="AE18" s="118">
        <v>0</v>
      </c>
      <c r="AF18" s="118"/>
      <c r="AG18" s="118"/>
      <c r="AH18" s="118"/>
      <c r="AI18" s="152">
        <f t="shared" si="21"/>
        <v>0</v>
      </c>
      <c r="AJ18" s="118">
        <v>0</v>
      </c>
      <c r="AK18" s="120">
        <f t="shared" si="32"/>
        <v>0</v>
      </c>
      <c r="AL18" s="121">
        <f t="shared" si="33"/>
        <v>0</v>
      </c>
      <c r="AM18" s="122"/>
      <c r="AN18" s="123">
        <f t="shared" si="34"/>
        <v>0</v>
      </c>
      <c r="AO18" s="124">
        <f t="shared" si="35"/>
        <v>129.46</v>
      </c>
      <c r="AP18" s="124">
        <f t="shared" si="36"/>
        <v>0</v>
      </c>
      <c r="AQ18" s="124">
        <f t="shared" si="37"/>
        <v>0</v>
      </c>
      <c r="AR18" s="124">
        <f t="shared" si="38"/>
        <v>0</v>
      </c>
      <c r="AS18" s="124">
        <f t="array" ref="AS18">_xlfn.IFS(S18=0,AL18,S18&lt;0,AL18/-S18,S18&gt;0,AL18/S18)</f>
        <v>0</v>
      </c>
      <c r="AT18" s="119">
        <f t="shared" si="39"/>
        <v>0</v>
      </c>
      <c r="AU18" s="119">
        <f t="shared" si="40"/>
        <v>0</v>
      </c>
      <c r="AV18" s="125"/>
      <c r="AW18" s="120">
        <f t="shared" si="41"/>
        <v>0</v>
      </c>
    </row>
    <row r="19" spans="1:49" outlineLevel="1">
      <c r="A19" s="114"/>
      <c r="B19" s="115">
        <v>807030321</v>
      </c>
      <c r="C19" s="115" t="s">
        <v>177</v>
      </c>
      <c r="D19" s="116" t="s">
        <v>93</v>
      </c>
      <c r="E19" s="117">
        <f t="shared" si="13"/>
        <v>0</v>
      </c>
      <c r="F19" s="117">
        <v>0</v>
      </c>
      <c r="G19" s="117">
        <v>0</v>
      </c>
      <c r="H19" s="117">
        <v>0</v>
      </c>
      <c r="I19" s="117">
        <v>129.46</v>
      </c>
      <c r="J19" s="117">
        <f t="shared" si="29"/>
        <v>0</v>
      </c>
      <c r="K19" s="114" t="s">
        <v>145</v>
      </c>
      <c r="L19" s="114">
        <v>0</v>
      </c>
      <c r="M19" s="114">
        <v>0</v>
      </c>
      <c r="N19" s="114">
        <v>0</v>
      </c>
      <c r="O19" s="213">
        <f t="shared" si="30"/>
        <v>0</v>
      </c>
      <c r="P19" s="117">
        <f t="shared" si="31"/>
        <v>0</v>
      </c>
      <c r="Q19" s="118">
        <v>0</v>
      </c>
      <c r="R19" s="118">
        <v>0</v>
      </c>
      <c r="S19" s="117">
        <f t="shared" si="14"/>
        <v>0</v>
      </c>
      <c r="T19" s="118">
        <v>0</v>
      </c>
      <c r="U19" s="118">
        <v>0</v>
      </c>
      <c r="V19" s="117">
        <f t="shared" si="15"/>
        <v>0</v>
      </c>
      <c r="W19" s="118">
        <v>0</v>
      </c>
      <c r="X19" s="118">
        <v>0</v>
      </c>
      <c r="Y19" s="117">
        <f t="shared" si="16"/>
        <v>0</v>
      </c>
      <c r="Z19" s="117">
        <f t="shared" si="17"/>
        <v>0</v>
      </c>
      <c r="AA19" s="119">
        <f t="shared" si="18"/>
        <v>0</v>
      </c>
      <c r="AB19" s="117">
        <f t="shared" si="19"/>
        <v>0</v>
      </c>
      <c r="AC19" s="118">
        <v>0</v>
      </c>
      <c r="AD19" s="119">
        <f t="shared" si="20"/>
        <v>0</v>
      </c>
      <c r="AE19" s="118">
        <v>0</v>
      </c>
      <c r="AF19" s="118"/>
      <c r="AG19" s="118"/>
      <c r="AH19" s="118"/>
      <c r="AI19" s="152">
        <f t="shared" si="21"/>
        <v>0</v>
      </c>
      <c r="AJ19" s="118">
        <v>0</v>
      </c>
      <c r="AK19" s="120">
        <f t="shared" si="32"/>
        <v>0</v>
      </c>
      <c r="AL19" s="121">
        <f t="shared" si="33"/>
        <v>0</v>
      </c>
      <c r="AM19" s="122"/>
      <c r="AN19" s="123">
        <f t="shared" si="34"/>
        <v>0</v>
      </c>
      <c r="AO19" s="124">
        <f t="shared" si="35"/>
        <v>129.46</v>
      </c>
      <c r="AP19" s="124">
        <f t="shared" si="36"/>
        <v>0</v>
      </c>
      <c r="AQ19" s="124">
        <f t="shared" si="37"/>
        <v>0</v>
      </c>
      <c r="AR19" s="124">
        <f t="shared" si="38"/>
        <v>0</v>
      </c>
      <c r="AS19" s="124">
        <f t="array" ref="AS19">_xlfn.IFS(S19=0,AL19,S19&lt;0,AL19/-S19,S19&gt;0,AL19/S19)</f>
        <v>0</v>
      </c>
      <c r="AT19" s="119">
        <f t="shared" si="39"/>
        <v>0</v>
      </c>
      <c r="AU19" s="119">
        <f t="shared" si="40"/>
        <v>0</v>
      </c>
      <c r="AV19" s="125"/>
      <c r="AW19" s="120">
        <f t="shared" si="41"/>
        <v>0</v>
      </c>
    </row>
    <row r="20" spans="1:49" outlineLevel="1">
      <c r="A20" s="114"/>
      <c r="B20" s="115">
        <v>807031830</v>
      </c>
      <c r="C20" s="115" t="s">
        <v>178</v>
      </c>
      <c r="D20" s="116" t="s">
        <v>93</v>
      </c>
      <c r="E20" s="117">
        <f t="shared" si="13"/>
        <v>0</v>
      </c>
      <c r="F20" s="117">
        <v>0</v>
      </c>
      <c r="G20" s="117">
        <v>0</v>
      </c>
      <c r="H20" s="117">
        <v>0</v>
      </c>
      <c r="I20" s="117">
        <v>129.46</v>
      </c>
      <c r="J20" s="117">
        <f t="shared" si="29"/>
        <v>0</v>
      </c>
      <c r="K20" s="114" t="s">
        <v>145</v>
      </c>
      <c r="L20" s="114">
        <v>0</v>
      </c>
      <c r="M20" s="114">
        <v>0</v>
      </c>
      <c r="N20" s="114">
        <v>0</v>
      </c>
      <c r="O20" s="213">
        <f t="shared" si="30"/>
        <v>0</v>
      </c>
      <c r="P20" s="117">
        <f t="shared" si="31"/>
        <v>0</v>
      </c>
      <c r="Q20" s="118">
        <v>0</v>
      </c>
      <c r="R20" s="118">
        <v>0</v>
      </c>
      <c r="S20" s="117">
        <f t="shared" si="14"/>
        <v>0</v>
      </c>
      <c r="T20" s="118">
        <v>0</v>
      </c>
      <c r="U20" s="118">
        <v>0</v>
      </c>
      <c r="V20" s="117">
        <f t="shared" si="15"/>
        <v>0</v>
      </c>
      <c r="W20" s="118">
        <v>0</v>
      </c>
      <c r="X20" s="118">
        <v>0</v>
      </c>
      <c r="Y20" s="117">
        <f t="shared" si="16"/>
        <v>0</v>
      </c>
      <c r="Z20" s="117">
        <f t="shared" si="17"/>
        <v>0</v>
      </c>
      <c r="AA20" s="119">
        <f t="shared" si="18"/>
        <v>0</v>
      </c>
      <c r="AB20" s="117">
        <f t="shared" si="19"/>
        <v>0</v>
      </c>
      <c r="AC20" s="118">
        <v>0</v>
      </c>
      <c r="AD20" s="119">
        <f t="shared" si="20"/>
        <v>0</v>
      </c>
      <c r="AE20" s="118">
        <v>0</v>
      </c>
      <c r="AF20" s="118"/>
      <c r="AG20" s="118"/>
      <c r="AH20" s="118"/>
      <c r="AI20" s="152">
        <f t="shared" si="21"/>
        <v>0</v>
      </c>
      <c r="AJ20" s="118">
        <v>0</v>
      </c>
      <c r="AK20" s="120">
        <f t="shared" si="32"/>
        <v>0</v>
      </c>
      <c r="AL20" s="121">
        <f t="shared" si="33"/>
        <v>0</v>
      </c>
      <c r="AM20" s="122"/>
      <c r="AN20" s="123">
        <f t="shared" si="34"/>
        <v>0</v>
      </c>
      <c r="AO20" s="124">
        <f t="shared" si="35"/>
        <v>129.46</v>
      </c>
      <c r="AP20" s="124">
        <f t="shared" si="36"/>
        <v>0</v>
      </c>
      <c r="AQ20" s="124">
        <f t="shared" si="37"/>
        <v>0</v>
      </c>
      <c r="AR20" s="124">
        <f t="shared" si="38"/>
        <v>0</v>
      </c>
      <c r="AS20" s="124">
        <f t="array" ref="AS20">_xlfn.IFS(S20=0,AL20,S20&lt;0,AL20/-S20,S20&gt;0,AL20/S20)</f>
        <v>0</v>
      </c>
      <c r="AT20" s="119">
        <f t="shared" si="39"/>
        <v>0</v>
      </c>
      <c r="AU20" s="119">
        <f t="shared" si="40"/>
        <v>0</v>
      </c>
      <c r="AV20" s="125"/>
      <c r="AW20" s="120">
        <f t="shared" si="41"/>
        <v>0</v>
      </c>
    </row>
    <row r="21" spans="1:49" outlineLevel="1">
      <c r="A21" s="114"/>
      <c r="B21" s="115">
        <v>806776658</v>
      </c>
      <c r="C21" s="115" t="s">
        <v>179</v>
      </c>
      <c r="D21" s="116" t="s">
        <v>93</v>
      </c>
      <c r="E21" s="117">
        <f t="shared" si="13"/>
        <v>0</v>
      </c>
      <c r="F21" s="117">
        <v>0</v>
      </c>
      <c r="G21" s="117">
        <v>0</v>
      </c>
      <c r="H21" s="117">
        <v>0</v>
      </c>
      <c r="I21" s="117">
        <v>135.31</v>
      </c>
      <c r="J21" s="117">
        <f t="shared" si="29"/>
        <v>0</v>
      </c>
      <c r="K21" s="114" t="s">
        <v>145</v>
      </c>
      <c r="L21" s="114">
        <v>1</v>
      </c>
      <c r="M21" s="114">
        <v>990</v>
      </c>
      <c r="N21" s="114">
        <v>0</v>
      </c>
      <c r="O21" s="213">
        <f t="shared" si="30"/>
        <v>0.14285714285714285</v>
      </c>
      <c r="P21" s="117">
        <f t="shared" si="31"/>
        <v>0</v>
      </c>
      <c r="Q21" s="118">
        <v>0</v>
      </c>
      <c r="R21" s="118">
        <v>0</v>
      </c>
      <c r="S21" s="117">
        <f t="shared" si="14"/>
        <v>0</v>
      </c>
      <c r="T21" s="118">
        <v>0</v>
      </c>
      <c r="U21" s="118">
        <v>0</v>
      </c>
      <c r="V21" s="117">
        <f t="shared" si="15"/>
        <v>0</v>
      </c>
      <c r="W21" s="118">
        <v>0</v>
      </c>
      <c r="X21" s="118">
        <v>0</v>
      </c>
      <c r="Y21" s="117">
        <f t="shared" si="16"/>
        <v>0</v>
      </c>
      <c r="Z21" s="117">
        <f t="shared" si="17"/>
        <v>0</v>
      </c>
      <c r="AA21" s="119">
        <f t="shared" si="18"/>
        <v>0</v>
      </c>
      <c r="AB21" s="117">
        <f t="shared" si="19"/>
        <v>0</v>
      </c>
      <c r="AC21" s="118">
        <v>0</v>
      </c>
      <c r="AD21" s="119">
        <f t="shared" si="20"/>
        <v>0</v>
      </c>
      <c r="AE21" s="118">
        <v>0</v>
      </c>
      <c r="AF21" s="118"/>
      <c r="AG21" s="118"/>
      <c r="AH21" s="118"/>
      <c r="AI21" s="152">
        <f t="shared" si="21"/>
        <v>0</v>
      </c>
      <c r="AJ21" s="118">
        <v>0</v>
      </c>
      <c r="AK21" s="120">
        <f t="shared" si="32"/>
        <v>0</v>
      </c>
      <c r="AL21" s="121">
        <f t="shared" si="33"/>
        <v>0</v>
      </c>
      <c r="AM21" s="122"/>
      <c r="AN21" s="123">
        <f t="shared" si="34"/>
        <v>0</v>
      </c>
      <c r="AO21" s="124">
        <f t="shared" si="35"/>
        <v>135.31</v>
      </c>
      <c r="AP21" s="124">
        <f t="shared" si="36"/>
        <v>0</v>
      </c>
      <c r="AQ21" s="124">
        <f t="shared" si="37"/>
        <v>0</v>
      </c>
      <c r="AR21" s="124">
        <f t="shared" si="38"/>
        <v>0</v>
      </c>
      <c r="AS21" s="124">
        <f t="array" ref="AS21">_xlfn.IFS(S21=0,AL21,S21&lt;0,AL21/-S21,S21&gt;0,AL21/S21)</f>
        <v>0</v>
      </c>
      <c r="AT21" s="119">
        <f t="shared" si="39"/>
        <v>0</v>
      </c>
      <c r="AU21" s="119">
        <f t="shared" si="40"/>
        <v>0</v>
      </c>
      <c r="AV21" s="125"/>
      <c r="AW21" s="120">
        <f t="shared" si="41"/>
        <v>0</v>
      </c>
    </row>
    <row r="22" spans="1:49" outlineLevel="1">
      <c r="A22" s="114"/>
      <c r="B22" s="115">
        <v>806769378</v>
      </c>
      <c r="C22" s="115" t="s">
        <v>180</v>
      </c>
      <c r="D22" s="116" t="s">
        <v>93</v>
      </c>
      <c r="E22" s="117">
        <f t="shared" si="13"/>
        <v>0</v>
      </c>
      <c r="F22" s="117">
        <v>0</v>
      </c>
      <c r="G22" s="117">
        <v>0</v>
      </c>
      <c r="H22" s="117">
        <v>0</v>
      </c>
      <c r="I22" s="117">
        <v>135.31</v>
      </c>
      <c r="J22" s="117">
        <f t="shared" si="29"/>
        <v>0</v>
      </c>
      <c r="K22" s="114" t="s">
        <v>145</v>
      </c>
      <c r="L22" s="114">
        <v>3</v>
      </c>
      <c r="M22" s="114">
        <v>1100</v>
      </c>
      <c r="N22" s="114">
        <v>0</v>
      </c>
      <c r="O22" s="213">
        <f t="shared" si="30"/>
        <v>0.42857142857142855</v>
      </c>
      <c r="P22" s="117">
        <f t="shared" si="31"/>
        <v>0</v>
      </c>
      <c r="Q22" s="118">
        <v>0</v>
      </c>
      <c r="R22" s="118">
        <v>0</v>
      </c>
      <c r="S22" s="117">
        <f t="shared" si="14"/>
        <v>0</v>
      </c>
      <c r="T22" s="118">
        <v>0</v>
      </c>
      <c r="U22" s="118">
        <v>0</v>
      </c>
      <c r="V22" s="117">
        <f t="shared" si="15"/>
        <v>0</v>
      </c>
      <c r="W22" s="118">
        <v>0</v>
      </c>
      <c r="X22" s="118">
        <v>0</v>
      </c>
      <c r="Y22" s="117">
        <f t="shared" si="16"/>
        <v>0</v>
      </c>
      <c r="Z22" s="117">
        <f t="shared" si="17"/>
        <v>0</v>
      </c>
      <c r="AA22" s="119">
        <f t="shared" si="18"/>
        <v>0</v>
      </c>
      <c r="AB22" s="117">
        <f t="shared" si="19"/>
        <v>0</v>
      </c>
      <c r="AC22" s="118">
        <v>0</v>
      </c>
      <c r="AD22" s="119">
        <f t="shared" si="20"/>
        <v>0</v>
      </c>
      <c r="AE22" s="118">
        <v>0</v>
      </c>
      <c r="AF22" s="118"/>
      <c r="AG22" s="118">
        <v>7</v>
      </c>
      <c r="AH22" s="118"/>
      <c r="AI22" s="152">
        <f t="shared" si="21"/>
        <v>0</v>
      </c>
      <c r="AJ22" s="118">
        <v>0</v>
      </c>
      <c r="AK22" s="120">
        <f t="shared" si="32"/>
        <v>0</v>
      </c>
      <c r="AL22" s="121">
        <f t="shared" si="33"/>
        <v>-7</v>
      </c>
      <c r="AM22" s="122"/>
      <c r="AN22" s="123">
        <f t="shared" si="34"/>
        <v>0</v>
      </c>
      <c r="AO22" s="124">
        <f t="shared" si="35"/>
        <v>135.31</v>
      </c>
      <c r="AP22" s="124">
        <f t="shared" si="36"/>
        <v>0</v>
      </c>
      <c r="AQ22" s="124">
        <f t="shared" si="37"/>
        <v>0</v>
      </c>
      <c r="AR22" s="124">
        <f t="shared" si="38"/>
        <v>0</v>
      </c>
      <c r="AS22" s="124">
        <f t="array" ref="AS22">_xlfn.IFS(S22=0,AL22,S22&lt;0,AL22/-S22,S22&gt;0,AL22/S22)</f>
        <v>-7</v>
      </c>
      <c r="AT22" s="119">
        <f t="shared" si="39"/>
        <v>0</v>
      </c>
      <c r="AU22" s="119">
        <f t="shared" si="40"/>
        <v>-5.1733057423693739E-2</v>
      </c>
      <c r="AV22" s="125"/>
      <c r="AW22" s="120">
        <f t="shared" si="41"/>
        <v>0</v>
      </c>
    </row>
    <row r="23" spans="1:49" outlineLevel="1">
      <c r="A23" s="114"/>
      <c r="B23" s="115">
        <v>806737023</v>
      </c>
      <c r="C23" s="115" t="s">
        <v>181</v>
      </c>
      <c r="D23" s="116" t="s">
        <v>93</v>
      </c>
      <c r="E23" s="117">
        <f t="shared" si="13"/>
        <v>0</v>
      </c>
      <c r="F23" s="117">
        <v>0</v>
      </c>
      <c r="G23" s="117">
        <v>0</v>
      </c>
      <c r="H23" s="117">
        <v>0</v>
      </c>
      <c r="I23" s="117">
        <v>135.31</v>
      </c>
      <c r="J23" s="117">
        <f t="shared" si="29"/>
        <v>0</v>
      </c>
      <c r="K23" s="114" t="s">
        <v>145</v>
      </c>
      <c r="L23" s="114">
        <v>3</v>
      </c>
      <c r="M23" s="114">
        <v>2900</v>
      </c>
      <c r="N23" s="114">
        <v>0</v>
      </c>
      <c r="O23" s="213">
        <f t="shared" si="30"/>
        <v>0.42857142857142855</v>
      </c>
      <c r="P23" s="117">
        <f t="shared" si="31"/>
        <v>0</v>
      </c>
      <c r="Q23" s="118">
        <v>0</v>
      </c>
      <c r="R23" s="118">
        <v>0</v>
      </c>
      <c r="S23" s="117">
        <f t="shared" si="14"/>
        <v>0</v>
      </c>
      <c r="T23" s="118">
        <v>0</v>
      </c>
      <c r="U23" s="118">
        <v>0</v>
      </c>
      <c r="V23" s="117">
        <f t="shared" si="15"/>
        <v>0</v>
      </c>
      <c r="W23" s="118">
        <v>0</v>
      </c>
      <c r="X23" s="118">
        <v>0</v>
      </c>
      <c r="Y23" s="117">
        <f t="shared" si="16"/>
        <v>0</v>
      </c>
      <c r="Z23" s="117">
        <f t="shared" si="17"/>
        <v>0</v>
      </c>
      <c r="AA23" s="119">
        <f t="shared" si="18"/>
        <v>0</v>
      </c>
      <c r="AB23" s="117">
        <f t="shared" si="19"/>
        <v>0</v>
      </c>
      <c r="AC23" s="118">
        <v>0</v>
      </c>
      <c r="AD23" s="119">
        <f t="shared" si="20"/>
        <v>0</v>
      </c>
      <c r="AE23" s="118">
        <v>0</v>
      </c>
      <c r="AF23" s="118"/>
      <c r="AG23" s="118"/>
      <c r="AH23" s="118"/>
      <c r="AI23" s="152">
        <f t="shared" si="21"/>
        <v>0</v>
      </c>
      <c r="AJ23" s="118">
        <v>0</v>
      </c>
      <c r="AK23" s="120">
        <f t="shared" si="32"/>
        <v>0</v>
      </c>
      <c r="AL23" s="121">
        <f t="shared" si="33"/>
        <v>0</v>
      </c>
      <c r="AM23" s="122"/>
      <c r="AN23" s="123">
        <f t="shared" si="34"/>
        <v>0</v>
      </c>
      <c r="AO23" s="124">
        <f t="shared" si="35"/>
        <v>135.31</v>
      </c>
      <c r="AP23" s="124">
        <f t="shared" si="36"/>
        <v>0</v>
      </c>
      <c r="AQ23" s="124">
        <f t="shared" si="37"/>
        <v>0</v>
      </c>
      <c r="AR23" s="124">
        <f t="shared" si="38"/>
        <v>0</v>
      </c>
      <c r="AS23" s="124">
        <f t="array" ref="AS23">_xlfn.IFS(S23=0,AL23,S23&lt;0,AL23/-S23,S23&gt;0,AL23/S23)</f>
        <v>0</v>
      </c>
      <c r="AT23" s="119">
        <f t="shared" si="39"/>
        <v>0</v>
      </c>
      <c r="AU23" s="119">
        <f t="shared" si="40"/>
        <v>0</v>
      </c>
      <c r="AV23" s="125"/>
      <c r="AW23" s="120">
        <f t="shared" si="41"/>
        <v>0</v>
      </c>
    </row>
    <row r="24" spans="1:49" outlineLevel="1">
      <c r="A24" s="114"/>
      <c r="B24" s="115">
        <v>815383690</v>
      </c>
      <c r="C24" s="115" t="s">
        <v>182</v>
      </c>
      <c r="D24" s="116" t="s">
        <v>93</v>
      </c>
      <c r="E24" s="117">
        <f t="shared" si="13"/>
        <v>1</v>
      </c>
      <c r="F24" s="117">
        <v>0</v>
      </c>
      <c r="G24" s="117">
        <v>1</v>
      </c>
      <c r="H24" s="117">
        <v>0</v>
      </c>
      <c r="I24" s="117">
        <v>129.46</v>
      </c>
      <c r="J24" s="117">
        <f t="shared" si="29"/>
        <v>129.46</v>
      </c>
      <c r="K24" s="114" t="s">
        <v>145</v>
      </c>
      <c r="L24" s="114">
        <v>2</v>
      </c>
      <c r="M24" s="114">
        <v>980</v>
      </c>
      <c r="N24" s="114">
        <v>0</v>
      </c>
      <c r="O24" s="213">
        <f t="shared" si="30"/>
        <v>0.2857142857142857</v>
      </c>
      <c r="P24" s="117">
        <f t="shared" si="31"/>
        <v>0</v>
      </c>
      <c r="Q24" s="118">
        <v>0</v>
      </c>
      <c r="R24" s="118">
        <v>0</v>
      </c>
      <c r="S24" s="117">
        <f t="shared" si="14"/>
        <v>0</v>
      </c>
      <c r="T24" s="118">
        <v>0</v>
      </c>
      <c r="U24" s="118">
        <v>0</v>
      </c>
      <c r="V24" s="117">
        <f t="shared" si="15"/>
        <v>0</v>
      </c>
      <c r="W24" s="118">
        <v>0</v>
      </c>
      <c r="X24" s="118">
        <v>0</v>
      </c>
      <c r="Y24" s="117">
        <f t="shared" si="16"/>
        <v>0</v>
      </c>
      <c r="Z24" s="117">
        <f t="shared" si="17"/>
        <v>0</v>
      </c>
      <c r="AA24" s="119">
        <f t="shared" si="18"/>
        <v>0</v>
      </c>
      <c r="AB24" s="117">
        <f t="shared" si="19"/>
        <v>0</v>
      </c>
      <c r="AC24" s="118">
        <v>0</v>
      </c>
      <c r="AD24" s="119">
        <f t="shared" si="20"/>
        <v>0</v>
      </c>
      <c r="AE24" s="118">
        <v>109.16</v>
      </c>
      <c r="AF24" s="118">
        <v>1000</v>
      </c>
      <c r="AG24" s="118">
        <v>1212</v>
      </c>
      <c r="AH24" s="118"/>
      <c r="AI24" s="152">
        <f t="shared" si="21"/>
        <v>0</v>
      </c>
      <c r="AJ24" s="118">
        <v>0</v>
      </c>
      <c r="AK24" s="120">
        <f t="shared" si="32"/>
        <v>0</v>
      </c>
      <c r="AL24" s="121">
        <f t="shared" si="33"/>
        <v>-2321.16</v>
      </c>
      <c r="AM24" s="122"/>
      <c r="AN24" s="123">
        <f t="shared" si="34"/>
        <v>0</v>
      </c>
      <c r="AO24" s="124">
        <f t="shared" si="35"/>
        <v>129.46</v>
      </c>
      <c r="AP24" s="124">
        <f t="shared" si="36"/>
        <v>0</v>
      </c>
      <c r="AQ24" s="124">
        <f t="shared" si="37"/>
        <v>109.16</v>
      </c>
      <c r="AR24" s="124">
        <f t="shared" si="38"/>
        <v>0</v>
      </c>
      <c r="AS24" s="124">
        <f t="array" ref="AS24">_xlfn.IFS(S24=0,AL24,S24&lt;0,AL24/-S24,S24&gt;0,AL24/S24)</f>
        <v>-2321.16</v>
      </c>
      <c r="AT24" s="119">
        <f t="shared" si="39"/>
        <v>0</v>
      </c>
      <c r="AU24" s="119">
        <f t="shared" si="40"/>
        <v>-17.92955353004789</v>
      </c>
      <c r="AV24" s="125"/>
      <c r="AW24" s="120">
        <f t="shared" si="41"/>
        <v>-2321.16</v>
      </c>
    </row>
    <row r="25" spans="1:49" outlineLevel="1">
      <c r="A25" s="114"/>
      <c r="B25" s="115">
        <v>807104173</v>
      </c>
      <c r="C25" s="115" t="s">
        <v>183</v>
      </c>
      <c r="D25" s="116" t="s">
        <v>93</v>
      </c>
      <c r="E25" s="117">
        <f t="shared" si="13"/>
        <v>0</v>
      </c>
      <c r="F25" s="117">
        <v>0</v>
      </c>
      <c r="G25" s="117">
        <v>0</v>
      </c>
      <c r="H25" s="117">
        <v>0</v>
      </c>
      <c r="I25" s="117">
        <v>117.76</v>
      </c>
      <c r="J25" s="117">
        <f t="shared" si="29"/>
        <v>0</v>
      </c>
      <c r="K25" s="114" t="s">
        <v>145</v>
      </c>
      <c r="L25" s="114">
        <v>2</v>
      </c>
      <c r="M25" s="114">
        <v>1050</v>
      </c>
      <c r="N25" s="114">
        <v>0</v>
      </c>
      <c r="O25" s="213">
        <f t="shared" si="30"/>
        <v>0.2857142857142857</v>
      </c>
      <c r="P25" s="117">
        <f t="shared" si="31"/>
        <v>0</v>
      </c>
      <c r="Q25" s="118">
        <v>0</v>
      </c>
      <c r="R25" s="118">
        <v>0</v>
      </c>
      <c r="S25" s="117">
        <f t="shared" si="14"/>
        <v>0</v>
      </c>
      <c r="T25" s="118">
        <v>0</v>
      </c>
      <c r="U25" s="118">
        <v>0</v>
      </c>
      <c r="V25" s="117">
        <f t="shared" si="15"/>
        <v>0</v>
      </c>
      <c r="W25" s="118">
        <v>0</v>
      </c>
      <c r="X25" s="118">
        <v>0</v>
      </c>
      <c r="Y25" s="117">
        <f t="shared" si="16"/>
        <v>0</v>
      </c>
      <c r="Z25" s="117">
        <f t="shared" si="17"/>
        <v>0</v>
      </c>
      <c r="AA25" s="119">
        <f t="shared" si="18"/>
        <v>0</v>
      </c>
      <c r="AB25" s="117">
        <f t="shared" si="19"/>
        <v>0</v>
      </c>
      <c r="AC25" s="118">
        <v>0</v>
      </c>
      <c r="AD25" s="119">
        <f t="shared" si="20"/>
        <v>0</v>
      </c>
      <c r="AE25" s="118">
        <v>0</v>
      </c>
      <c r="AF25" s="118"/>
      <c r="AG25" s="118"/>
      <c r="AH25" s="118"/>
      <c r="AI25" s="152">
        <f t="shared" si="21"/>
        <v>0</v>
      </c>
      <c r="AJ25" s="118">
        <v>0</v>
      </c>
      <c r="AK25" s="120">
        <f t="shared" si="32"/>
        <v>0</v>
      </c>
      <c r="AL25" s="121">
        <f t="shared" si="33"/>
        <v>0</v>
      </c>
      <c r="AM25" s="122"/>
      <c r="AN25" s="123">
        <f t="shared" si="34"/>
        <v>0</v>
      </c>
      <c r="AO25" s="124">
        <f t="shared" si="35"/>
        <v>117.76</v>
      </c>
      <c r="AP25" s="124">
        <f t="shared" si="36"/>
        <v>0</v>
      </c>
      <c r="AQ25" s="124">
        <f t="shared" si="37"/>
        <v>0</v>
      </c>
      <c r="AR25" s="124">
        <f t="shared" si="38"/>
        <v>0</v>
      </c>
      <c r="AS25" s="124">
        <f t="array" ref="AS25">_xlfn.IFS(S25=0,AL25,S25&lt;0,AL25/-S25,S25&gt;0,AL25/S25)</f>
        <v>0</v>
      </c>
      <c r="AT25" s="119">
        <f t="shared" si="39"/>
        <v>0</v>
      </c>
      <c r="AU25" s="119">
        <f t="shared" si="40"/>
        <v>0</v>
      </c>
      <c r="AV25" s="125"/>
      <c r="AW25" s="120">
        <f t="shared" si="41"/>
        <v>0</v>
      </c>
    </row>
    <row r="26" spans="1:49" outlineLevel="1">
      <c r="A26" s="114"/>
      <c r="B26" s="115">
        <v>807130690</v>
      </c>
      <c r="C26" s="115" t="s">
        <v>184</v>
      </c>
      <c r="D26" s="116" t="s">
        <v>93</v>
      </c>
      <c r="E26" s="117">
        <f t="shared" si="13"/>
        <v>0</v>
      </c>
      <c r="F26" s="117">
        <v>0</v>
      </c>
      <c r="G26" s="117">
        <v>0</v>
      </c>
      <c r="H26" s="117">
        <v>0</v>
      </c>
      <c r="I26" s="117">
        <v>117.76</v>
      </c>
      <c r="J26" s="117">
        <f t="shared" si="29"/>
        <v>0</v>
      </c>
      <c r="K26" s="114" t="s">
        <v>145</v>
      </c>
      <c r="L26" s="114">
        <v>0</v>
      </c>
      <c r="M26" s="114">
        <v>0</v>
      </c>
      <c r="N26" s="114">
        <v>0</v>
      </c>
      <c r="O26" s="213">
        <f t="shared" si="30"/>
        <v>0</v>
      </c>
      <c r="P26" s="117">
        <f t="shared" si="31"/>
        <v>0</v>
      </c>
      <c r="Q26" s="118">
        <v>0</v>
      </c>
      <c r="R26" s="118">
        <v>0</v>
      </c>
      <c r="S26" s="117">
        <f t="shared" si="14"/>
        <v>0</v>
      </c>
      <c r="T26" s="118">
        <v>0</v>
      </c>
      <c r="U26" s="118">
        <v>0</v>
      </c>
      <c r="V26" s="117">
        <f t="shared" si="15"/>
        <v>0</v>
      </c>
      <c r="W26" s="118">
        <v>0</v>
      </c>
      <c r="X26" s="118">
        <v>0</v>
      </c>
      <c r="Y26" s="117">
        <f t="shared" si="16"/>
        <v>0</v>
      </c>
      <c r="Z26" s="117">
        <f t="shared" si="17"/>
        <v>0</v>
      </c>
      <c r="AA26" s="119">
        <f t="shared" si="18"/>
        <v>0</v>
      </c>
      <c r="AB26" s="117">
        <f t="shared" si="19"/>
        <v>0</v>
      </c>
      <c r="AC26" s="118">
        <v>0</v>
      </c>
      <c r="AD26" s="119">
        <f t="shared" si="20"/>
        <v>0</v>
      </c>
      <c r="AE26" s="118">
        <v>0</v>
      </c>
      <c r="AF26" s="118"/>
      <c r="AG26" s="118"/>
      <c r="AH26" s="118"/>
      <c r="AI26" s="152">
        <f t="shared" si="21"/>
        <v>0</v>
      </c>
      <c r="AJ26" s="118">
        <v>0</v>
      </c>
      <c r="AK26" s="120">
        <f t="shared" si="32"/>
        <v>0</v>
      </c>
      <c r="AL26" s="121">
        <f t="shared" si="33"/>
        <v>0</v>
      </c>
      <c r="AM26" s="122"/>
      <c r="AN26" s="123">
        <f t="shared" si="34"/>
        <v>0</v>
      </c>
      <c r="AO26" s="124">
        <f t="shared" si="35"/>
        <v>117.76</v>
      </c>
      <c r="AP26" s="124">
        <f t="shared" si="36"/>
        <v>0</v>
      </c>
      <c r="AQ26" s="124">
        <f t="shared" si="37"/>
        <v>0</v>
      </c>
      <c r="AR26" s="124">
        <f t="shared" si="38"/>
        <v>0</v>
      </c>
      <c r="AS26" s="124">
        <f t="array" ref="AS26">_xlfn.IFS(S26=0,AL26,S26&lt;0,AL26/-S26,S26&gt;0,AL26/S26)</f>
        <v>0</v>
      </c>
      <c r="AT26" s="119">
        <f t="shared" si="39"/>
        <v>0</v>
      </c>
      <c r="AU26" s="119">
        <f t="shared" si="40"/>
        <v>0</v>
      </c>
      <c r="AV26" s="125"/>
      <c r="AW26" s="120">
        <f t="shared" si="41"/>
        <v>0</v>
      </c>
    </row>
    <row r="27" spans="1:49" outlineLevel="1">
      <c r="A27" s="114"/>
      <c r="B27" s="115">
        <v>807111184</v>
      </c>
      <c r="C27" s="115" t="s">
        <v>185</v>
      </c>
      <c r="D27" s="116" t="s">
        <v>93</v>
      </c>
      <c r="E27" s="117">
        <f t="shared" si="13"/>
        <v>0</v>
      </c>
      <c r="F27" s="117">
        <v>0</v>
      </c>
      <c r="G27" s="117">
        <v>0</v>
      </c>
      <c r="H27" s="117">
        <v>0</v>
      </c>
      <c r="I27" s="117">
        <v>117.76</v>
      </c>
      <c r="J27" s="117">
        <f t="shared" si="29"/>
        <v>0</v>
      </c>
      <c r="K27" s="114" t="s">
        <v>145</v>
      </c>
      <c r="L27" s="114">
        <v>0</v>
      </c>
      <c r="M27" s="114">
        <v>0</v>
      </c>
      <c r="N27" s="114">
        <v>0</v>
      </c>
      <c r="O27" s="213">
        <f t="shared" si="30"/>
        <v>0</v>
      </c>
      <c r="P27" s="117">
        <f t="shared" si="31"/>
        <v>0</v>
      </c>
      <c r="Q27" s="118">
        <v>0</v>
      </c>
      <c r="R27" s="118">
        <v>0</v>
      </c>
      <c r="S27" s="117">
        <f t="shared" si="14"/>
        <v>0</v>
      </c>
      <c r="T27" s="118">
        <v>0</v>
      </c>
      <c r="U27" s="118">
        <v>0</v>
      </c>
      <c r="V27" s="117">
        <f t="shared" si="15"/>
        <v>0</v>
      </c>
      <c r="W27" s="118">
        <v>0</v>
      </c>
      <c r="X27" s="118">
        <v>0</v>
      </c>
      <c r="Y27" s="117">
        <f t="shared" si="16"/>
        <v>0</v>
      </c>
      <c r="Z27" s="117">
        <f t="shared" si="17"/>
        <v>0</v>
      </c>
      <c r="AA27" s="119">
        <f t="shared" si="18"/>
        <v>0</v>
      </c>
      <c r="AB27" s="117">
        <f t="shared" si="19"/>
        <v>0</v>
      </c>
      <c r="AC27" s="118">
        <v>0</v>
      </c>
      <c r="AD27" s="119">
        <f t="shared" si="20"/>
        <v>0</v>
      </c>
      <c r="AE27" s="118">
        <v>0</v>
      </c>
      <c r="AF27" s="118"/>
      <c r="AG27" s="118">
        <v>376</v>
      </c>
      <c r="AH27" s="118"/>
      <c r="AI27" s="152">
        <f t="shared" si="21"/>
        <v>0</v>
      </c>
      <c r="AJ27" s="118">
        <v>0</v>
      </c>
      <c r="AK27" s="120">
        <f t="shared" si="32"/>
        <v>0</v>
      </c>
      <c r="AL27" s="121">
        <f t="shared" si="33"/>
        <v>-376</v>
      </c>
      <c r="AM27" s="122"/>
      <c r="AN27" s="123">
        <f t="shared" si="34"/>
        <v>0</v>
      </c>
      <c r="AO27" s="124">
        <f t="shared" si="35"/>
        <v>117.76</v>
      </c>
      <c r="AP27" s="124">
        <f t="shared" si="36"/>
        <v>0</v>
      </c>
      <c r="AQ27" s="124">
        <f t="shared" si="37"/>
        <v>0</v>
      </c>
      <c r="AR27" s="124">
        <f t="shared" si="38"/>
        <v>0</v>
      </c>
      <c r="AS27" s="124">
        <f t="array" ref="AS27">_xlfn.IFS(S27=0,AL27,S27&lt;0,AL27/-S27,S27&gt;0,AL27/S27)</f>
        <v>-376</v>
      </c>
      <c r="AT27" s="119">
        <f t="shared" si="39"/>
        <v>0</v>
      </c>
      <c r="AU27" s="119">
        <f t="shared" si="40"/>
        <v>-3.1929347826086953</v>
      </c>
      <c r="AV27" s="125"/>
      <c r="AW27" s="120">
        <f t="shared" si="41"/>
        <v>0</v>
      </c>
    </row>
    <row r="28" spans="1:49" outlineLevel="1">
      <c r="A28" s="114"/>
      <c r="B28" s="115">
        <v>804632035</v>
      </c>
      <c r="C28" s="115" t="s">
        <v>186</v>
      </c>
      <c r="D28" s="116" t="s">
        <v>93</v>
      </c>
      <c r="E28" s="117">
        <f t="shared" si="13"/>
        <v>1</v>
      </c>
      <c r="F28" s="117">
        <v>0</v>
      </c>
      <c r="G28" s="117">
        <v>1</v>
      </c>
      <c r="H28" s="117">
        <v>0</v>
      </c>
      <c r="I28" s="117">
        <v>218.89</v>
      </c>
      <c r="J28" s="117">
        <f t="shared" si="29"/>
        <v>218.89</v>
      </c>
      <c r="K28" s="114" t="s">
        <v>145</v>
      </c>
      <c r="L28" s="114">
        <v>2</v>
      </c>
      <c r="M28" s="114">
        <v>990</v>
      </c>
      <c r="N28" s="114">
        <v>0</v>
      </c>
      <c r="O28" s="213">
        <f t="shared" si="30"/>
        <v>0.2857142857142857</v>
      </c>
      <c r="P28" s="117">
        <f t="shared" si="31"/>
        <v>0</v>
      </c>
      <c r="Q28" s="118">
        <v>0</v>
      </c>
      <c r="R28" s="118">
        <v>0</v>
      </c>
      <c r="S28" s="117">
        <f t="shared" si="14"/>
        <v>0</v>
      </c>
      <c r="T28" s="118">
        <v>0</v>
      </c>
      <c r="U28" s="118">
        <v>0</v>
      </c>
      <c r="V28" s="117">
        <f t="shared" si="15"/>
        <v>0</v>
      </c>
      <c r="W28" s="118">
        <v>0</v>
      </c>
      <c r="X28" s="118">
        <v>0</v>
      </c>
      <c r="Y28" s="117">
        <f t="shared" si="16"/>
        <v>0</v>
      </c>
      <c r="Z28" s="117">
        <f t="shared" si="17"/>
        <v>0</v>
      </c>
      <c r="AA28" s="119">
        <f t="shared" si="18"/>
        <v>0</v>
      </c>
      <c r="AB28" s="117">
        <f t="shared" si="19"/>
        <v>0</v>
      </c>
      <c r="AC28" s="118">
        <v>0</v>
      </c>
      <c r="AD28" s="119">
        <f t="shared" si="20"/>
        <v>0</v>
      </c>
      <c r="AE28" s="118">
        <v>0</v>
      </c>
      <c r="AF28" s="118"/>
      <c r="AG28" s="118"/>
      <c r="AH28" s="118"/>
      <c r="AI28" s="152">
        <f t="shared" si="21"/>
        <v>0</v>
      </c>
      <c r="AJ28" s="118">
        <v>0</v>
      </c>
      <c r="AK28" s="120">
        <f t="shared" si="32"/>
        <v>0</v>
      </c>
      <c r="AL28" s="121">
        <f t="shared" si="33"/>
        <v>0</v>
      </c>
      <c r="AM28" s="122"/>
      <c r="AN28" s="123">
        <f t="shared" si="34"/>
        <v>0</v>
      </c>
      <c r="AO28" s="124">
        <f t="shared" si="35"/>
        <v>218.89</v>
      </c>
      <c r="AP28" s="124">
        <f t="shared" si="36"/>
        <v>0</v>
      </c>
      <c r="AQ28" s="124">
        <f t="shared" si="37"/>
        <v>0</v>
      </c>
      <c r="AR28" s="124">
        <f t="shared" si="38"/>
        <v>0</v>
      </c>
      <c r="AS28" s="124">
        <f t="array" ref="AS28">_xlfn.IFS(S28=0,AL28,S28&lt;0,AL28/-S28,S28&gt;0,AL28/S28)</f>
        <v>0</v>
      </c>
      <c r="AT28" s="119">
        <f t="shared" si="39"/>
        <v>0</v>
      </c>
      <c r="AU28" s="119">
        <f t="shared" si="40"/>
        <v>0</v>
      </c>
      <c r="AV28" s="125"/>
      <c r="AW28" s="120">
        <f t="shared" si="41"/>
        <v>0</v>
      </c>
    </row>
    <row r="29" spans="1:49" outlineLevel="1">
      <c r="A29" s="114"/>
      <c r="B29" s="115">
        <v>804647664</v>
      </c>
      <c r="C29" s="115" t="s">
        <v>187</v>
      </c>
      <c r="D29" s="116" t="s">
        <v>93</v>
      </c>
      <c r="E29" s="117">
        <f t="shared" si="13"/>
        <v>3</v>
      </c>
      <c r="F29" s="117">
        <v>1</v>
      </c>
      <c r="G29" s="117">
        <v>2</v>
      </c>
      <c r="H29" s="117">
        <v>0</v>
      </c>
      <c r="I29" s="117">
        <v>218.89</v>
      </c>
      <c r="J29" s="117">
        <f t="shared" si="29"/>
        <v>656.67</v>
      </c>
      <c r="K29" s="114" t="s">
        <v>145</v>
      </c>
      <c r="L29" s="114">
        <v>3</v>
      </c>
      <c r="M29" s="114">
        <v>1020</v>
      </c>
      <c r="N29" s="114">
        <v>0</v>
      </c>
      <c r="O29" s="213">
        <f t="shared" si="30"/>
        <v>0.42857142857142855</v>
      </c>
      <c r="P29" s="117">
        <f t="shared" si="31"/>
        <v>0</v>
      </c>
      <c r="Q29" s="118">
        <v>0</v>
      </c>
      <c r="R29" s="118">
        <v>0</v>
      </c>
      <c r="S29" s="117">
        <f t="shared" si="14"/>
        <v>0</v>
      </c>
      <c r="T29" s="118">
        <v>0</v>
      </c>
      <c r="U29" s="118">
        <v>0</v>
      </c>
      <c r="V29" s="117">
        <f t="shared" si="15"/>
        <v>0</v>
      </c>
      <c r="W29" s="118">
        <v>0</v>
      </c>
      <c r="X29" s="118">
        <v>0</v>
      </c>
      <c r="Y29" s="117">
        <f t="shared" si="16"/>
        <v>0</v>
      </c>
      <c r="Z29" s="117">
        <f t="shared" si="17"/>
        <v>0</v>
      </c>
      <c r="AA29" s="119">
        <f t="shared" si="18"/>
        <v>0</v>
      </c>
      <c r="AB29" s="117">
        <f t="shared" si="19"/>
        <v>0</v>
      </c>
      <c r="AC29" s="118">
        <v>0</v>
      </c>
      <c r="AD29" s="119">
        <f t="shared" si="20"/>
        <v>0</v>
      </c>
      <c r="AE29" s="118">
        <v>0</v>
      </c>
      <c r="AF29" s="118"/>
      <c r="AG29" s="118">
        <v>1000</v>
      </c>
      <c r="AH29" s="118"/>
      <c r="AI29" s="152">
        <f t="shared" si="21"/>
        <v>0</v>
      </c>
      <c r="AJ29" s="118">
        <v>0</v>
      </c>
      <c r="AK29" s="120">
        <f t="shared" si="32"/>
        <v>0</v>
      </c>
      <c r="AL29" s="121">
        <f t="shared" si="33"/>
        <v>-1000</v>
      </c>
      <c r="AM29" s="122"/>
      <c r="AN29" s="123">
        <f t="shared" si="34"/>
        <v>0</v>
      </c>
      <c r="AO29" s="124">
        <f t="shared" si="35"/>
        <v>218.89</v>
      </c>
      <c r="AP29" s="124">
        <f t="shared" si="36"/>
        <v>0</v>
      </c>
      <c r="AQ29" s="124">
        <f t="shared" si="37"/>
        <v>0</v>
      </c>
      <c r="AR29" s="124">
        <f t="shared" si="38"/>
        <v>0</v>
      </c>
      <c r="AS29" s="124">
        <f t="array" ref="AS29">_xlfn.IFS(S29=0,AL29,S29&lt;0,AL29/-S29,S29&gt;0,AL29/S29)</f>
        <v>-1000</v>
      </c>
      <c r="AT29" s="119">
        <f t="shared" si="39"/>
        <v>0</v>
      </c>
      <c r="AU29" s="119">
        <f t="shared" si="40"/>
        <v>-4.5685047284023943</v>
      </c>
      <c r="AV29" s="125"/>
      <c r="AW29" s="120">
        <f t="shared" si="41"/>
        <v>-3000</v>
      </c>
    </row>
    <row r="30" spans="1:49" outlineLevel="1">
      <c r="A30" s="114"/>
      <c r="B30" s="115">
        <v>804587637</v>
      </c>
      <c r="C30" s="115" t="s">
        <v>188</v>
      </c>
      <c r="D30" s="116" t="s">
        <v>93</v>
      </c>
      <c r="E30" s="117">
        <f t="shared" si="13"/>
        <v>0</v>
      </c>
      <c r="F30" s="117">
        <v>0</v>
      </c>
      <c r="G30" s="117">
        <v>0</v>
      </c>
      <c r="H30" s="117">
        <v>0</v>
      </c>
      <c r="I30" s="117">
        <v>178.89</v>
      </c>
      <c r="J30" s="117">
        <f t="shared" si="29"/>
        <v>0</v>
      </c>
      <c r="K30" s="114" t="s">
        <v>145</v>
      </c>
      <c r="L30" s="114">
        <v>0</v>
      </c>
      <c r="M30" s="114">
        <v>0</v>
      </c>
      <c r="N30" s="114">
        <v>0</v>
      </c>
      <c r="O30" s="213">
        <f t="shared" si="30"/>
        <v>0</v>
      </c>
      <c r="P30" s="117">
        <f t="shared" si="31"/>
        <v>0</v>
      </c>
      <c r="Q30" s="118">
        <v>0</v>
      </c>
      <c r="R30" s="118">
        <v>0</v>
      </c>
      <c r="S30" s="117">
        <f t="shared" si="14"/>
        <v>0</v>
      </c>
      <c r="T30" s="118">
        <v>0</v>
      </c>
      <c r="U30" s="118">
        <v>0</v>
      </c>
      <c r="V30" s="117">
        <f t="shared" si="15"/>
        <v>0</v>
      </c>
      <c r="W30" s="118">
        <v>0</v>
      </c>
      <c r="X30" s="118">
        <v>0</v>
      </c>
      <c r="Y30" s="117">
        <f t="shared" si="16"/>
        <v>0</v>
      </c>
      <c r="Z30" s="117">
        <f t="shared" si="17"/>
        <v>0</v>
      </c>
      <c r="AA30" s="119">
        <f t="shared" si="18"/>
        <v>0</v>
      </c>
      <c r="AB30" s="117">
        <f t="shared" si="19"/>
        <v>0</v>
      </c>
      <c r="AC30" s="118">
        <v>0</v>
      </c>
      <c r="AD30" s="119">
        <f t="shared" si="20"/>
        <v>0</v>
      </c>
      <c r="AE30" s="118">
        <v>0</v>
      </c>
      <c r="AF30" s="118">
        <v>1000</v>
      </c>
      <c r="AG30" s="118">
        <v>119</v>
      </c>
      <c r="AH30" s="118"/>
      <c r="AI30" s="152">
        <f t="shared" si="21"/>
        <v>0</v>
      </c>
      <c r="AJ30" s="118">
        <v>0</v>
      </c>
      <c r="AK30" s="120">
        <f t="shared" si="32"/>
        <v>0</v>
      </c>
      <c r="AL30" s="121">
        <f t="shared" si="33"/>
        <v>-1119</v>
      </c>
      <c r="AM30" s="122"/>
      <c r="AN30" s="123">
        <f t="shared" si="34"/>
        <v>0</v>
      </c>
      <c r="AO30" s="124">
        <f t="shared" si="35"/>
        <v>178.89</v>
      </c>
      <c r="AP30" s="124">
        <f t="shared" si="36"/>
        <v>0</v>
      </c>
      <c r="AQ30" s="124">
        <f t="shared" si="37"/>
        <v>0</v>
      </c>
      <c r="AR30" s="124">
        <f t="shared" si="38"/>
        <v>0</v>
      </c>
      <c r="AS30" s="124">
        <f t="array" ref="AS30">_xlfn.IFS(S30=0,AL30,S30&lt;0,AL30/-S30,S30&gt;0,AL30/S30)</f>
        <v>-1119</v>
      </c>
      <c r="AT30" s="119">
        <f t="shared" si="39"/>
        <v>0</v>
      </c>
      <c r="AU30" s="119">
        <f t="shared" si="40"/>
        <v>-6.2552406506791884</v>
      </c>
      <c r="AV30" s="125"/>
      <c r="AW30" s="120">
        <f t="shared" si="41"/>
        <v>0</v>
      </c>
    </row>
    <row r="31" spans="1:49" outlineLevel="1">
      <c r="A31" s="114"/>
      <c r="B31" s="115">
        <v>804573581</v>
      </c>
      <c r="C31" s="115" t="s">
        <v>189</v>
      </c>
      <c r="D31" s="116" t="s">
        <v>93</v>
      </c>
      <c r="E31" s="117">
        <f t="shared" si="13"/>
        <v>0</v>
      </c>
      <c r="F31" s="117">
        <v>0</v>
      </c>
      <c r="G31" s="117">
        <v>0</v>
      </c>
      <c r="H31" s="117">
        <v>0</v>
      </c>
      <c r="I31" s="117">
        <v>178.89</v>
      </c>
      <c r="J31" s="117">
        <f t="shared" si="29"/>
        <v>0</v>
      </c>
      <c r="K31" s="114" t="s">
        <v>145</v>
      </c>
      <c r="L31" s="114">
        <v>3</v>
      </c>
      <c r="M31" s="114">
        <v>990</v>
      </c>
      <c r="N31" s="114">
        <v>0</v>
      </c>
      <c r="O31" s="213">
        <f t="shared" si="30"/>
        <v>0.42857142857142855</v>
      </c>
      <c r="P31" s="117">
        <f t="shared" si="31"/>
        <v>0</v>
      </c>
      <c r="Q31" s="118">
        <v>0</v>
      </c>
      <c r="R31" s="118">
        <v>0</v>
      </c>
      <c r="S31" s="117">
        <f t="shared" si="14"/>
        <v>0</v>
      </c>
      <c r="T31" s="118">
        <v>0</v>
      </c>
      <c r="U31" s="118">
        <v>0</v>
      </c>
      <c r="V31" s="117">
        <f t="shared" si="15"/>
        <v>0</v>
      </c>
      <c r="W31" s="118">
        <v>0</v>
      </c>
      <c r="X31" s="118">
        <v>0</v>
      </c>
      <c r="Y31" s="117">
        <f t="shared" si="16"/>
        <v>0</v>
      </c>
      <c r="Z31" s="117">
        <f t="shared" si="17"/>
        <v>0</v>
      </c>
      <c r="AA31" s="119">
        <f t="shared" si="18"/>
        <v>0</v>
      </c>
      <c r="AB31" s="117">
        <f t="shared" si="19"/>
        <v>0</v>
      </c>
      <c r="AC31" s="118">
        <v>0</v>
      </c>
      <c r="AD31" s="119">
        <f t="shared" si="20"/>
        <v>0</v>
      </c>
      <c r="AE31" s="118">
        <v>0</v>
      </c>
      <c r="AF31" s="118"/>
      <c r="AG31" s="118"/>
      <c r="AH31" s="118"/>
      <c r="AI31" s="152">
        <f t="shared" si="21"/>
        <v>0</v>
      </c>
      <c r="AJ31" s="118">
        <v>0</v>
      </c>
      <c r="AK31" s="120">
        <f t="shared" si="32"/>
        <v>0</v>
      </c>
      <c r="AL31" s="121">
        <f t="shared" si="33"/>
        <v>0</v>
      </c>
      <c r="AM31" s="122"/>
      <c r="AN31" s="123">
        <f t="shared" si="34"/>
        <v>0</v>
      </c>
      <c r="AO31" s="124">
        <f t="shared" si="35"/>
        <v>178.89</v>
      </c>
      <c r="AP31" s="124">
        <f t="shared" si="36"/>
        <v>0</v>
      </c>
      <c r="AQ31" s="124">
        <f t="shared" si="37"/>
        <v>0</v>
      </c>
      <c r="AR31" s="124">
        <f t="shared" si="38"/>
        <v>0</v>
      </c>
      <c r="AS31" s="124">
        <f t="array" ref="AS31">_xlfn.IFS(S31=0,AL31,S31&lt;0,AL31/-S31,S31&gt;0,AL31/S31)</f>
        <v>0</v>
      </c>
      <c r="AT31" s="119">
        <f t="shared" si="39"/>
        <v>0</v>
      </c>
      <c r="AU31" s="119">
        <f t="shared" si="40"/>
        <v>0</v>
      </c>
      <c r="AV31" s="125"/>
      <c r="AW31" s="120">
        <f t="shared" si="41"/>
        <v>0</v>
      </c>
    </row>
    <row r="32" spans="1:49" outlineLevel="1">
      <c r="A32" s="114"/>
      <c r="B32" s="115">
        <v>804546783</v>
      </c>
      <c r="C32" s="115" t="s">
        <v>190</v>
      </c>
      <c r="D32" s="116" t="s">
        <v>93</v>
      </c>
      <c r="E32" s="117">
        <f t="shared" si="13"/>
        <v>4</v>
      </c>
      <c r="F32" s="117">
        <v>1</v>
      </c>
      <c r="G32" s="117">
        <v>3</v>
      </c>
      <c r="H32" s="117">
        <v>0</v>
      </c>
      <c r="I32" s="117">
        <v>178.89</v>
      </c>
      <c r="J32" s="117">
        <f t="shared" si="29"/>
        <v>715.56</v>
      </c>
      <c r="K32" s="114" t="s">
        <v>145</v>
      </c>
      <c r="L32" s="114">
        <v>5</v>
      </c>
      <c r="M32" s="114">
        <v>906</v>
      </c>
      <c r="N32" s="114">
        <v>0</v>
      </c>
      <c r="O32" s="213">
        <f t="shared" si="30"/>
        <v>0.7142857142857143</v>
      </c>
      <c r="P32" s="117">
        <f t="shared" si="31"/>
        <v>0</v>
      </c>
      <c r="Q32" s="118">
        <v>0</v>
      </c>
      <c r="R32" s="118">
        <v>0</v>
      </c>
      <c r="S32" s="117">
        <f t="shared" si="14"/>
        <v>0</v>
      </c>
      <c r="T32" s="118">
        <v>0</v>
      </c>
      <c r="U32" s="118">
        <v>0</v>
      </c>
      <c r="V32" s="117">
        <f t="shared" si="15"/>
        <v>0</v>
      </c>
      <c r="W32" s="118">
        <v>0</v>
      </c>
      <c r="X32" s="118">
        <v>0</v>
      </c>
      <c r="Y32" s="117">
        <f t="shared" si="16"/>
        <v>0</v>
      </c>
      <c r="Z32" s="117">
        <f t="shared" si="17"/>
        <v>0</v>
      </c>
      <c r="AA32" s="119">
        <f t="shared" si="18"/>
        <v>0</v>
      </c>
      <c r="AB32" s="117">
        <f t="shared" si="19"/>
        <v>0</v>
      </c>
      <c r="AC32" s="118">
        <v>0</v>
      </c>
      <c r="AD32" s="119">
        <f t="shared" si="20"/>
        <v>0</v>
      </c>
      <c r="AE32" s="118">
        <v>0</v>
      </c>
      <c r="AF32" s="118"/>
      <c r="AG32" s="118">
        <v>427</v>
      </c>
      <c r="AH32" s="118"/>
      <c r="AI32" s="152">
        <f t="shared" si="21"/>
        <v>0</v>
      </c>
      <c r="AJ32" s="118">
        <v>0</v>
      </c>
      <c r="AK32" s="120">
        <f t="shared" si="32"/>
        <v>0</v>
      </c>
      <c r="AL32" s="121">
        <f t="shared" si="33"/>
        <v>-427</v>
      </c>
      <c r="AM32" s="122"/>
      <c r="AN32" s="123">
        <f t="shared" si="34"/>
        <v>0</v>
      </c>
      <c r="AO32" s="124">
        <f t="shared" si="35"/>
        <v>178.89</v>
      </c>
      <c r="AP32" s="124">
        <f t="shared" si="36"/>
        <v>0</v>
      </c>
      <c r="AQ32" s="124">
        <f t="shared" si="37"/>
        <v>0</v>
      </c>
      <c r="AR32" s="124">
        <f t="shared" si="38"/>
        <v>0</v>
      </c>
      <c r="AS32" s="124">
        <f t="array" ref="AS32">_xlfn.IFS(S32=0,AL32,S32&lt;0,AL32/-S32,S32&gt;0,AL32/S32)</f>
        <v>-427</v>
      </c>
      <c r="AT32" s="119">
        <f t="shared" si="39"/>
        <v>0</v>
      </c>
      <c r="AU32" s="119">
        <f t="shared" si="40"/>
        <v>-2.3869416960143108</v>
      </c>
      <c r="AV32" s="125"/>
      <c r="AW32" s="120">
        <f t="shared" si="41"/>
        <v>-1708</v>
      </c>
    </row>
    <row r="33" spans="1:49" outlineLevel="1">
      <c r="A33" s="114"/>
      <c r="B33" s="115">
        <v>804671683</v>
      </c>
      <c r="C33" s="115" t="s">
        <v>191</v>
      </c>
      <c r="D33" s="116" t="s">
        <v>93</v>
      </c>
      <c r="E33" s="117">
        <f t="shared" si="13"/>
        <v>1</v>
      </c>
      <c r="F33" s="117">
        <v>0</v>
      </c>
      <c r="G33" s="117">
        <v>1</v>
      </c>
      <c r="H33" s="117">
        <v>0</v>
      </c>
      <c r="I33" s="117">
        <v>178.89</v>
      </c>
      <c r="J33" s="117">
        <f t="shared" si="29"/>
        <v>178.89</v>
      </c>
      <c r="K33" s="114" t="s">
        <v>145</v>
      </c>
      <c r="L33" s="114">
        <v>3</v>
      </c>
      <c r="M33" s="114">
        <v>1056</v>
      </c>
      <c r="N33" s="114">
        <v>0</v>
      </c>
      <c r="O33" s="213">
        <f t="shared" si="30"/>
        <v>0.42857142857142855</v>
      </c>
      <c r="P33" s="117">
        <f t="shared" si="31"/>
        <v>0</v>
      </c>
      <c r="Q33" s="118">
        <v>0</v>
      </c>
      <c r="R33" s="118">
        <v>0</v>
      </c>
      <c r="S33" s="117">
        <f t="shared" si="14"/>
        <v>0</v>
      </c>
      <c r="T33" s="118">
        <v>0</v>
      </c>
      <c r="U33" s="118">
        <v>0</v>
      </c>
      <c r="V33" s="117">
        <f t="shared" si="15"/>
        <v>0</v>
      </c>
      <c r="W33" s="118">
        <v>0</v>
      </c>
      <c r="X33" s="118">
        <v>0</v>
      </c>
      <c r="Y33" s="117">
        <f t="shared" si="16"/>
        <v>0</v>
      </c>
      <c r="Z33" s="117">
        <f t="shared" si="17"/>
        <v>0</v>
      </c>
      <c r="AA33" s="119">
        <f t="shared" si="18"/>
        <v>0</v>
      </c>
      <c r="AB33" s="117">
        <f t="shared" si="19"/>
        <v>0</v>
      </c>
      <c r="AC33" s="118">
        <v>0</v>
      </c>
      <c r="AD33" s="119">
        <f t="shared" si="20"/>
        <v>0</v>
      </c>
      <c r="AE33" s="118">
        <v>0</v>
      </c>
      <c r="AF33" s="118"/>
      <c r="AG33" s="118"/>
      <c r="AH33" s="118"/>
      <c r="AI33" s="152">
        <f t="shared" si="21"/>
        <v>0</v>
      </c>
      <c r="AJ33" s="118">
        <v>0</v>
      </c>
      <c r="AK33" s="120">
        <f t="shared" si="32"/>
        <v>0</v>
      </c>
      <c r="AL33" s="121">
        <f t="shared" si="33"/>
        <v>0</v>
      </c>
      <c r="AM33" s="122"/>
      <c r="AN33" s="123">
        <f t="shared" si="34"/>
        <v>0</v>
      </c>
      <c r="AO33" s="124">
        <f t="shared" si="35"/>
        <v>178.89</v>
      </c>
      <c r="AP33" s="124">
        <f t="shared" si="36"/>
        <v>0</v>
      </c>
      <c r="AQ33" s="124">
        <f t="shared" si="37"/>
        <v>0</v>
      </c>
      <c r="AR33" s="124">
        <f t="shared" si="38"/>
        <v>0</v>
      </c>
      <c r="AS33" s="124">
        <f t="array" ref="AS33">_xlfn.IFS(S33=0,AL33,S33&lt;0,AL33/-S33,S33&gt;0,AL33/S33)</f>
        <v>0</v>
      </c>
      <c r="AT33" s="119">
        <f t="shared" si="39"/>
        <v>0</v>
      </c>
      <c r="AU33" s="119">
        <f t="shared" si="40"/>
        <v>0</v>
      </c>
      <c r="AV33" s="125"/>
      <c r="AW33" s="120">
        <f t="shared" si="41"/>
        <v>0</v>
      </c>
    </row>
    <row r="34" spans="1:49" outlineLevel="1">
      <c r="A34" s="114"/>
      <c r="B34" s="115">
        <v>804691336</v>
      </c>
      <c r="C34" s="115" t="s">
        <v>192</v>
      </c>
      <c r="D34" s="116" t="s">
        <v>93</v>
      </c>
      <c r="E34" s="117">
        <f t="shared" si="13"/>
        <v>0</v>
      </c>
      <c r="F34" s="117">
        <v>0</v>
      </c>
      <c r="G34" s="117">
        <v>0</v>
      </c>
      <c r="H34" s="117">
        <v>0</v>
      </c>
      <c r="I34" s="117">
        <v>178.89</v>
      </c>
      <c r="J34" s="117">
        <f t="shared" si="29"/>
        <v>0</v>
      </c>
      <c r="K34" s="114" t="s">
        <v>145</v>
      </c>
      <c r="L34" s="114">
        <v>0</v>
      </c>
      <c r="M34" s="114">
        <v>0</v>
      </c>
      <c r="N34" s="114">
        <v>0</v>
      </c>
      <c r="O34" s="213">
        <f t="shared" si="30"/>
        <v>0</v>
      </c>
      <c r="P34" s="117">
        <f t="shared" si="31"/>
        <v>0</v>
      </c>
      <c r="Q34" s="118">
        <v>0</v>
      </c>
      <c r="R34" s="118">
        <v>0</v>
      </c>
      <c r="S34" s="117">
        <f t="shared" si="14"/>
        <v>0</v>
      </c>
      <c r="T34" s="118">
        <v>0</v>
      </c>
      <c r="U34" s="118">
        <v>0</v>
      </c>
      <c r="V34" s="117">
        <f t="shared" si="15"/>
        <v>0</v>
      </c>
      <c r="W34" s="118">
        <v>0</v>
      </c>
      <c r="X34" s="118">
        <v>0</v>
      </c>
      <c r="Y34" s="117">
        <f t="shared" si="16"/>
        <v>0</v>
      </c>
      <c r="Z34" s="117">
        <f t="shared" si="17"/>
        <v>0</v>
      </c>
      <c r="AA34" s="119">
        <f t="shared" si="18"/>
        <v>0</v>
      </c>
      <c r="AB34" s="117">
        <f t="shared" si="19"/>
        <v>0</v>
      </c>
      <c r="AC34" s="118">
        <v>0</v>
      </c>
      <c r="AD34" s="119">
        <f t="shared" si="20"/>
        <v>0</v>
      </c>
      <c r="AE34" s="118">
        <v>0</v>
      </c>
      <c r="AF34" s="118"/>
      <c r="AG34" s="118"/>
      <c r="AH34" s="118"/>
      <c r="AI34" s="152">
        <f t="shared" si="21"/>
        <v>0</v>
      </c>
      <c r="AJ34" s="118">
        <v>0</v>
      </c>
      <c r="AK34" s="120">
        <f t="shared" si="32"/>
        <v>0</v>
      </c>
      <c r="AL34" s="121">
        <f t="shared" si="33"/>
        <v>0</v>
      </c>
      <c r="AM34" s="122"/>
      <c r="AN34" s="123">
        <f t="shared" si="34"/>
        <v>0</v>
      </c>
      <c r="AO34" s="124">
        <f t="shared" si="35"/>
        <v>178.89</v>
      </c>
      <c r="AP34" s="124">
        <f t="shared" si="36"/>
        <v>0</v>
      </c>
      <c r="AQ34" s="124">
        <f t="shared" si="37"/>
        <v>0</v>
      </c>
      <c r="AR34" s="124">
        <f t="shared" si="38"/>
        <v>0</v>
      </c>
      <c r="AS34" s="124">
        <f t="array" ref="AS34">_xlfn.IFS(S34=0,AL34,S34&lt;0,AL34/-S34,S34&gt;0,AL34/S34)</f>
        <v>0</v>
      </c>
      <c r="AT34" s="119">
        <f t="shared" si="39"/>
        <v>0</v>
      </c>
      <c r="AU34" s="119">
        <f t="shared" si="40"/>
        <v>0</v>
      </c>
      <c r="AV34" s="125"/>
      <c r="AW34" s="120">
        <f t="shared" si="41"/>
        <v>0</v>
      </c>
    </row>
    <row r="35" spans="1:49" s="140" customFormat="1" outlineLevel="1">
      <c r="A35" s="127"/>
      <c r="B35" s="128"/>
      <c r="C35" s="129"/>
      <c r="D35" s="130"/>
      <c r="E35" s="131"/>
      <c r="F35" s="131"/>
      <c r="G35" s="131"/>
      <c r="H35" s="131"/>
      <c r="I35" s="131"/>
      <c r="J35" s="131"/>
      <c r="K35" s="129"/>
      <c r="L35" s="129"/>
      <c r="M35" s="129"/>
      <c r="N35" s="129"/>
      <c r="O35" s="131"/>
      <c r="P35" s="131"/>
      <c r="Q35" s="132"/>
      <c r="R35" s="132"/>
      <c r="S35" s="131"/>
      <c r="T35" s="118"/>
      <c r="U35" s="118"/>
      <c r="V35" s="131"/>
      <c r="W35" s="132"/>
      <c r="X35" s="132"/>
      <c r="Y35" s="131"/>
      <c r="Z35" s="131"/>
      <c r="AA35" s="133"/>
      <c r="AB35" s="131"/>
      <c r="AC35" s="132"/>
      <c r="AD35" s="133"/>
      <c r="AE35" s="132"/>
      <c r="AF35" s="132"/>
      <c r="AG35" s="132"/>
      <c r="AH35" s="132"/>
      <c r="AI35" s="134"/>
      <c r="AJ35" s="132"/>
      <c r="AK35" s="135"/>
      <c r="AL35" s="136"/>
      <c r="AM35" s="137"/>
      <c r="AN35" s="138">
        <f t="shared" ref="AN35:AU35" si="42">AVERAGE(AN3:AN6)</f>
        <v>1113.583211111111</v>
      </c>
      <c r="AO35" s="138">
        <f t="shared" si="42"/>
        <v>128.0625</v>
      </c>
      <c r="AP35" s="138">
        <f t="shared" si="42"/>
        <v>404.32131250000009</v>
      </c>
      <c r="AQ35" s="138">
        <f t="shared" si="42"/>
        <v>110.92126940359475</v>
      </c>
      <c r="AR35" s="138">
        <f t="shared" si="42"/>
        <v>218.66891339869281</v>
      </c>
      <c r="AS35" s="138">
        <f t="shared" si="42"/>
        <v>221.4937286060331</v>
      </c>
      <c r="AT35" s="139">
        <f t="shared" si="42"/>
        <v>0.20192502027993248</v>
      </c>
      <c r="AU35" s="138">
        <f t="shared" si="42"/>
        <v>1.7020910533035154</v>
      </c>
      <c r="AV35" s="125"/>
      <c r="AW35" s="135"/>
    </row>
    <row r="36" spans="1:49" s="148" customFormat="1">
      <c r="A36" s="141" t="s">
        <v>106</v>
      </c>
      <c r="B36" s="142"/>
      <c r="C36" s="143"/>
      <c r="D36" s="143"/>
      <c r="E36" s="143">
        <f>SUM(E3:E34)</f>
        <v>2242</v>
      </c>
      <c r="F36" s="143">
        <f>SUM(F3:F34)</f>
        <v>249</v>
      </c>
      <c r="G36" s="143">
        <f>SUM(G3:G34)</f>
        <v>62</v>
      </c>
      <c r="H36" s="143">
        <f>SUM(H3:H34)</f>
        <v>1931</v>
      </c>
      <c r="I36" s="143"/>
      <c r="J36" s="143">
        <f>SUM(J3:J34)</f>
        <v>304430.87000000005</v>
      </c>
      <c r="K36" s="143"/>
      <c r="L36" s="143">
        <f>SUM(L3:L34)</f>
        <v>388</v>
      </c>
      <c r="M36" s="143"/>
      <c r="N36" s="143"/>
      <c r="O36" s="143"/>
      <c r="P36" s="143"/>
      <c r="Q36" s="143">
        <f t="shared" ref="Q36:AC36" si="43">SUM(Q3:Q34)</f>
        <v>212</v>
      </c>
      <c r="R36" s="143">
        <f t="shared" si="43"/>
        <v>-2</v>
      </c>
      <c r="S36" s="143">
        <f t="shared" si="43"/>
        <v>210</v>
      </c>
      <c r="T36" s="143">
        <f t="shared" si="43"/>
        <v>149383.20000000001</v>
      </c>
      <c r="U36" s="143">
        <f t="shared" si="43"/>
        <v>-1458</v>
      </c>
      <c r="V36" s="143">
        <f t="shared" si="43"/>
        <v>147925.20000000001</v>
      </c>
      <c r="W36" s="143">
        <f t="shared" si="43"/>
        <v>234275.74</v>
      </c>
      <c r="X36" s="143">
        <f t="shared" si="43"/>
        <v>-2388</v>
      </c>
      <c r="Y36" s="143">
        <f t="shared" si="43"/>
        <v>231887.74</v>
      </c>
      <c r="Z36" s="143">
        <f t="shared" si="43"/>
        <v>278107.38999999996</v>
      </c>
      <c r="AA36" s="144">
        <f t="shared" si="43"/>
        <v>0.99999999999999978</v>
      </c>
      <c r="AB36" s="145">
        <f t="shared" si="43"/>
        <v>27919.799999999996</v>
      </c>
      <c r="AC36" s="145">
        <f t="shared" si="43"/>
        <v>84374.680000000022</v>
      </c>
      <c r="AD36" s="144">
        <f>AC36/Y36</f>
        <v>0.363860029857551</v>
      </c>
      <c r="AE36" s="143">
        <f t="shared" ref="AE36:AL36" si="44">SUM(AE3:AE34)</f>
        <v>22767.799999999996</v>
      </c>
      <c r="AF36" s="143">
        <f t="shared" si="44"/>
        <v>16968</v>
      </c>
      <c r="AG36" s="143">
        <f t="shared" si="44"/>
        <v>25029</v>
      </c>
      <c r="AH36" s="143">
        <f t="shared" si="44"/>
        <v>0</v>
      </c>
      <c r="AI36" s="143">
        <f t="shared" si="44"/>
        <v>1132.4600000000003</v>
      </c>
      <c r="AJ36" s="143">
        <f t="shared" si="44"/>
        <v>0</v>
      </c>
      <c r="AK36" s="143">
        <f t="shared" si="44"/>
        <v>1479.2519999999997</v>
      </c>
      <c r="AL36" s="143">
        <f t="shared" si="44"/>
        <v>52216.747999999992</v>
      </c>
      <c r="AM36" s="146"/>
      <c r="AN36" s="143"/>
      <c r="AO36" s="143"/>
      <c r="AP36" s="143"/>
      <c r="AQ36" s="143"/>
      <c r="AR36" s="143">
        <f>(AF36+AG36)/Q36</f>
        <v>198.09905660377359</v>
      </c>
      <c r="AS36" s="143"/>
      <c r="AT36" s="143"/>
      <c r="AU36" s="143"/>
      <c r="AV36" s="147"/>
      <c r="AW36" s="143">
        <f>SUM(AW3:AW6)</f>
        <v>296067.42695096525</v>
      </c>
    </row>
    <row r="37" spans="1:49">
      <c r="A37" s="114"/>
      <c r="B37" s="115"/>
      <c r="C37" s="115"/>
      <c r="D37" s="149"/>
      <c r="E37" s="118"/>
      <c r="F37" s="118"/>
      <c r="G37" s="118"/>
      <c r="H37" s="118"/>
      <c r="I37" s="118"/>
      <c r="J37" s="118"/>
      <c r="K37" s="114"/>
      <c r="L37" s="114"/>
      <c r="M37" s="114"/>
      <c r="N37" s="114"/>
      <c r="O37" s="118"/>
      <c r="P37" s="118"/>
      <c r="Q37" s="118"/>
      <c r="R37" s="118"/>
      <c r="S37" s="118"/>
      <c r="T37" s="118"/>
      <c r="U37" s="118"/>
      <c r="V37" s="118"/>
      <c r="W37" s="118"/>
      <c r="X37" s="118"/>
      <c r="Y37" s="118"/>
      <c r="Z37" s="118"/>
      <c r="AA37" s="150"/>
      <c r="AB37" s="118"/>
      <c r="AC37" s="118"/>
      <c r="AD37" s="150"/>
      <c r="AE37" s="118"/>
      <c r="AF37" s="346"/>
      <c r="AG37" s="346"/>
      <c r="AH37" s="256"/>
      <c r="AI37" s="152"/>
      <c r="AJ37" s="118"/>
      <c r="AK37" s="153"/>
      <c r="AL37" s="154"/>
      <c r="AM37" s="122"/>
      <c r="AN37" s="155"/>
      <c r="AO37" s="156"/>
      <c r="AP37" s="156"/>
      <c r="AQ37" s="156"/>
      <c r="AR37" s="156"/>
      <c r="AS37" s="156"/>
      <c r="AT37" s="157"/>
      <c r="AU37" s="157"/>
      <c r="AV37" s="125"/>
      <c r="AW37" s="153"/>
    </row>
    <row r="38" spans="1:49" hidden="1" outlineLevel="1">
      <c r="A38" s="114"/>
      <c r="B38" s="115"/>
      <c r="C38" s="115"/>
      <c r="D38" s="116"/>
      <c r="E38" s="117">
        <f t="shared" ref="E38:E69" si="45">SUM(F38:H38)</f>
        <v>0</v>
      </c>
      <c r="F38" s="117"/>
      <c r="G38" s="117"/>
      <c r="H38" s="117"/>
      <c r="I38" s="117"/>
      <c r="J38" s="117">
        <f t="shared" ref="J38:J89" si="46">E38*I38</f>
        <v>0</v>
      </c>
      <c r="K38" s="114"/>
      <c r="L38" s="114"/>
      <c r="M38" s="114"/>
      <c r="N38" s="114"/>
      <c r="O38" s="117">
        <f t="shared" ref="O38:O89" si="47">L38/7</f>
        <v>0</v>
      </c>
      <c r="P38" s="117">
        <f t="shared" ref="P38:P89" si="48">S38/7</f>
        <v>0</v>
      </c>
      <c r="Q38" s="118"/>
      <c r="R38" s="118"/>
      <c r="S38" s="117">
        <f t="shared" ref="S38:S89" si="49">Q38+R38</f>
        <v>0</v>
      </c>
      <c r="T38" s="117"/>
      <c r="U38" s="117"/>
      <c r="V38" s="117">
        <f t="shared" ref="V38:V89" si="50">T38+U38</f>
        <v>0</v>
      </c>
      <c r="W38" s="118"/>
      <c r="X38" s="118"/>
      <c r="Y38" s="117">
        <f t="shared" ref="Y38:Y89" si="51">W38+X38</f>
        <v>0</v>
      </c>
      <c r="Z38" s="117">
        <f t="shared" ref="Z38:Z84" si="52">L38*M38*N38/100</f>
        <v>0</v>
      </c>
      <c r="AA38" s="119">
        <f>Y38/$Y$93</f>
        <v>0</v>
      </c>
      <c r="AB38" s="117">
        <f t="shared" ref="AB38:AB89" si="53">S38*I38</f>
        <v>0</v>
      </c>
      <c r="AC38" s="118"/>
      <c r="AD38" s="119">
        <f t="shared" ref="AD38:AD89" si="54">IF(Y38=0,0,AC38/Y38)</f>
        <v>0</v>
      </c>
      <c r="AE38" s="118"/>
      <c r="AF38" s="118"/>
      <c r="AG38" s="118"/>
      <c r="AH38" s="118"/>
      <c r="AI38" s="152">
        <f t="shared" ref="AI38:AI89" si="55">$AI$93*H38/$H$93</f>
        <v>0</v>
      </c>
      <c r="AJ38" s="118"/>
      <c r="AK38" s="120">
        <f t="shared" ref="AK38:AK89" si="56">V38*1%</f>
        <v>0</v>
      </c>
      <c r="AL38" s="121">
        <f t="shared" ref="AL38:AL89" si="57">Y38-AB38-AC38-AE38-AF38-AG38-AH38-AI38-AK38-AJ38</f>
        <v>0</v>
      </c>
      <c r="AM38" s="122"/>
      <c r="AN38" s="123">
        <f t="shared" ref="AN38:AN89" si="58">IF(S38=0,0,Y38/S38)</f>
        <v>0</v>
      </c>
      <c r="AO38" s="124">
        <f t="shared" ref="AO38:AO89" si="59">I38</f>
        <v>0</v>
      </c>
      <c r="AP38" s="124">
        <f t="shared" ref="AP38:AP89" si="60">IF(S38=0,0,AC38/S38)</f>
        <v>0</v>
      </c>
      <c r="AQ38" s="124">
        <f t="shared" ref="AQ38:AQ89" si="61">IF(Q38=0,AE38/1,AE38/Q38)</f>
        <v>0</v>
      </c>
      <c r="AR38" s="124">
        <f t="shared" ref="AR38:AR89" si="62">IF(Q38=0,0,(AF38+AG38)/Q38)</f>
        <v>0</v>
      </c>
      <c r="AS38" s="124">
        <f t="array" ref="AS38">_xlfn.IFS(S38=0,AL38,S38&lt;0,AL38/-S38,S38&gt;0,AL38/S38)</f>
        <v>0</v>
      </c>
      <c r="AT38" s="119">
        <f t="shared" ref="AT38:AT89" si="63">IF(AN38=0,0,AS38/AN38)</f>
        <v>0</v>
      </c>
      <c r="AU38" s="119">
        <f t="shared" ref="AU38:AU89" si="64">IF(AO38=0,0,AS38/AO38)</f>
        <v>0</v>
      </c>
      <c r="AV38" s="125"/>
      <c r="AW38" s="120">
        <f t="shared" ref="AW38:AW89" si="65">AS38*E38</f>
        <v>0</v>
      </c>
    </row>
    <row r="39" spans="1:49" hidden="1" outlineLevel="1">
      <c r="A39" s="114"/>
      <c r="B39" s="115"/>
      <c r="C39" s="115"/>
      <c r="D39" s="116"/>
      <c r="E39" s="117">
        <f t="shared" si="45"/>
        <v>0</v>
      </c>
      <c r="F39" s="117"/>
      <c r="G39" s="117"/>
      <c r="H39" s="117"/>
      <c r="I39" s="117"/>
      <c r="J39" s="117">
        <f t="shared" si="46"/>
        <v>0</v>
      </c>
      <c r="K39" s="114"/>
      <c r="L39" s="114"/>
      <c r="M39" s="114"/>
      <c r="N39" s="114"/>
      <c r="O39" s="117">
        <f t="shared" si="47"/>
        <v>0</v>
      </c>
      <c r="P39" s="117">
        <f t="shared" si="48"/>
        <v>0</v>
      </c>
      <c r="Q39" s="118"/>
      <c r="R39" s="118"/>
      <c r="S39" s="117">
        <f t="shared" si="49"/>
        <v>0</v>
      </c>
      <c r="T39" s="117"/>
      <c r="U39" s="117"/>
      <c r="V39" s="117">
        <f t="shared" si="50"/>
        <v>0</v>
      </c>
      <c r="W39" s="118"/>
      <c r="X39" s="118"/>
      <c r="Y39" s="117">
        <f t="shared" si="51"/>
        <v>0</v>
      </c>
      <c r="Z39" s="117">
        <f t="shared" si="52"/>
        <v>0</v>
      </c>
      <c r="AA39" s="119">
        <f t="shared" ref="AA39:AA89" si="66">Y39/$Y$93</f>
        <v>0</v>
      </c>
      <c r="AB39" s="117">
        <f t="shared" si="53"/>
        <v>0</v>
      </c>
      <c r="AC39" s="118"/>
      <c r="AD39" s="119">
        <f t="shared" si="54"/>
        <v>0</v>
      </c>
      <c r="AE39" s="118"/>
      <c r="AF39" s="118"/>
      <c r="AG39" s="118"/>
      <c r="AH39" s="118"/>
      <c r="AI39" s="152">
        <f t="shared" si="55"/>
        <v>0</v>
      </c>
      <c r="AJ39" s="118"/>
      <c r="AK39" s="120">
        <f t="shared" si="56"/>
        <v>0</v>
      </c>
      <c r="AL39" s="121">
        <f t="shared" si="57"/>
        <v>0</v>
      </c>
      <c r="AM39" s="122"/>
      <c r="AN39" s="123">
        <f t="shared" si="58"/>
        <v>0</v>
      </c>
      <c r="AO39" s="124">
        <f t="shared" si="59"/>
        <v>0</v>
      </c>
      <c r="AP39" s="124">
        <f t="shared" si="60"/>
        <v>0</v>
      </c>
      <c r="AQ39" s="124">
        <f t="shared" si="61"/>
        <v>0</v>
      </c>
      <c r="AR39" s="124">
        <f t="shared" si="62"/>
        <v>0</v>
      </c>
      <c r="AS39" s="124">
        <f t="array" ref="AS39">_xlfn.IFS(S39=0,AL39,S39&lt;0,AL39/-S39,S39&gt;0,AL39/S39)</f>
        <v>0</v>
      </c>
      <c r="AT39" s="119">
        <f t="shared" si="63"/>
        <v>0</v>
      </c>
      <c r="AU39" s="119">
        <f t="shared" si="64"/>
        <v>0</v>
      </c>
      <c r="AV39" s="125"/>
      <c r="AW39" s="120">
        <f t="shared" si="65"/>
        <v>0</v>
      </c>
    </row>
    <row r="40" spans="1:49" hidden="1" outlineLevel="1">
      <c r="A40" s="114"/>
      <c r="B40" s="115"/>
      <c r="C40" s="115"/>
      <c r="D40" s="116"/>
      <c r="E40" s="117">
        <f t="shared" si="45"/>
        <v>0</v>
      </c>
      <c r="F40" s="117"/>
      <c r="G40" s="117"/>
      <c r="H40" s="117"/>
      <c r="I40" s="117"/>
      <c r="J40" s="117">
        <f t="shared" si="46"/>
        <v>0</v>
      </c>
      <c r="K40" s="114"/>
      <c r="L40" s="114"/>
      <c r="M40" s="114"/>
      <c r="N40" s="114"/>
      <c r="O40" s="117">
        <f t="shared" si="47"/>
        <v>0</v>
      </c>
      <c r="P40" s="117">
        <f t="shared" si="48"/>
        <v>0</v>
      </c>
      <c r="Q40" s="118"/>
      <c r="R40" s="118"/>
      <c r="S40" s="117">
        <f t="shared" si="49"/>
        <v>0</v>
      </c>
      <c r="T40" s="117"/>
      <c r="U40" s="117"/>
      <c r="V40" s="117">
        <f t="shared" si="50"/>
        <v>0</v>
      </c>
      <c r="W40" s="118"/>
      <c r="X40" s="118"/>
      <c r="Y40" s="117">
        <f t="shared" si="51"/>
        <v>0</v>
      </c>
      <c r="Z40" s="117">
        <f t="shared" si="52"/>
        <v>0</v>
      </c>
      <c r="AA40" s="119">
        <f t="shared" si="66"/>
        <v>0</v>
      </c>
      <c r="AB40" s="117">
        <f t="shared" si="53"/>
        <v>0</v>
      </c>
      <c r="AC40" s="118"/>
      <c r="AD40" s="119">
        <f t="shared" si="54"/>
        <v>0</v>
      </c>
      <c r="AE40" s="118"/>
      <c r="AF40" s="118"/>
      <c r="AG40" s="118"/>
      <c r="AH40" s="118"/>
      <c r="AI40" s="152">
        <f t="shared" si="55"/>
        <v>0</v>
      </c>
      <c r="AJ40" s="118"/>
      <c r="AK40" s="120">
        <f t="shared" si="56"/>
        <v>0</v>
      </c>
      <c r="AL40" s="121">
        <f t="shared" si="57"/>
        <v>0</v>
      </c>
      <c r="AM40" s="122"/>
      <c r="AN40" s="123">
        <f t="shared" si="58"/>
        <v>0</v>
      </c>
      <c r="AO40" s="124">
        <f t="shared" si="59"/>
        <v>0</v>
      </c>
      <c r="AP40" s="124">
        <f t="shared" si="60"/>
        <v>0</v>
      </c>
      <c r="AQ40" s="124">
        <f t="shared" si="61"/>
        <v>0</v>
      </c>
      <c r="AR40" s="124">
        <f t="shared" si="62"/>
        <v>0</v>
      </c>
      <c r="AS40" s="124">
        <f t="array" ref="AS40">_xlfn.IFS(S40=0,AL40,S40&lt;0,AL40/-S40,S40&gt;0,AL40/S40)</f>
        <v>0</v>
      </c>
      <c r="AT40" s="119">
        <f t="shared" si="63"/>
        <v>0</v>
      </c>
      <c r="AU40" s="119">
        <f t="shared" si="64"/>
        <v>0</v>
      </c>
      <c r="AV40" s="125"/>
      <c r="AW40" s="120">
        <f t="shared" si="65"/>
        <v>0</v>
      </c>
    </row>
    <row r="41" spans="1:49" hidden="1" outlineLevel="1">
      <c r="A41" s="114"/>
      <c r="B41" s="115"/>
      <c r="C41" s="115"/>
      <c r="D41" s="116"/>
      <c r="E41" s="117">
        <f t="shared" si="45"/>
        <v>0</v>
      </c>
      <c r="F41" s="117"/>
      <c r="G41" s="117"/>
      <c r="H41" s="117"/>
      <c r="I41" s="117"/>
      <c r="J41" s="117">
        <f t="shared" si="46"/>
        <v>0</v>
      </c>
      <c r="K41" s="114"/>
      <c r="L41" s="114"/>
      <c r="M41" s="114"/>
      <c r="N41" s="114"/>
      <c r="O41" s="117">
        <f t="shared" si="47"/>
        <v>0</v>
      </c>
      <c r="P41" s="117">
        <f t="shared" si="48"/>
        <v>0</v>
      </c>
      <c r="Q41" s="118"/>
      <c r="R41" s="118"/>
      <c r="S41" s="117">
        <f t="shared" si="49"/>
        <v>0</v>
      </c>
      <c r="T41" s="117"/>
      <c r="U41" s="117"/>
      <c r="V41" s="117">
        <f t="shared" si="50"/>
        <v>0</v>
      </c>
      <c r="W41" s="118"/>
      <c r="X41" s="118"/>
      <c r="Y41" s="117">
        <f t="shared" si="51"/>
        <v>0</v>
      </c>
      <c r="Z41" s="117">
        <f t="shared" si="52"/>
        <v>0</v>
      </c>
      <c r="AA41" s="119">
        <f t="shared" si="66"/>
        <v>0</v>
      </c>
      <c r="AB41" s="117">
        <f t="shared" si="53"/>
        <v>0</v>
      </c>
      <c r="AC41" s="118"/>
      <c r="AD41" s="119">
        <f t="shared" si="54"/>
        <v>0</v>
      </c>
      <c r="AE41" s="118"/>
      <c r="AF41" s="118"/>
      <c r="AG41" s="118"/>
      <c r="AH41" s="118"/>
      <c r="AI41" s="152">
        <f t="shared" si="55"/>
        <v>0</v>
      </c>
      <c r="AJ41" s="118"/>
      <c r="AK41" s="120">
        <f t="shared" si="56"/>
        <v>0</v>
      </c>
      <c r="AL41" s="121">
        <f t="shared" si="57"/>
        <v>0</v>
      </c>
      <c r="AM41" s="122"/>
      <c r="AN41" s="123">
        <f t="shared" si="58"/>
        <v>0</v>
      </c>
      <c r="AO41" s="124">
        <f t="shared" si="59"/>
        <v>0</v>
      </c>
      <c r="AP41" s="124">
        <f t="shared" si="60"/>
        <v>0</v>
      </c>
      <c r="AQ41" s="124">
        <f t="shared" si="61"/>
        <v>0</v>
      </c>
      <c r="AR41" s="124">
        <f t="shared" si="62"/>
        <v>0</v>
      </c>
      <c r="AS41" s="124">
        <f t="array" ref="AS41">_xlfn.IFS(S41=0,AL41,S41&lt;0,AL41/-S41,S41&gt;0,AL41/S41)</f>
        <v>0</v>
      </c>
      <c r="AT41" s="119">
        <f t="shared" si="63"/>
        <v>0</v>
      </c>
      <c r="AU41" s="119">
        <f t="shared" si="64"/>
        <v>0</v>
      </c>
      <c r="AV41" s="125"/>
      <c r="AW41" s="120">
        <f t="shared" si="65"/>
        <v>0</v>
      </c>
    </row>
    <row r="42" spans="1:49" hidden="1" outlineLevel="1">
      <c r="A42" s="114"/>
      <c r="B42" s="115"/>
      <c r="C42" s="115"/>
      <c r="D42" s="116"/>
      <c r="E42" s="117">
        <f t="shared" si="45"/>
        <v>0</v>
      </c>
      <c r="F42" s="117"/>
      <c r="G42" s="117"/>
      <c r="H42" s="117"/>
      <c r="I42" s="117"/>
      <c r="J42" s="117">
        <f t="shared" si="46"/>
        <v>0</v>
      </c>
      <c r="K42" s="114"/>
      <c r="L42" s="114"/>
      <c r="M42" s="114"/>
      <c r="N42" s="114"/>
      <c r="O42" s="117">
        <f t="shared" si="47"/>
        <v>0</v>
      </c>
      <c r="P42" s="117">
        <f t="shared" si="48"/>
        <v>0</v>
      </c>
      <c r="Q42" s="118"/>
      <c r="R42" s="118"/>
      <c r="S42" s="117">
        <f t="shared" si="49"/>
        <v>0</v>
      </c>
      <c r="T42" s="117"/>
      <c r="U42" s="117"/>
      <c r="V42" s="117">
        <f t="shared" si="50"/>
        <v>0</v>
      </c>
      <c r="W42" s="118"/>
      <c r="X42" s="118"/>
      <c r="Y42" s="117">
        <f t="shared" si="51"/>
        <v>0</v>
      </c>
      <c r="Z42" s="117">
        <f t="shared" si="52"/>
        <v>0</v>
      </c>
      <c r="AA42" s="119">
        <f t="shared" si="66"/>
        <v>0</v>
      </c>
      <c r="AB42" s="117">
        <f t="shared" si="53"/>
        <v>0</v>
      </c>
      <c r="AC42" s="118"/>
      <c r="AD42" s="119">
        <f t="shared" si="54"/>
        <v>0</v>
      </c>
      <c r="AE42" s="118"/>
      <c r="AF42" s="118"/>
      <c r="AG42" s="118"/>
      <c r="AH42" s="118"/>
      <c r="AI42" s="152">
        <f t="shared" si="55"/>
        <v>0</v>
      </c>
      <c r="AJ42" s="118"/>
      <c r="AK42" s="120">
        <f t="shared" si="56"/>
        <v>0</v>
      </c>
      <c r="AL42" s="121">
        <f t="shared" si="57"/>
        <v>0</v>
      </c>
      <c r="AM42" s="122"/>
      <c r="AN42" s="123">
        <f t="shared" si="58"/>
        <v>0</v>
      </c>
      <c r="AO42" s="124">
        <f t="shared" si="59"/>
        <v>0</v>
      </c>
      <c r="AP42" s="124">
        <f t="shared" si="60"/>
        <v>0</v>
      </c>
      <c r="AQ42" s="124">
        <f t="shared" si="61"/>
        <v>0</v>
      </c>
      <c r="AR42" s="124">
        <f t="shared" si="62"/>
        <v>0</v>
      </c>
      <c r="AS42" s="124">
        <f t="array" ref="AS42">_xlfn.IFS(S42=0,AL42,S42&lt;0,AL42/-S42,S42&gt;0,AL42/S42)</f>
        <v>0</v>
      </c>
      <c r="AT42" s="119">
        <f t="shared" si="63"/>
        <v>0</v>
      </c>
      <c r="AU42" s="119">
        <f t="shared" si="64"/>
        <v>0</v>
      </c>
      <c r="AV42" s="125"/>
      <c r="AW42" s="120">
        <f t="shared" si="65"/>
        <v>0</v>
      </c>
    </row>
    <row r="43" spans="1:49" hidden="1" outlineLevel="1">
      <c r="A43" s="114"/>
      <c r="B43" s="115"/>
      <c r="C43" s="115"/>
      <c r="D43" s="116"/>
      <c r="E43" s="117">
        <f t="shared" si="45"/>
        <v>0</v>
      </c>
      <c r="F43" s="117"/>
      <c r="G43" s="117"/>
      <c r="H43" s="117"/>
      <c r="I43" s="117"/>
      <c r="J43" s="117">
        <f t="shared" si="46"/>
        <v>0</v>
      </c>
      <c r="K43" s="114"/>
      <c r="L43" s="114"/>
      <c r="M43" s="114"/>
      <c r="N43" s="114"/>
      <c r="O43" s="117">
        <f t="shared" si="47"/>
        <v>0</v>
      </c>
      <c r="P43" s="117">
        <f t="shared" si="48"/>
        <v>0</v>
      </c>
      <c r="Q43" s="118"/>
      <c r="R43" s="118"/>
      <c r="S43" s="117">
        <f t="shared" si="49"/>
        <v>0</v>
      </c>
      <c r="T43" s="117"/>
      <c r="U43" s="117"/>
      <c r="V43" s="117">
        <f t="shared" si="50"/>
        <v>0</v>
      </c>
      <c r="W43" s="118"/>
      <c r="X43" s="118"/>
      <c r="Y43" s="117">
        <f t="shared" si="51"/>
        <v>0</v>
      </c>
      <c r="Z43" s="117">
        <f t="shared" si="52"/>
        <v>0</v>
      </c>
      <c r="AA43" s="119">
        <f t="shared" si="66"/>
        <v>0</v>
      </c>
      <c r="AB43" s="117">
        <f t="shared" si="53"/>
        <v>0</v>
      </c>
      <c r="AC43" s="118"/>
      <c r="AD43" s="119">
        <f t="shared" si="54"/>
        <v>0</v>
      </c>
      <c r="AE43" s="118"/>
      <c r="AF43" s="118"/>
      <c r="AG43" s="118"/>
      <c r="AH43" s="118"/>
      <c r="AI43" s="152">
        <f t="shared" si="55"/>
        <v>0</v>
      </c>
      <c r="AJ43" s="118"/>
      <c r="AK43" s="120">
        <f t="shared" si="56"/>
        <v>0</v>
      </c>
      <c r="AL43" s="121">
        <f t="shared" si="57"/>
        <v>0</v>
      </c>
      <c r="AM43" s="122"/>
      <c r="AN43" s="123">
        <f t="shared" si="58"/>
        <v>0</v>
      </c>
      <c r="AO43" s="124">
        <f t="shared" si="59"/>
        <v>0</v>
      </c>
      <c r="AP43" s="124">
        <f t="shared" si="60"/>
        <v>0</v>
      </c>
      <c r="AQ43" s="124">
        <f t="shared" si="61"/>
        <v>0</v>
      </c>
      <c r="AR43" s="124">
        <f t="shared" si="62"/>
        <v>0</v>
      </c>
      <c r="AS43" s="124">
        <f t="array" ref="AS43">_xlfn.IFS(S43=0,AL43,S43&lt;0,AL43/-S43,S43&gt;0,AL43/S43)</f>
        <v>0</v>
      </c>
      <c r="AT43" s="119">
        <f t="shared" si="63"/>
        <v>0</v>
      </c>
      <c r="AU43" s="119">
        <f t="shared" si="64"/>
        <v>0</v>
      </c>
      <c r="AV43" s="125"/>
      <c r="AW43" s="120">
        <f t="shared" si="65"/>
        <v>0</v>
      </c>
    </row>
    <row r="44" spans="1:49" hidden="1" outlineLevel="1">
      <c r="A44" s="114"/>
      <c r="B44" s="115"/>
      <c r="C44" s="115"/>
      <c r="D44" s="116"/>
      <c r="E44" s="117">
        <f t="shared" si="45"/>
        <v>0</v>
      </c>
      <c r="F44" s="117"/>
      <c r="G44" s="117"/>
      <c r="H44" s="117"/>
      <c r="I44" s="117"/>
      <c r="J44" s="117">
        <f t="shared" si="46"/>
        <v>0</v>
      </c>
      <c r="K44" s="114"/>
      <c r="L44" s="114"/>
      <c r="M44" s="114"/>
      <c r="N44" s="114"/>
      <c r="O44" s="117">
        <f t="shared" si="47"/>
        <v>0</v>
      </c>
      <c r="P44" s="117">
        <f t="shared" si="48"/>
        <v>0</v>
      </c>
      <c r="Q44" s="118"/>
      <c r="R44" s="118"/>
      <c r="S44" s="117">
        <f t="shared" si="49"/>
        <v>0</v>
      </c>
      <c r="T44" s="117"/>
      <c r="U44" s="117"/>
      <c r="V44" s="117">
        <f t="shared" si="50"/>
        <v>0</v>
      </c>
      <c r="W44" s="118"/>
      <c r="X44" s="118"/>
      <c r="Y44" s="117">
        <f t="shared" si="51"/>
        <v>0</v>
      </c>
      <c r="Z44" s="117">
        <f t="shared" si="52"/>
        <v>0</v>
      </c>
      <c r="AA44" s="119">
        <f t="shared" si="66"/>
        <v>0</v>
      </c>
      <c r="AB44" s="117">
        <f t="shared" si="53"/>
        <v>0</v>
      </c>
      <c r="AC44" s="118"/>
      <c r="AD44" s="119">
        <f t="shared" si="54"/>
        <v>0</v>
      </c>
      <c r="AE44" s="118"/>
      <c r="AF44" s="118"/>
      <c r="AG44" s="118"/>
      <c r="AH44" s="118"/>
      <c r="AI44" s="152">
        <f t="shared" si="55"/>
        <v>0</v>
      </c>
      <c r="AJ44" s="118"/>
      <c r="AK44" s="120">
        <f t="shared" si="56"/>
        <v>0</v>
      </c>
      <c r="AL44" s="121">
        <f t="shared" si="57"/>
        <v>0</v>
      </c>
      <c r="AM44" s="122"/>
      <c r="AN44" s="123">
        <f t="shared" si="58"/>
        <v>0</v>
      </c>
      <c r="AO44" s="124">
        <f t="shared" si="59"/>
        <v>0</v>
      </c>
      <c r="AP44" s="124">
        <f t="shared" si="60"/>
        <v>0</v>
      </c>
      <c r="AQ44" s="124">
        <f t="shared" si="61"/>
        <v>0</v>
      </c>
      <c r="AR44" s="124">
        <f t="shared" si="62"/>
        <v>0</v>
      </c>
      <c r="AS44" s="124">
        <f t="array" ref="AS44">_xlfn.IFS(S44=0,AL44,S44&lt;0,AL44/-S44,S44&gt;0,AL44/S44)</f>
        <v>0</v>
      </c>
      <c r="AT44" s="119">
        <f t="shared" si="63"/>
        <v>0</v>
      </c>
      <c r="AU44" s="119">
        <f t="shared" si="64"/>
        <v>0</v>
      </c>
      <c r="AV44" s="125"/>
      <c r="AW44" s="120">
        <f t="shared" si="65"/>
        <v>0</v>
      </c>
    </row>
    <row r="45" spans="1:49" hidden="1" outlineLevel="1">
      <c r="A45" s="114"/>
      <c r="B45" s="115"/>
      <c r="C45" s="115"/>
      <c r="D45" s="116"/>
      <c r="E45" s="117">
        <f t="shared" si="45"/>
        <v>0</v>
      </c>
      <c r="F45" s="117"/>
      <c r="G45" s="117"/>
      <c r="H45" s="117"/>
      <c r="I45" s="117"/>
      <c r="J45" s="117">
        <f t="shared" si="46"/>
        <v>0</v>
      </c>
      <c r="K45" s="114"/>
      <c r="L45" s="114"/>
      <c r="M45" s="114"/>
      <c r="N45" s="114"/>
      <c r="O45" s="117">
        <f t="shared" si="47"/>
        <v>0</v>
      </c>
      <c r="P45" s="117">
        <f t="shared" si="48"/>
        <v>0</v>
      </c>
      <c r="Q45" s="118"/>
      <c r="R45" s="118"/>
      <c r="S45" s="117">
        <f t="shared" si="49"/>
        <v>0</v>
      </c>
      <c r="T45" s="117"/>
      <c r="U45" s="117"/>
      <c r="V45" s="117">
        <f t="shared" si="50"/>
        <v>0</v>
      </c>
      <c r="W45" s="118"/>
      <c r="X45" s="118"/>
      <c r="Y45" s="117">
        <f t="shared" si="51"/>
        <v>0</v>
      </c>
      <c r="Z45" s="117">
        <f t="shared" si="52"/>
        <v>0</v>
      </c>
      <c r="AA45" s="119">
        <f t="shared" si="66"/>
        <v>0</v>
      </c>
      <c r="AB45" s="117">
        <f t="shared" si="53"/>
        <v>0</v>
      </c>
      <c r="AC45" s="118"/>
      <c r="AD45" s="119">
        <f t="shared" si="54"/>
        <v>0</v>
      </c>
      <c r="AE45" s="118"/>
      <c r="AF45" s="118"/>
      <c r="AG45" s="118"/>
      <c r="AH45" s="118"/>
      <c r="AI45" s="152">
        <f t="shared" si="55"/>
        <v>0</v>
      </c>
      <c r="AJ45" s="118"/>
      <c r="AK45" s="120">
        <f t="shared" si="56"/>
        <v>0</v>
      </c>
      <c r="AL45" s="121">
        <f t="shared" si="57"/>
        <v>0</v>
      </c>
      <c r="AM45" s="122"/>
      <c r="AN45" s="123">
        <f t="shared" si="58"/>
        <v>0</v>
      </c>
      <c r="AO45" s="124">
        <f t="shared" si="59"/>
        <v>0</v>
      </c>
      <c r="AP45" s="124">
        <f t="shared" si="60"/>
        <v>0</v>
      </c>
      <c r="AQ45" s="124">
        <f t="shared" si="61"/>
        <v>0</v>
      </c>
      <c r="AR45" s="124">
        <f t="shared" si="62"/>
        <v>0</v>
      </c>
      <c r="AS45" s="124">
        <f t="array" ref="AS45">_xlfn.IFS(S45=0,AL45,S45&lt;0,AL45/-S45,S45&gt;0,AL45/S45)</f>
        <v>0</v>
      </c>
      <c r="AT45" s="119">
        <f t="shared" si="63"/>
        <v>0</v>
      </c>
      <c r="AU45" s="119">
        <f t="shared" si="64"/>
        <v>0</v>
      </c>
      <c r="AV45" s="125"/>
      <c r="AW45" s="120">
        <f t="shared" si="65"/>
        <v>0</v>
      </c>
    </row>
    <row r="46" spans="1:49" hidden="1" outlineLevel="1">
      <c r="A46" s="114"/>
      <c r="B46" s="115"/>
      <c r="C46" s="115"/>
      <c r="D46" s="116"/>
      <c r="E46" s="117">
        <f t="shared" si="45"/>
        <v>0</v>
      </c>
      <c r="F46" s="117"/>
      <c r="G46" s="117"/>
      <c r="H46" s="117"/>
      <c r="I46" s="117"/>
      <c r="J46" s="117">
        <f t="shared" si="46"/>
        <v>0</v>
      </c>
      <c r="K46" s="114"/>
      <c r="L46" s="114"/>
      <c r="M46" s="114"/>
      <c r="N46" s="114"/>
      <c r="O46" s="117">
        <f t="shared" si="47"/>
        <v>0</v>
      </c>
      <c r="P46" s="117">
        <f t="shared" si="48"/>
        <v>0</v>
      </c>
      <c r="Q46" s="118"/>
      <c r="R46" s="118"/>
      <c r="S46" s="117">
        <f t="shared" si="49"/>
        <v>0</v>
      </c>
      <c r="T46" s="117"/>
      <c r="U46" s="117"/>
      <c r="V46" s="117">
        <f t="shared" si="50"/>
        <v>0</v>
      </c>
      <c r="W46" s="118"/>
      <c r="X46" s="118"/>
      <c r="Y46" s="117">
        <f t="shared" si="51"/>
        <v>0</v>
      </c>
      <c r="Z46" s="117">
        <f t="shared" si="52"/>
        <v>0</v>
      </c>
      <c r="AA46" s="119">
        <f t="shared" si="66"/>
        <v>0</v>
      </c>
      <c r="AB46" s="117">
        <f t="shared" si="53"/>
        <v>0</v>
      </c>
      <c r="AC46" s="118"/>
      <c r="AD46" s="119">
        <f t="shared" si="54"/>
        <v>0</v>
      </c>
      <c r="AE46" s="118"/>
      <c r="AF46" s="118"/>
      <c r="AG46" s="118"/>
      <c r="AH46" s="118"/>
      <c r="AI46" s="152">
        <f t="shared" si="55"/>
        <v>0</v>
      </c>
      <c r="AJ46" s="118"/>
      <c r="AK46" s="120">
        <f t="shared" si="56"/>
        <v>0</v>
      </c>
      <c r="AL46" s="121">
        <f t="shared" si="57"/>
        <v>0</v>
      </c>
      <c r="AM46" s="122"/>
      <c r="AN46" s="123">
        <f t="shared" si="58"/>
        <v>0</v>
      </c>
      <c r="AO46" s="124">
        <f t="shared" si="59"/>
        <v>0</v>
      </c>
      <c r="AP46" s="124">
        <f t="shared" si="60"/>
        <v>0</v>
      </c>
      <c r="AQ46" s="124">
        <f t="shared" si="61"/>
        <v>0</v>
      </c>
      <c r="AR46" s="124">
        <f t="shared" si="62"/>
        <v>0</v>
      </c>
      <c r="AS46" s="124">
        <f t="array" ref="AS46">_xlfn.IFS(S46=0,AL46,S46&lt;0,AL46/-S46,S46&gt;0,AL46/S46)</f>
        <v>0</v>
      </c>
      <c r="AT46" s="119">
        <f t="shared" si="63"/>
        <v>0</v>
      </c>
      <c r="AU46" s="119">
        <f t="shared" si="64"/>
        <v>0</v>
      </c>
      <c r="AV46" s="125"/>
      <c r="AW46" s="120">
        <f t="shared" si="65"/>
        <v>0</v>
      </c>
    </row>
    <row r="47" spans="1:49" hidden="1" outlineLevel="1">
      <c r="A47" s="114"/>
      <c r="B47" s="115"/>
      <c r="C47" s="115"/>
      <c r="D47" s="116"/>
      <c r="E47" s="117">
        <f t="shared" si="45"/>
        <v>0</v>
      </c>
      <c r="F47" s="117"/>
      <c r="G47" s="117"/>
      <c r="H47" s="117"/>
      <c r="I47" s="117"/>
      <c r="J47" s="117">
        <f t="shared" si="46"/>
        <v>0</v>
      </c>
      <c r="K47" s="114"/>
      <c r="L47" s="114"/>
      <c r="M47" s="114"/>
      <c r="N47" s="114"/>
      <c r="O47" s="117">
        <f t="shared" si="47"/>
        <v>0</v>
      </c>
      <c r="P47" s="117">
        <f t="shared" si="48"/>
        <v>0</v>
      </c>
      <c r="Q47" s="118"/>
      <c r="R47" s="118"/>
      <c r="S47" s="117">
        <f t="shared" si="49"/>
        <v>0</v>
      </c>
      <c r="T47" s="117"/>
      <c r="U47" s="117"/>
      <c r="V47" s="117">
        <f t="shared" si="50"/>
        <v>0</v>
      </c>
      <c r="W47" s="118"/>
      <c r="X47" s="118"/>
      <c r="Y47" s="117">
        <f t="shared" si="51"/>
        <v>0</v>
      </c>
      <c r="Z47" s="117">
        <f t="shared" si="52"/>
        <v>0</v>
      </c>
      <c r="AA47" s="119">
        <f t="shared" si="66"/>
        <v>0</v>
      </c>
      <c r="AB47" s="117">
        <f t="shared" si="53"/>
        <v>0</v>
      </c>
      <c r="AC47" s="118"/>
      <c r="AD47" s="119">
        <f t="shared" si="54"/>
        <v>0</v>
      </c>
      <c r="AE47" s="118"/>
      <c r="AF47" s="118"/>
      <c r="AG47" s="118"/>
      <c r="AH47" s="118"/>
      <c r="AI47" s="152">
        <f t="shared" si="55"/>
        <v>0</v>
      </c>
      <c r="AJ47" s="118"/>
      <c r="AK47" s="120">
        <f t="shared" si="56"/>
        <v>0</v>
      </c>
      <c r="AL47" s="121">
        <f t="shared" si="57"/>
        <v>0</v>
      </c>
      <c r="AM47" s="122"/>
      <c r="AN47" s="123">
        <f t="shared" si="58"/>
        <v>0</v>
      </c>
      <c r="AO47" s="124">
        <f t="shared" si="59"/>
        <v>0</v>
      </c>
      <c r="AP47" s="124">
        <f t="shared" si="60"/>
        <v>0</v>
      </c>
      <c r="AQ47" s="124">
        <f t="shared" si="61"/>
        <v>0</v>
      </c>
      <c r="AR47" s="124">
        <f t="shared" si="62"/>
        <v>0</v>
      </c>
      <c r="AS47" s="124">
        <f t="array" ref="AS47">_xlfn.IFS(S47=0,AL47,S47&lt;0,AL47/-S47,S47&gt;0,AL47/S47)</f>
        <v>0</v>
      </c>
      <c r="AT47" s="119">
        <f t="shared" si="63"/>
        <v>0</v>
      </c>
      <c r="AU47" s="119">
        <f t="shared" si="64"/>
        <v>0</v>
      </c>
      <c r="AV47" s="125"/>
      <c r="AW47" s="120">
        <f t="shared" si="65"/>
        <v>0</v>
      </c>
    </row>
    <row r="48" spans="1:49" hidden="1" outlineLevel="1">
      <c r="A48" s="114"/>
      <c r="B48" s="115"/>
      <c r="C48" s="115"/>
      <c r="D48" s="116"/>
      <c r="E48" s="117">
        <f t="shared" si="45"/>
        <v>0</v>
      </c>
      <c r="F48" s="117"/>
      <c r="G48" s="117"/>
      <c r="H48" s="117"/>
      <c r="I48" s="117"/>
      <c r="J48" s="117">
        <f t="shared" si="46"/>
        <v>0</v>
      </c>
      <c r="K48" s="114"/>
      <c r="L48" s="114"/>
      <c r="M48" s="114"/>
      <c r="N48" s="114"/>
      <c r="O48" s="117">
        <f t="shared" si="47"/>
        <v>0</v>
      </c>
      <c r="P48" s="117">
        <f t="shared" si="48"/>
        <v>0</v>
      </c>
      <c r="Q48" s="118"/>
      <c r="R48" s="118"/>
      <c r="S48" s="117">
        <f t="shared" si="49"/>
        <v>0</v>
      </c>
      <c r="T48" s="117"/>
      <c r="U48" s="117"/>
      <c r="V48" s="117">
        <f t="shared" si="50"/>
        <v>0</v>
      </c>
      <c r="W48" s="118"/>
      <c r="X48" s="118"/>
      <c r="Y48" s="117">
        <f t="shared" si="51"/>
        <v>0</v>
      </c>
      <c r="Z48" s="117">
        <f t="shared" si="52"/>
        <v>0</v>
      </c>
      <c r="AA48" s="119">
        <f t="shared" si="66"/>
        <v>0</v>
      </c>
      <c r="AB48" s="117">
        <f t="shared" si="53"/>
        <v>0</v>
      </c>
      <c r="AC48" s="118"/>
      <c r="AD48" s="119">
        <f t="shared" si="54"/>
        <v>0</v>
      </c>
      <c r="AE48" s="118"/>
      <c r="AF48" s="118"/>
      <c r="AG48" s="118"/>
      <c r="AH48" s="118"/>
      <c r="AI48" s="152">
        <f t="shared" si="55"/>
        <v>0</v>
      </c>
      <c r="AJ48" s="118"/>
      <c r="AK48" s="120">
        <f t="shared" si="56"/>
        <v>0</v>
      </c>
      <c r="AL48" s="121">
        <f t="shared" si="57"/>
        <v>0</v>
      </c>
      <c r="AM48" s="122"/>
      <c r="AN48" s="123">
        <f t="shared" si="58"/>
        <v>0</v>
      </c>
      <c r="AO48" s="124">
        <f t="shared" si="59"/>
        <v>0</v>
      </c>
      <c r="AP48" s="124">
        <f t="shared" si="60"/>
        <v>0</v>
      </c>
      <c r="AQ48" s="124">
        <f t="shared" si="61"/>
        <v>0</v>
      </c>
      <c r="AR48" s="124">
        <f t="shared" si="62"/>
        <v>0</v>
      </c>
      <c r="AS48" s="124">
        <f t="array" ref="AS48">_xlfn.IFS(S48=0,AL48,S48&lt;0,AL48/-S48,S48&gt;0,AL48/S48)</f>
        <v>0</v>
      </c>
      <c r="AT48" s="119">
        <f t="shared" si="63"/>
        <v>0</v>
      </c>
      <c r="AU48" s="119">
        <f t="shared" si="64"/>
        <v>0</v>
      </c>
      <c r="AV48" s="125"/>
      <c r="AW48" s="120">
        <f t="shared" si="65"/>
        <v>0</v>
      </c>
    </row>
    <row r="49" spans="1:49" hidden="1" outlineLevel="1">
      <c r="A49" s="114"/>
      <c r="B49" s="115"/>
      <c r="C49" s="115"/>
      <c r="D49" s="116"/>
      <c r="E49" s="117">
        <f t="shared" si="45"/>
        <v>0</v>
      </c>
      <c r="F49" s="117"/>
      <c r="G49" s="117"/>
      <c r="H49" s="117"/>
      <c r="I49" s="117"/>
      <c r="J49" s="117">
        <f t="shared" si="46"/>
        <v>0</v>
      </c>
      <c r="K49" s="114"/>
      <c r="L49" s="114"/>
      <c r="M49" s="114"/>
      <c r="N49" s="114"/>
      <c r="O49" s="117">
        <f t="shared" si="47"/>
        <v>0</v>
      </c>
      <c r="P49" s="117">
        <f t="shared" si="48"/>
        <v>0</v>
      </c>
      <c r="Q49" s="118"/>
      <c r="R49" s="118"/>
      <c r="S49" s="117">
        <f t="shared" si="49"/>
        <v>0</v>
      </c>
      <c r="T49" s="117"/>
      <c r="U49" s="117"/>
      <c r="V49" s="117">
        <f t="shared" si="50"/>
        <v>0</v>
      </c>
      <c r="W49" s="118"/>
      <c r="X49" s="118"/>
      <c r="Y49" s="117">
        <f t="shared" si="51"/>
        <v>0</v>
      </c>
      <c r="Z49" s="117">
        <f t="shared" si="52"/>
        <v>0</v>
      </c>
      <c r="AA49" s="119">
        <f t="shared" si="66"/>
        <v>0</v>
      </c>
      <c r="AB49" s="117">
        <f t="shared" si="53"/>
        <v>0</v>
      </c>
      <c r="AC49" s="118"/>
      <c r="AD49" s="119">
        <f t="shared" si="54"/>
        <v>0</v>
      </c>
      <c r="AE49" s="118"/>
      <c r="AF49" s="118"/>
      <c r="AG49" s="118"/>
      <c r="AH49" s="118"/>
      <c r="AI49" s="152">
        <f t="shared" si="55"/>
        <v>0</v>
      </c>
      <c r="AJ49" s="118"/>
      <c r="AK49" s="120">
        <f t="shared" si="56"/>
        <v>0</v>
      </c>
      <c r="AL49" s="121">
        <f t="shared" si="57"/>
        <v>0</v>
      </c>
      <c r="AM49" s="122"/>
      <c r="AN49" s="123">
        <f t="shared" si="58"/>
        <v>0</v>
      </c>
      <c r="AO49" s="124">
        <f t="shared" si="59"/>
        <v>0</v>
      </c>
      <c r="AP49" s="124">
        <f t="shared" si="60"/>
        <v>0</v>
      </c>
      <c r="AQ49" s="124">
        <f t="shared" si="61"/>
        <v>0</v>
      </c>
      <c r="AR49" s="124">
        <f t="shared" si="62"/>
        <v>0</v>
      </c>
      <c r="AS49" s="124">
        <f t="array" ref="AS49">_xlfn.IFS(S49=0,AL49,S49&lt;0,AL49/-S49,S49&gt;0,AL49/S49)</f>
        <v>0</v>
      </c>
      <c r="AT49" s="119">
        <f t="shared" si="63"/>
        <v>0</v>
      </c>
      <c r="AU49" s="119">
        <f t="shared" si="64"/>
        <v>0</v>
      </c>
      <c r="AV49" s="125"/>
      <c r="AW49" s="120">
        <f t="shared" si="65"/>
        <v>0</v>
      </c>
    </row>
    <row r="50" spans="1:49" hidden="1" outlineLevel="1">
      <c r="A50" s="114"/>
      <c r="B50" s="115"/>
      <c r="C50" s="115"/>
      <c r="D50" s="116"/>
      <c r="E50" s="117">
        <f t="shared" si="45"/>
        <v>0</v>
      </c>
      <c r="F50" s="117"/>
      <c r="G50" s="117"/>
      <c r="H50" s="117"/>
      <c r="I50" s="117"/>
      <c r="J50" s="117">
        <f t="shared" si="46"/>
        <v>0</v>
      </c>
      <c r="K50" s="114"/>
      <c r="L50" s="114"/>
      <c r="M50" s="114"/>
      <c r="N50" s="114"/>
      <c r="O50" s="117">
        <f t="shared" si="47"/>
        <v>0</v>
      </c>
      <c r="P50" s="117">
        <f t="shared" si="48"/>
        <v>0</v>
      </c>
      <c r="Q50" s="118"/>
      <c r="R50" s="118"/>
      <c r="S50" s="117">
        <f t="shared" si="49"/>
        <v>0</v>
      </c>
      <c r="T50" s="117"/>
      <c r="U50" s="117"/>
      <c r="V50" s="117">
        <f t="shared" si="50"/>
        <v>0</v>
      </c>
      <c r="W50" s="118"/>
      <c r="X50" s="118"/>
      <c r="Y50" s="117">
        <f t="shared" si="51"/>
        <v>0</v>
      </c>
      <c r="Z50" s="117">
        <f t="shared" si="52"/>
        <v>0</v>
      </c>
      <c r="AA50" s="119">
        <f t="shared" si="66"/>
        <v>0</v>
      </c>
      <c r="AB50" s="117">
        <f t="shared" si="53"/>
        <v>0</v>
      </c>
      <c r="AC50" s="118"/>
      <c r="AD50" s="119">
        <f t="shared" si="54"/>
        <v>0</v>
      </c>
      <c r="AE50" s="118"/>
      <c r="AF50" s="118"/>
      <c r="AG50" s="118"/>
      <c r="AH50" s="118"/>
      <c r="AI50" s="152">
        <f t="shared" si="55"/>
        <v>0</v>
      </c>
      <c r="AJ50" s="118"/>
      <c r="AK50" s="120">
        <f t="shared" si="56"/>
        <v>0</v>
      </c>
      <c r="AL50" s="121">
        <f t="shared" si="57"/>
        <v>0</v>
      </c>
      <c r="AM50" s="122"/>
      <c r="AN50" s="123">
        <f t="shared" si="58"/>
        <v>0</v>
      </c>
      <c r="AO50" s="124">
        <f t="shared" si="59"/>
        <v>0</v>
      </c>
      <c r="AP50" s="124">
        <f t="shared" si="60"/>
        <v>0</v>
      </c>
      <c r="AQ50" s="124">
        <f t="shared" si="61"/>
        <v>0</v>
      </c>
      <c r="AR50" s="124">
        <f t="shared" si="62"/>
        <v>0</v>
      </c>
      <c r="AS50" s="124">
        <f t="array" ref="AS50">_xlfn.IFS(S50=0,AL50,S50&lt;0,AL50/-S50,S50&gt;0,AL50/S50)</f>
        <v>0</v>
      </c>
      <c r="AT50" s="119">
        <f t="shared" si="63"/>
        <v>0</v>
      </c>
      <c r="AU50" s="119">
        <f t="shared" si="64"/>
        <v>0</v>
      </c>
      <c r="AV50" s="125"/>
      <c r="AW50" s="120">
        <f t="shared" si="65"/>
        <v>0</v>
      </c>
    </row>
    <row r="51" spans="1:49" hidden="1" outlineLevel="1">
      <c r="A51" s="114"/>
      <c r="B51" s="115"/>
      <c r="C51" s="115"/>
      <c r="D51" s="116"/>
      <c r="E51" s="117">
        <f t="shared" si="45"/>
        <v>0</v>
      </c>
      <c r="F51" s="117"/>
      <c r="G51" s="117"/>
      <c r="H51" s="117"/>
      <c r="I51" s="117"/>
      <c r="J51" s="117">
        <f t="shared" si="46"/>
        <v>0</v>
      </c>
      <c r="K51" s="114"/>
      <c r="L51" s="114"/>
      <c r="M51" s="114"/>
      <c r="N51" s="114"/>
      <c r="O51" s="117">
        <f t="shared" si="47"/>
        <v>0</v>
      </c>
      <c r="P51" s="117">
        <f t="shared" si="48"/>
        <v>0</v>
      </c>
      <c r="Q51" s="118"/>
      <c r="R51" s="118"/>
      <c r="S51" s="117">
        <f t="shared" si="49"/>
        <v>0</v>
      </c>
      <c r="T51" s="117"/>
      <c r="U51" s="117"/>
      <c r="V51" s="117">
        <f t="shared" si="50"/>
        <v>0</v>
      </c>
      <c r="W51" s="118"/>
      <c r="X51" s="118"/>
      <c r="Y51" s="117">
        <f t="shared" si="51"/>
        <v>0</v>
      </c>
      <c r="Z51" s="117">
        <f t="shared" si="52"/>
        <v>0</v>
      </c>
      <c r="AA51" s="119">
        <f t="shared" si="66"/>
        <v>0</v>
      </c>
      <c r="AB51" s="117">
        <f t="shared" si="53"/>
        <v>0</v>
      </c>
      <c r="AC51" s="118"/>
      <c r="AD51" s="119">
        <f t="shared" si="54"/>
        <v>0</v>
      </c>
      <c r="AE51" s="118"/>
      <c r="AF51" s="118"/>
      <c r="AG51" s="118"/>
      <c r="AH51" s="118"/>
      <c r="AI51" s="152">
        <f t="shared" si="55"/>
        <v>0</v>
      </c>
      <c r="AJ51" s="118"/>
      <c r="AK51" s="120">
        <f t="shared" si="56"/>
        <v>0</v>
      </c>
      <c r="AL51" s="121">
        <f t="shared" si="57"/>
        <v>0</v>
      </c>
      <c r="AM51" s="122"/>
      <c r="AN51" s="123">
        <f t="shared" si="58"/>
        <v>0</v>
      </c>
      <c r="AO51" s="124">
        <f t="shared" si="59"/>
        <v>0</v>
      </c>
      <c r="AP51" s="124">
        <f t="shared" si="60"/>
        <v>0</v>
      </c>
      <c r="AQ51" s="124">
        <f t="shared" si="61"/>
        <v>0</v>
      </c>
      <c r="AR51" s="124">
        <f t="shared" si="62"/>
        <v>0</v>
      </c>
      <c r="AS51" s="124">
        <f t="array" ref="AS51">_xlfn.IFS(S51=0,AL51,S51&lt;0,AL51/-S51,S51&gt;0,AL51/S51)</f>
        <v>0</v>
      </c>
      <c r="AT51" s="119">
        <f t="shared" si="63"/>
        <v>0</v>
      </c>
      <c r="AU51" s="119">
        <f t="shared" si="64"/>
        <v>0</v>
      </c>
      <c r="AV51" s="125"/>
      <c r="AW51" s="120">
        <f t="shared" si="65"/>
        <v>0</v>
      </c>
    </row>
    <row r="52" spans="1:49" hidden="1" outlineLevel="1">
      <c r="A52" s="114"/>
      <c r="B52" s="115"/>
      <c r="C52" s="115"/>
      <c r="D52" s="116"/>
      <c r="E52" s="117">
        <f t="shared" si="45"/>
        <v>0</v>
      </c>
      <c r="F52" s="117"/>
      <c r="G52" s="117"/>
      <c r="H52" s="117"/>
      <c r="I52" s="117"/>
      <c r="J52" s="117">
        <f t="shared" si="46"/>
        <v>0</v>
      </c>
      <c r="K52" s="114"/>
      <c r="L52" s="114"/>
      <c r="M52" s="114"/>
      <c r="N52" s="114"/>
      <c r="O52" s="117">
        <f t="shared" si="47"/>
        <v>0</v>
      </c>
      <c r="P52" s="117">
        <f t="shared" si="48"/>
        <v>0</v>
      </c>
      <c r="Q52" s="118"/>
      <c r="R52" s="118"/>
      <c r="S52" s="117">
        <f t="shared" si="49"/>
        <v>0</v>
      </c>
      <c r="T52" s="117"/>
      <c r="U52" s="117"/>
      <c r="V52" s="117">
        <f t="shared" si="50"/>
        <v>0</v>
      </c>
      <c r="W52" s="118"/>
      <c r="X52" s="118"/>
      <c r="Y52" s="117">
        <f t="shared" si="51"/>
        <v>0</v>
      </c>
      <c r="Z52" s="117">
        <f t="shared" si="52"/>
        <v>0</v>
      </c>
      <c r="AA52" s="119">
        <f t="shared" si="66"/>
        <v>0</v>
      </c>
      <c r="AB52" s="117">
        <f t="shared" si="53"/>
        <v>0</v>
      </c>
      <c r="AC52" s="118"/>
      <c r="AD52" s="119">
        <f t="shared" si="54"/>
        <v>0</v>
      </c>
      <c r="AE52" s="118"/>
      <c r="AF52" s="118"/>
      <c r="AG52" s="118"/>
      <c r="AH52" s="118"/>
      <c r="AI52" s="152">
        <f t="shared" si="55"/>
        <v>0</v>
      </c>
      <c r="AJ52" s="118"/>
      <c r="AK52" s="120">
        <f t="shared" si="56"/>
        <v>0</v>
      </c>
      <c r="AL52" s="121">
        <f t="shared" si="57"/>
        <v>0</v>
      </c>
      <c r="AM52" s="122"/>
      <c r="AN52" s="123">
        <f t="shared" si="58"/>
        <v>0</v>
      </c>
      <c r="AO52" s="124">
        <f t="shared" si="59"/>
        <v>0</v>
      </c>
      <c r="AP52" s="124">
        <f t="shared" si="60"/>
        <v>0</v>
      </c>
      <c r="AQ52" s="124">
        <f t="shared" si="61"/>
        <v>0</v>
      </c>
      <c r="AR52" s="124">
        <f t="shared" si="62"/>
        <v>0</v>
      </c>
      <c r="AS52" s="124">
        <f t="array" ref="AS52">_xlfn.IFS(S52=0,AL52,S52&lt;0,AL52/-S52,S52&gt;0,AL52/S52)</f>
        <v>0</v>
      </c>
      <c r="AT52" s="119">
        <f t="shared" si="63"/>
        <v>0</v>
      </c>
      <c r="AU52" s="119">
        <f t="shared" si="64"/>
        <v>0</v>
      </c>
      <c r="AV52" s="125"/>
      <c r="AW52" s="120">
        <f t="shared" si="65"/>
        <v>0</v>
      </c>
    </row>
    <row r="53" spans="1:49" hidden="1" outlineLevel="1">
      <c r="A53" s="114"/>
      <c r="B53" s="115"/>
      <c r="C53" s="115"/>
      <c r="D53" s="116"/>
      <c r="E53" s="117">
        <f t="shared" si="45"/>
        <v>0</v>
      </c>
      <c r="F53" s="117"/>
      <c r="G53" s="117"/>
      <c r="H53" s="117"/>
      <c r="I53" s="117"/>
      <c r="J53" s="117">
        <f t="shared" si="46"/>
        <v>0</v>
      </c>
      <c r="K53" s="114"/>
      <c r="L53" s="114"/>
      <c r="M53" s="114"/>
      <c r="N53" s="114"/>
      <c r="O53" s="117">
        <f t="shared" si="47"/>
        <v>0</v>
      </c>
      <c r="P53" s="117">
        <f t="shared" si="48"/>
        <v>0</v>
      </c>
      <c r="Q53" s="118"/>
      <c r="R53" s="118"/>
      <c r="S53" s="117">
        <f t="shared" si="49"/>
        <v>0</v>
      </c>
      <c r="T53" s="117"/>
      <c r="U53" s="117"/>
      <c r="V53" s="117">
        <f t="shared" si="50"/>
        <v>0</v>
      </c>
      <c r="W53" s="118"/>
      <c r="X53" s="118"/>
      <c r="Y53" s="117">
        <f t="shared" si="51"/>
        <v>0</v>
      </c>
      <c r="Z53" s="117">
        <f t="shared" si="52"/>
        <v>0</v>
      </c>
      <c r="AA53" s="119">
        <f t="shared" si="66"/>
        <v>0</v>
      </c>
      <c r="AB53" s="117">
        <f t="shared" si="53"/>
        <v>0</v>
      </c>
      <c r="AC53" s="118"/>
      <c r="AD53" s="119">
        <f t="shared" si="54"/>
        <v>0</v>
      </c>
      <c r="AE53" s="118"/>
      <c r="AF53" s="118"/>
      <c r="AG53" s="118"/>
      <c r="AH53" s="118"/>
      <c r="AI53" s="152">
        <f t="shared" si="55"/>
        <v>0</v>
      </c>
      <c r="AJ53" s="118"/>
      <c r="AK53" s="120">
        <f t="shared" si="56"/>
        <v>0</v>
      </c>
      <c r="AL53" s="121">
        <f t="shared" si="57"/>
        <v>0</v>
      </c>
      <c r="AM53" s="122"/>
      <c r="AN53" s="123">
        <f t="shared" si="58"/>
        <v>0</v>
      </c>
      <c r="AO53" s="124">
        <f t="shared" si="59"/>
        <v>0</v>
      </c>
      <c r="AP53" s="124">
        <f t="shared" si="60"/>
        <v>0</v>
      </c>
      <c r="AQ53" s="124">
        <f t="shared" si="61"/>
        <v>0</v>
      </c>
      <c r="AR53" s="124">
        <f t="shared" si="62"/>
        <v>0</v>
      </c>
      <c r="AS53" s="124">
        <f t="array" ref="AS53">_xlfn.IFS(S53=0,AL53,S53&lt;0,AL53/-S53,S53&gt;0,AL53/S53)</f>
        <v>0</v>
      </c>
      <c r="AT53" s="119">
        <f t="shared" si="63"/>
        <v>0</v>
      </c>
      <c r="AU53" s="119">
        <f t="shared" si="64"/>
        <v>0</v>
      </c>
      <c r="AV53" s="125"/>
      <c r="AW53" s="120">
        <f t="shared" si="65"/>
        <v>0</v>
      </c>
    </row>
    <row r="54" spans="1:49" hidden="1" outlineLevel="1">
      <c r="A54" s="114"/>
      <c r="B54" s="115"/>
      <c r="C54" s="115"/>
      <c r="D54" s="116"/>
      <c r="E54" s="117">
        <f t="shared" si="45"/>
        <v>0</v>
      </c>
      <c r="F54" s="117"/>
      <c r="G54" s="117"/>
      <c r="H54" s="117"/>
      <c r="I54" s="117"/>
      <c r="J54" s="117">
        <f t="shared" si="46"/>
        <v>0</v>
      </c>
      <c r="K54" s="114"/>
      <c r="L54" s="114"/>
      <c r="M54" s="114"/>
      <c r="N54" s="114"/>
      <c r="O54" s="117">
        <f t="shared" si="47"/>
        <v>0</v>
      </c>
      <c r="P54" s="117">
        <f t="shared" si="48"/>
        <v>0</v>
      </c>
      <c r="Q54" s="118"/>
      <c r="R54" s="118"/>
      <c r="S54" s="117">
        <f t="shared" si="49"/>
        <v>0</v>
      </c>
      <c r="T54" s="117"/>
      <c r="U54" s="117"/>
      <c r="V54" s="117">
        <f t="shared" si="50"/>
        <v>0</v>
      </c>
      <c r="W54" s="118"/>
      <c r="X54" s="118"/>
      <c r="Y54" s="117">
        <f t="shared" si="51"/>
        <v>0</v>
      </c>
      <c r="Z54" s="117">
        <f t="shared" si="52"/>
        <v>0</v>
      </c>
      <c r="AA54" s="119">
        <f t="shared" si="66"/>
        <v>0</v>
      </c>
      <c r="AB54" s="117">
        <f t="shared" si="53"/>
        <v>0</v>
      </c>
      <c r="AC54" s="118"/>
      <c r="AD54" s="119">
        <f t="shared" si="54"/>
        <v>0</v>
      </c>
      <c r="AE54" s="118"/>
      <c r="AF54" s="118"/>
      <c r="AG54" s="118"/>
      <c r="AH54" s="118"/>
      <c r="AI54" s="152">
        <f t="shared" si="55"/>
        <v>0</v>
      </c>
      <c r="AJ54" s="118"/>
      <c r="AK54" s="120">
        <f t="shared" si="56"/>
        <v>0</v>
      </c>
      <c r="AL54" s="121">
        <f t="shared" si="57"/>
        <v>0</v>
      </c>
      <c r="AM54" s="122"/>
      <c r="AN54" s="123">
        <f t="shared" si="58"/>
        <v>0</v>
      </c>
      <c r="AO54" s="124">
        <f t="shared" si="59"/>
        <v>0</v>
      </c>
      <c r="AP54" s="124">
        <f t="shared" si="60"/>
        <v>0</v>
      </c>
      <c r="AQ54" s="124">
        <f t="shared" si="61"/>
        <v>0</v>
      </c>
      <c r="AR54" s="124">
        <f t="shared" si="62"/>
        <v>0</v>
      </c>
      <c r="AS54" s="124">
        <f t="array" ref="AS54">_xlfn.IFS(S54=0,AL54,S54&lt;0,AL54/-S54,S54&gt;0,AL54/S54)</f>
        <v>0</v>
      </c>
      <c r="AT54" s="119">
        <f t="shared" si="63"/>
        <v>0</v>
      </c>
      <c r="AU54" s="119">
        <f t="shared" si="64"/>
        <v>0</v>
      </c>
      <c r="AV54" s="125"/>
      <c r="AW54" s="120">
        <f t="shared" si="65"/>
        <v>0</v>
      </c>
    </row>
    <row r="55" spans="1:49" hidden="1" outlineLevel="1">
      <c r="A55" s="114"/>
      <c r="B55" s="115"/>
      <c r="C55" s="115"/>
      <c r="D55" s="116"/>
      <c r="E55" s="117">
        <f t="shared" si="45"/>
        <v>0</v>
      </c>
      <c r="F55" s="117"/>
      <c r="G55" s="117"/>
      <c r="H55" s="117"/>
      <c r="I55" s="117"/>
      <c r="J55" s="117">
        <f t="shared" si="46"/>
        <v>0</v>
      </c>
      <c r="K55" s="114"/>
      <c r="L55" s="114"/>
      <c r="M55" s="114"/>
      <c r="N55" s="114"/>
      <c r="O55" s="117">
        <f t="shared" si="47"/>
        <v>0</v>
      </c>
      <c r="P55" s="117">
        <f t="shared" si="48"/>
        <v>0</v>
      </c>
      <c r="Q55" s="118"/>
      <c r="R55" s="118"/>
      <c r="S55" s="117">
        <f t="shared" si="49"/>
        <v>0</v>
      </c>
      <c r="T55" s="117"/>
      <c r="U55" s="117"/>
      <c r="V55" s="117">
        <f t="shared" si="50"/>
        <v>0</v>
      </c>
      <c r="W55" s="118"/>
      <c r="X55" s="118"/>
      <c r="Y55" s="117">
        <f t="shared" si="51"/>
        <v>0</v>
      </c>
      <c r="Z55" s="117">
        <f t="shared" si="52"/>
        <v>0</v>
      </c>
      <c r="AA55" s="119">
        <f t="shared" si="66"/>
        <v>0</v>
      </c>
      <c r="AB55" s="117">
        <f t="shared" si="53"/>
        <v>0</v>
      </c>
      <c r="AC55" s="118"/>
      <c r="AD55" s="119">
        <f t="shared" si="54"/>
        <v>0</v>
      </c>
      <c r="AE55" s="118"/>
      <c r="AF55" s="118"/>
      <c r="AG55" s="118"/>
      <c r="AH55" s="118"/>
      <c r="AI55" s="152">
        <f t="shared" si="55"/>
        <v>0</v>
      </c>
      <c r="AJ55" s="118"/>
      <c r="AK55" s="120">
        <f t="shared" si="56"/>
        <v>0</v>
      </c>
      <c r="AL55" s="121">
        <f t="shared" si="57"/>
        <v>0</v>
      </c>
      <c r="AM55" s="122"/>
      <c r="AN55" s="123">
        <f t="shared" si="58"/>
        <v>0</v>
      </c>
      <c r="AO55" s="124">
        <f t="shared" si="59"/>
        <v>0</v>
      </c>
      <c r="AP55" s="124">
        <f t="shared" si="60"/>
        <v>0</v>
      </c>
      <c r="AQ55" s="124">
        <f t="shared" si="61"/>
        <v>0</v>
      </c>
      <c r="AR55" s="124">
        <f t="shared" si="62"/>
        <v>0</v>
      </c>
      <c r="AS55" s="124">
        <f t="array" ref="AS55">_xlfn.IFS(S55=0,AL55,S55&lt;0,AL55/-S55,S55&gt;0,AL55/S55)</f>
        <v>0</v>
      </c>
      <c r="AT55" s="119">
        <f t="shared" si="63"/>
        <v>0</v>
      </c>
      <c r="AU55" s="119">
        <f t="shared" si="64"/>
        <v>0</v>
      </c>
      <c r="AV55" s="125"/>
      <c r="AW55" s="120">
        <f t="shared" si="65"/>
        <v>0</v>
      </c>
    </row>
    <row r="56" spans="1:49" hidden="1" outlineLevel="1">
      <c r="A56" s="114"/>
      <c r="B56" s="115"/>
      <c r="C56" s="115"/>
      <c r="D56" s="116"/>
      <c r="E56" s="117">
        <f t="shared" si="45"/>
        <v>0</v>
      </c>
      <c r="F56" s="117"/>
      <c r="G56" s="117"/>
      <c r="H56" s="117"/>
      <c r="I56" s="117"/>
      <c r="J56" s="117">
        <f t="shared" si="46"/>
        <v>0</v>
      </c>
      <c r="K56" s="114"/>
      <c r="L56" s="114"/>
      <c r="M56" s="114"/>
      <c r="N56" s="114"/>
      <c r="O56" s="117">
        <f t="shared" si="47"/>
        <v>0</v>
      </c>
      <c r="P56" s="117">
        <f t="shared" si="48"/>
        <v>0</v>
      </c>
      <c r="Q56" s="118"/>
      <c r="R56" s="118"/>
      <c r="S56" s="117">
        <f t="shared" si="49"/>
        <v>0</v>
      </c>
      <c r="T56" s="117"/>
      <c r="U56" s="117"/>
      <c r="V56" s="117">
        <f t="shared" si="50"/>
        <v>0</v>
      </c>
      <c r="W56" s="118"/>
      <c r="X56" s="118"/>
      <c r="Y56" s="117">
        <f t="shared" si="51"/>
        <v>0</v>
      </c>
      <c r="Z56" s="117">
        <f t="shared" si="52"/>
        <v>0</v>
      </c>
      <c r="AA56" s="119">
        <f t="shared" si="66"/>
        <v>0</v>
      </c>
      <c r="AB56" s="117">
        <f t="shared" si="53"/>
        <v>0</v>
      </c>
      <c r="AC56" s="118"/>
      <c r="AD56" s="119">
        <f t="shared" si="54"/>
        <v>0</v>
      </c>
      <c r="AE56" s="118"/>
      <c r="AF56" s="118"/>
      <c r="AG56" s="118"/>
      <c r="AH56" s="118"/>
      <c r="AI56" s="152">
        <f t="shared" si="55"/>
        <v>0</v>
      </c>
      <c r="AJ56" s="118"/>
      <c r="AK56" s="120">
        <f t="shared" si="56"/>
        <v>0</v>
      </c>
      <c r="AL56" s="121">
        <f t="shared" si="57"/>
        <v>0</v>
      </c>
      <c r="AM56" s="122"/>
      <c r="AN56" s="123">
        <f t="shared" si="58"/>
        <v>0</v>
      </c>
      <c r="AO56" s="124">
        <f t="shared" si="59"/>
        <v>0</v>
      </c>
      <c r="AP56" s="124">
        <f t="shared" si="60"/>
        <v>0</v>
      </c>
      <c r="AQ56" s="124">
        <f t="shared" si="61"/>
        <v>0</v>
      </c>
      <c r="AR56" s="124">
        <f t="shared" si="62"/>
        <v>0</v>
      </c>
      <c r="AS56" s="124">
        <f t="array" ref="AS56">_xlfn.IFS(S56=0,AL56,S56&lt;0,AL56/-S56,S56&gt;0,AL56/S56)</f>
        <v>0</v>
      </c>
      <c r="AT56" s="119">
        <f t="shared" si="63"/>
        <v>0</v>
      </c>
      <c r="AU56" s="119">
        <f t="shared" si="64"/>
        <v>0</v>
      </c>
      <c r="AV56" s="125"/>
      <c r="AW56" s="120">
        <f t="shared" si="65"/>
        <v>0</v>
      </c>
    </row>
    <row r="57" spans="1:49" hidden="1" outlineLevel="1">
      <c r="A57" s="114"/>
      <c r="B57" s="115"/>
      <c r="C57" s="115"/>
      <c r="D57" s="116"/>
      <c r="E57" s="117">
        <f t="shared" si="45"/>
        <v>0</v>
      </c>
      <c r="F57" s="117"/>
      <c r="G57" s="117"/>
      <c r="H57" s="117"/>
      <c r="I57" s="117"/>
      <c r="J57" s="117">
        <f t="shared" si="46"/>
        <v>0</v>
      </c>
      <c r="K57" s="114"/>
      <c r="L57" s="114"/>
      <c r="M57" s="114"/>
      <c r="N57" s="114"/>
      <c r="O57" s="117">
        <f t="shared" si="47"/>
        <v>0</v>
      </c>
      <c r="P57" s="117">
        <f t="shared" si="48"/>
        <v>0</v>
      </c>
      <c r="Q57" s="118"/>
      <c r="R57" s="118"/>
      <c r="S57" s="117">
        <f t="shared" si="49"/>
        <v>0</v>
      </c>
      <c r="T57" s="117"/>
      <c r="U57" s="117"/>
      <c r="V57" s="117">
        <f t="shared" si="50"/>
        <v>0</v>
      </c>
      <c r="W57" s="118"/>
      <c r="X57" s="118"/>
      <c r="Y57" s="117">
        <f t="shared" si="51"/>
        <v>0</v>
      </c>
      <c r="Z57" s="117">
        <f t="shared" si="52"/>
        <v>0</v>
      </c>
      <c r="AA57" s="119">
        <f t="shared" si="66"/>
        <v>0</v>
      </c>
      <c r="AB57" s="117">
        <f t="shared" si="53"/>
        <v>0</v>
      </c>
      <c r="AC57" s="118"/>
      <c r="AD57" s="119">
        <f t="shared" si="54"/>
        <v>0</v>
      </c>
      <c r="AE57" s="118"/>
      <c r="AF57" s="118"/>
      <c r="AG57" s="118"/>
      <c r="AH57" s="118"/>
      <c r="AI57" s="152">
        <f t="shared" si="55"/>
        <v>0</v>
      </c>
      <c r="AJ57" s="118"/>
      <c r="AK57" s="120">
        <f t="shared" si="56"/>
        <v>0</v>
      </c>
      <c r="AL57" s="121">
        <f t="shared" si="57"/>
        <v>0</v>
      </c>
      <c r="AM57" s="122"/>
      <c r="AN57" s="123">
        <f t="shared" si="58"/>
        <v>0</v>
      </c>
      <c r="AO57" s="124">
        <f t="shared" si="59"/>
        <v>0</v>
      </c>
      <c r="AP57" s="124">
        <f t="shared" si="60"/>
        <v>0</v>
      </c>
      <c r="AQ57" s="124">
        <f t="shared" si="61"/>
        <v>0</v>
      </c>
      <c r="AR57" s="124">
        <f t="shared" si="62"/>
        <v>0</v>
      </c>
      <c r="AS57" s="124">
        <f t="array" ref="AS57">_xlfn.IFS(S57=0,AL57,S57&lt;0,AL57/-S57,S57&gt;0,AL57/S57)</f>
        <v>0</v>
      </c>
      <c r="AT57" s="119">
        <f t="shared" si="63"/>
        <v>0</v>
      </c>
      <c r="AU57" s="119">
        <f t="shared" si="64"/>
        <v>0</v>
      </c>
      <c r="AV57" s="125"/>
      <c r="AW57" s="120">
        <f t="shared" si="65"/>
        <v>0</v>
      </c>
    </row>
    <row r="58" spans="1:49" hidden="1" outlineLevel="1">
      <c r="A58" s="114"/>
      <c r="B58" s="115"/>
      <c r="C58" s="115"/>
      <c r="D58" s="116"/>
      <c r="E58" s="117">
        <f t="shared" si="45"/>
        <v>0</v>
      </c>
      <c r="F58" s="117"/>
      <c r="G58" s="117"/>
      <c r="H58" s="117"/>
      <c r="I58" s="117"/>
      <c r="J58" s="117">
        <f t="shared" si="46"/>
        <v>0</v>
      </c>
      <c r="K58" s="114"/>
      <c r="L58" s="114"/>
      <c r="M58" s="114"/>
      <c r="N58" s="114"/>
      <c r="O58" s="117">
        <f t="shared" si="47"/>
        <v>0</v>
      </c>
      <c r="P58" s="117">
        <f t="shared" si="48"/>
        <v>0</v>
      </c>
      <c r="Q58" s="118"/>
      <c r="R58" s="118"/>
      <c r="S58" s="117">
        <f t="shared" si="49"/>
        <v>0</v>
      </c>
      <c r="T58" s="117"/>
      <c r="U58" s="117"/>
      <c r="V58" s="117">
        <f t="shared" si="50"/>
        <v>0</v>
      </c>
      <c r="W58" s="118"/>
      <c r="X58" s="118"/>
      <c r="Y58" s="117">
        <f t="shared" si="51"/>
        <v>0</v>
      </c>
      <c r="Z58" s="117">
        <f t="shared" si="52"/>
        <v>0</v>
      </c>
      <c r="AA58" s="119">
        <f t="shared" si="66"/>
        <v>0</v>
      </c>
      <c r="AB58" s="117">
        <f t="shared" si="53"/>
        <v>0</v>
      </c>
      <c r="AC58" s="118"/>
      <c r="AD58" s="119">
        <f t="shared" si="54"/>
        <v>0</v>
      </c>
      <c r="AE58" s="118"/>
      <c r="AF58" s="118"/>
      <c r="AG58" s="118"/>
      <c r="AH58" s="118"/>
      <c r="AI58" s="152">
        <f t="shared" si="55"/>
        <v>0</v>
      </c>
      <c r="AJ58" s="118"/>
      <c r="AK58" s="120">
        <f t="shared" si="56"/>
        <v>0</v>
      </c>
      <c r="AL58" s="121">
        <f t="shared" si="57"/>
        <v>0</v>
      </c>
      <c r="AM58" s="122"/>
      <c r="AN58" s="123">
        <f t="shared" si="58"/>
        <v>0</v>
      </c>
      <c r="AO58" s="124">
        <f t="shared" si="59"/>
        <v>0</v>
      </c>
      <c r="AP58" s="124">
        <f t="shared" si="60"/>
        <v>0</v>
      </c>
      <c r="AQ58" s="124">
        <f t="shared" si="61"/>
        <v>0</v>
      </c>
      <c r="AR58" s="124">
        <f t="shared" si="62"/>
        <v>0</v>
      </c>
      <c r="AS58" s="124">
        <f t="array" ref="AS58">_xlfn.IFS(S58=0,AL58,S58&lt;0,AL58/-S58,S58&gt;0,AL58/S58)</f>
        <v>0</v>
      </c>
      <c r="AT58" s="119">
        <f t="shared" si="63"/>
        <v>0</v>
      </c>
      <c r="AU58" s="119">
        <f t="shared" si="64"/>
        <v>0</v>
      </c>
      <c r="AV58" s="125"/>
      <c r="AW58" s="120">
        <f t="shared" si="65"/>
        <v>0</v>
      </c>
    </row>
    <row r="59" spans="1:49" hidden="1" outlineLevel="1">
      <c r="A59" s="114"/>
      <c r="B59" s="115"/>
      <c r="C59" s="115"/>
      <c r="D59" s="116"/>
      <c r="E59" s="117">
        <f t="shared" si="45"/>
        <v>0</v>
      </c>
      <c r="F59" s="117"/>
      <c r="G59" s="117"/>
      <c r="H59" s="117"/>
      <c r="I59" s="117"/>
      <c r="J59" s="117">
        <f t="shared" si="46"/>
        <v>0</v>
      </c>
      <c r="K59" s="114"/>
      <c r="L59" s="114"/>
      <c r="M59" s="114"/>
      <c r="N59" s="114"/>
      <c r="O59" s="117">
        <f t="shared" si="47"/>
        <v>0</v>
      </c>
      <c r="P59" s="117">
        <f t="shared" si="48"/>
        <v>0</v>
      </c>
      <c r="Q59" s="118"/>
      <c r="R59" s="118"/>
      <c r="S59" s="117">
        <f t="shared" si="49"/>
        <v>0</v>
      </c>
      <c r="T59" s="117"/>
      <c r="U59" s="117"/>
      <c r="V59" s="117">
        <f t="shared" si="50"/>
        <v>0</v>
      </c>
      <c r="W59" s="118"/>
      <c r="X59" s="118"/>
      <c r="Y59" s="117">
        <f t="shared" si="51"/>
        <v>0</v>
      </c>
      <c r="Z59" s="117">
        <f t="shared" si="52"/>
        <v>0</v>
      </c>
      <c r="AA59" s="119">
        <f t="shared" si="66"/>
        <v>0</v>
      </c>
      <c r="AB59" s="117">
        <f t="shared" si="53"/>
        <v>0</v>
      </c>
      <c r="AC59" s="118"/>
      <c r="AD59" s="119">
        <f t="shared" si="54"/>
        <v>0</v>
      </c>
      <c r="AE59" s="118"/>
      <c r="AF59" s="118"/>
      <c r="AG59" s="118"/>
      <c r="AH59" s="118"/>
      <c r="AI59" s="152">
        <f t="shared" si="55"/>
        <v>0</v>
      </c>
      <c r="AJ59" s="118"/>
      <c r="AK59" s="120">
        <f t="shared" si="56"/>
        <v>0</v>
      </c>
      <c r="AL59" s="121">
        <f t="shared" si="57"/>
        <v>0</v>
      </c>
      <c r="AM59" s="122"/>
      <c r="AN59" s="123">
        <f t="shared" si="58"/>
        <v>0</v>
      </c>
      <c r="AO59" s="124">
        <f t="shared" si="59"/>
        <v>0</v>
      </c>
      <c r="AP59" s="124">
        <f t="shared" si="60"/>
        <v>0</v>
      </c>
      <c r="AQ59" s="124">
        <f t="shared" si="61"/>
        <v>0</v>
      </c>
      <c r="AR59" s="124">
        <f t="shared" si="62"/>
        <v>0</v>
      </c>
      <c r="AS59" s="124">
        <f t="array" ref="AS59">_xlfn.IFS(S59=0,AL59,S59&lt;0,AL59/-S59,S59&gt;0,AL59/S59)</f>
        <v>0</v>
      </c>
      <c r="AT59" s="119">
        <f t="shared" si="63"/>
        <v>0</v>
      </c>
      <c r="AU59" s="119">
        <f t="shared" si="64"/>
        <v>0</v>
      </c>
      <c r="AV59" s="125"/>
      <c r="AW59" s="120">
        <f t="shared" si="65"/>
        <v>0</v>
      </c>
    </row>
    <row r="60" spans="1:49" hidden="1" outlineLevel="1">
      <c r="A60" s="114"/>
      <c r="B60" s="115"/>
      <c r="C60" s="115"/>
      <c r="D60" s="116"/>
      <c r="E60" s="117">
        <f t="shared" si="45"/>
        <v>0</v>
      </c>
      <c r="F60" s="117"/>
      <c r="G60" s="117"/>
      <c r="H60" s="117"/>
      <c r="I60" s="117"/>
      <c r="J60" s="117">
        <f t="shared" si="46"/>
        <v>0</v>
      </c>
      <c r="K60" s="114"/>
      <c r="L60" s="114"/>
      <c r="M60" s="114"/>
      <c r="N60" s="114"/>
      <c r="O60" s="117">
        <f t="shared" si="47"/>
        <v>0</v>
      </c>
      <c r="P60" s="117">
        <f t="shared" si="48"/>
        <v>0</v>
      </c>
      <c r="Q60" s="118"/>
      <c r="R60" s="118"/>
      <c r="S60" s="117">
        <f t="shared" si="49"/>
        <v>0</v>
      </c>
      <c r="T60" s="117"/>
      <c r="U60" s="117"/>
      <c r="V60" s="117">
        <f t="shared" si="50"/>
        <v>0</v>
      </c>
      <c r="W60" s="118"/>
      <c r="X60" s="118"/>
      <c r="Y60" s="117">
        <f t="shared" si="51"/>
        <v>0</v>
      </c>
      <c r="Z60" s="117">
        <f t="shared" si="52"/>
        <v>0</v>
      </c>
      <c r="AA60" s="119">
        <f t="shared" si="66"/>
        <v>0</v>
      </c>
      <c r="AB60" s="117">
        <f t="shared" si="53"/>
        <v>0</v>
      </c>
      <c r="AC60" s="118"/>
      <c r="AD60" s="119">
        <f t="shared" si="54"/>
        <v>0</v>
      </c>
      <c r="AE60" s="118"/>
      <c r="AF60" s="118"/>
      <c r="AG60" s="118"/>
      <c r="AH60" s="118"/>
      <c r="AI60" s="152">
        <f t="shared" si="55"/>
        <v>0</v>
      </c>
      <c r="AJ60" s="118"/>
      <c r="AK60" s="120">
        <f t="shared" si="56"/>
        <v>0</v>
      </c>
      <c r="AL60" s="121">
        <f t="shared" si="57"/>
        <v>0</v>
      </c>
      <c r="AM60" s="122"/>
      <c r="AN60" s="123">
        <f t="shared" si="58"/>
        <v>0</v>
      </c>
      <c r="AO60" s="124">
        <f t="shared" si="59"/>
        <v>0</v>
      </c>
      <c r="AP60" s="124">
        <f t="shared" si="60"/>
        <v>0</v>
      </c>
      <c r="AQ60" s="124">
        <f t="shared" si="61"/>
        <v>0</v>
      </c>
      <c r="AR60" s="124">
        <f t="shared" si="62"/>
        <v>0</v>
      </c>
      <c r="AS60" s="124">
        <f t="array" ref="AS60">_xlfn.IFS(S60=0,AL60,S60&lt;0,AL60/-S60,S60&gt;0,AL60/S60)</f>
        <v>0</v>
      </c>
      <c r="AT60" s="119">
        <f t="shared" si="63"/>
        <v>0</v>
      </c>
      <c r="AU60" s="119">
        <f t="shared" si="64"/>
        <v>0</v>
      </c>
      <c r="AV60" s="125"/>
      <c r="AW60" s="120">
        <f t="shared" si="65"/>
        <v>0</v>
      </c>
    </row>
    <row r="61" spans="1:49" hidden="1" outlineLevel="1">
      <c r="A61" s="114"/>
      <c r="B61" s="115"/>
      <c r="C61" s="115"/>
      <c r="D61" s="116"/>
      <c r="E61" s="117">
        <f t="shared" si="45"/>
        <v>0</v>
      </c>
      <c r="F61" s="117"/>
      <c r="G61" s="117"/>
      <c r="H61" s="117"/>
      <c r="I61" s="117"/>
      <c r="J61" s="117">
        <f t="shared" si="46"/>
        <v>0</v>
      </c>
      <c r="K61" s="114"/>
      <c r="L61" s="114"/>
      <c r="M61" s="114"/>
      <c r="N61" s="114"/>
      <c r="O61" s="117">
        <f t="shared" si="47"/>
        <v>0</v>
      </c>
      <c r="P61" s="117">
        <f t="shared" si="48"/>
        <v>0</v>
      </c>
      <c r="Q61" s="118"/>
      <c r="R61" s="118"/>
      <c r="S61" s="117">
        <f t="shared" si="49"/>
        <v>0</v>
      </c>
      <c r="T61" s="117"/>
      <c r="U61" s="117"/>
      <c r="V61" s="117">
        <f t="shared" si="50"/>
        <v>0</v>
      </c>
      <c r="W61" s="118"/>
      <c r="X61" s="118"/>
      <c r="Y61" s="117">
        <f t="shared" si="51"/>
        <v>0</v>
      </c>
      <c r="Z61" s="117">
        <f t="shared" si="52"/>
        <v>0</v>
      </c>
      <c r="AA61" s="119">
        <f t="shared" si="66"/>
        <v>0</v>
      </c>
      <c r="AB61" s="117">
        <f t="shared" si="53"/>
        <v>0</v>
      </c>
      <c r="AC61" s="118"/>
      <c r="AD61" s="119">
        <f t="shared" si="54"/>
        <v>0</v>
      </c>
      <c r="AE61" s="118"/>
      <c r="AF61" s="118"/>
      <c r="AG61" s="118"/>
      <c r="AH61" s="118"/>
      <c r="AI61" s="152">
        <f t="shared" si="55"/>
        <v>0</v>
      </c>
      <c r="AJ61" s="118"/>
      <c r="AK61" s="120">
        <f t="shared" si="56"/>
        <v>0</v>
      </c>
      <c r="AL61" s="121">
        <f t="shared" si="57"/>
        <v>0</v>
      </c>
      <c r="AM61" s="122"/>
      <c r="AN61" s="123">
        <f t="shared" si="58"/>
        <v>0</v>
      </c>
      <c r="AO61" s="124">
        <f t="shared" si="59"/>
        <v>0</v>
      </c>
      <c r="AP61" s="124">
        <f t="shared" si="60"/>
        <v>0</v>
      </c>
      <c r="AQ61" s="124">
        <f t="shared" si="61"/>
        <v>0</v>
      </c>
      <c r="AR61" s="124">
        <f t="shared" si="62"/>
        <v>0</v>
      </c>
      <c r="AS61" s="124">
        <f t="array" ref="AS61">_xlfn.IFS(S61=0,AL61,S61&lt;0,AL61/-S61,S61&gt;0,AL61/S61)</f>
        <v>0</v>
      </c>
      <c r="AT61" s="119">
        <f t="shared" si="63"/>
        <v>0</v>
      </c>
      <c r="AU61" s="119">
        <f t="shared" si="64"/>
        <v>0</v>
      </c>
      <c r="AV61" s="125"/>
      <c r="AW61" s="120">
        <f t="shared" si="65"/>
        <v>0</v>
      </c>
    </row>
    <row r="62" spans="1:49" hidden="1" outlineLevel="1">
      <c r="A62" s="114"/>
      <c r="B62" s="115"/>
      <c r="C62" s="115"/>
      <c r="D62" s="116"/>
      <c r="E62" s="117">
        <f t="shared" si="45"/>
        <v>0</v>
      </c>
      <c r="F62" s="117"/>
      <c r="G62" s="117"/>
      <c r="H62" s="117"/>
      <c r="I62" s="117"/>
      <c r="J62" s="117">
        <f t="shared" si="46"/>
        <v>0</v>
      </c>
      <c r="K62" s="114"/>
      <c r="L62" s="114"/>
      <c r="M62" s="114"/>
      <c r="N62" s="114"/>
      <c r="O62" s="117">
        <f t="shared" si="47"/>
        <v>0</v>
      </c>
      <c r="P62" s="117">
        <f t="shared" si="48"/>
        <v>0</v>
      </c>
      <c r="Q62" s="118"/>
      <c r="R62" s="118"/>
      <c r="S62" s="117">
        <f t="shared" si="49"/>
        <v>0</v>
      </c>
      <c r="T62" s="117"/>
      <c r="U62" s="117"/>
      <c r="V62" s="117">
        <f t="shared" si="50"/>
        <v>0</v>
      </c>
      <c r="W62" s="118"/>
      <c r="X62" s="118"/>
      <c r="Y62" s="117">
        <f t="shared" si="51"/>
        <v>0</v>
      </c>
      <c r="Z62" s="117">
        <f t="shared" si="52"/>
        <v>0</v>
      </c>
      <c r="AA62" s="119">
        <f t="shared" si="66"/>
        <v>0</v>
      </c>
      <c r="AB62" s="117">
        <f t="shared" si="53"/>
        <v>0</v>
      </c>
      <c r="AC62" s="118"/>
      <c r="AD62" s="119">
        <f t="shared" si="54"/>
        <v>0</v>
      </c>
      <c r="AE62" s="118"/>
      <c r="AF62" s="118"/>
      <c r="AG62" s="118"/>
      <c r="AH62" s="118"/>
      <c r="AI62" s="152">
        <f t="shared" si="55"/>
        <v>0</v>
      </c>
      <c r="AJ62" s="118"/>
      <c r="AK62" s="120">
        <f t="shared" si="56"/>
        <v>0</v>
      </c>
      <c r="AL62" s="121">
        <f t="shared" si="57"/>
        <v>0</v>
      </c>
      <c r="AM62" s="122"/>
      <c r="AN62" s="123">
        <f t="shared" si="58"/>
        <v>0</v>
      </c>
      <c r="AO62" s="124">
        <f t="shared" si="59"/>
        <v>0</v>
      </c>
      <c r="AP62" s="124">
        <f t="shared" si="60"/>
        <v>0</v>
      </c>
      <c r="AQ62" s="124">
        <f t="shared" si="61"/>
        <v>0</v>
      </c>
      <c r="AR62" s="124">
        <f t="shared" si="62"/>
        <v>0</v>
      </c>
      <c r="AS62" s="124">
        <f t="array" ref="AS62">_xlfn.IFS(S62=0,AL62,S62&lt;0,AL62/-S62,S62&gt;0,AL62/S62)</f>
        <v>0</v>
      </c>
      <c r="AT62" s="119">
        <f t="shared" si="63"/>
        <v>0</v>
      </c>
      <c r="AU62" s="119">
        <f t="shared" si="64"/>
        <v>0</v>
      </c>
      <c r="AV62" s="125"/>
      <c r="AW62" s="120">
        <f t="shared" si="65"/>
        <v>0</v>
      </c>
    </row>
    <row r="63" spans="1:49" hidden="1" outlineLevel="1">
      <c r="A63" s="114"/>
      <c r="B63" s="115"/>
      <c r="C63" s="115"/>
      <c r="D63" s="149"/>
      <c r="E63" s="118">
        <f t="shared" si="45"/>
        <v>0</v>
      </c>
      <c r="F63" s="117"/>
      <c r="G63" s="117"/>
      <c r="H63" s="117"/>
      <c r="I63" s="117"/>
      <c r="J63" s="117">
        <f t="shared" si="46"/>
        <v>0</v>
      </c>
      <c r="K63" s="114"/>
      <c r="L63" s="114"/>
      <c r="M63" s="114"/>
      <c r="N63" s="114"/>
      <c r="O63" s="117">
        <f t="shared" si="47"/>
        <v>0</v>
      </c>
      <c r="P63" s="117">
        <f t="shared" si="48"/>
        <v>0</v>
      </c>
      <c r="Q63" s="118"/>
      <c r="R63" s="118"/>
      <c r="S63" s="117">
        <f t="shared" si="49"/>
        <v>0</v>
      </c>
      <c r="T63" s="117"/>
      <c r="U63" s="117"/>
      <c r="V63" s="117">
        <f t="shared" si="50"/>
        <v>0</v>
      </c>
      <c r="W63" s="118"/>
      <c r="X63" s="118"/>
      <c r="Y63" s="117">
        <f t="shared" si="51"/>
        <v>0</v>
      </c>
      <c r="Z63" s="117">
        <f t="shared" si="52"/>
        <v>0</v>
      </c>
      <c r="AA63" s="119">
        <f t="shared" si="66"/>
        <v>0</v>
      </c>
      <c r="AB63" s="117">
        <f t="shared" si="53"/>
        <v>0</v>
      </c>
      <c r="AC63" s="118"/>
      <c r="AD63" s="119">
        <f t="shared" si="54"/>
        <v>0</v>
      </c>
      <c r="AE63" s="118"/>
      <c r="AF63" s="118"/>
      <c r="AG63" s="118"/>
      <c r="AH63" s="118"/>
      <c r="AI63" s="152">
        <f t="shared" si="55"/>
        <v>0</v>
      </c>
      <c r="AJ63" s="118"/>
      <c r="AK63" s="120">
        <f t="shared" si="56"/>
        <v>0</v>
      </c>
      <c r="AL63" s="121">
        <f t="shared" si="57"/>
        <v>0</v>
      </c>
      <c r="AM63" s="122"/>
      <c r="AN63" s="123">
        <f t="shared" si="58"/>
        <v>0</v>
      </c>
      <c r="AO63" s="124">
        <f t="shared" si="59"/>
        <v>0</v>
      </c>
      <c r="AP63" s="124">
        <f t="shared" si="60"/>
        <v>0</v>
      </c>
      <c r="AQ63" s="124">
        <f t="shared" si="61"/>
        <v>0</v>
      </c>
      <c r="AR63" s="124">
        <f t="shared" si="62"/>
        <v>0</v>
      </c>
      <c r="AS63" s="124">
        <f t="array" ref="AS63">_xlfn.IFS(S63=0,AL63,S63&lt;0,AL63/-S63,S63&gt;0,AL63/S63)</f>
        <v>0</v>
      </c>
      <c r="AT63" s="119">
        <f t="shared" si="63"/>
        <v>0</v>
      </c>
      <c r="AU63" s="119">
        <f t="shared" si="64"/>
        <v>0</v>
      </c>
      <c r="AV63" s="125"/>
      <c r="AW63" s="120">
        <f t="shared" si="65"/>
        <v>0</v>
      </c>
    </row>
    <row r="64" spans="1:49" hidden="1" outlineLevel="1">
      <c r="A64" s="114"/>
      <c r="B64" s="115"/>
      <c r="C64" s="115"/>
      <c r="D64" s="149"/>
      <c r="E64" s="118">
        <f t="shared" si="45"/>
        <v>0</v>
      </c>
      <c r="F64" s="117"/>
      <c r="G64" s="117"/>
      <c r="H64" s="117"/>
      <c r="I64" s="117"/>
      <c r="J64" s="117">
        <f t="shared" si="46"/>
        <v>0</v>
      </c>
      <c r="K64" s="114"/>
      <c r="L64" s="114"/>
      <c r="M64" s="114"/>
      <c r="N64" s="114"/>
      <c r="O64" s="117">
        <f t="shared" si="47"/>
        <v>0</v>
      </c>
      <c r="P64" s="117">
        <f t="shared" si="48"/>
        <v>0</v>
      </c>
      <c r="Q64" s="118"/>
      <c r="R64" s="118"/>
      <c r="S64" s="117">
        <f t="shared" si="49"/>
        <v>0</v>
      </c>
      <c r="T64" s="117"/>
      <c r="U64" s="117"/>
      <c r="V64" s="117">
        <f t="shared" si="50"/>
        <v>0</v>
      </c>
      <c r="W64" s="118"/>
      <c r="X64" s="118"/>
      <c r="Y64" s="117">
        <f t="shared" si="51"/>
        <v>0</v>
      </c>
      <c r="Z64" s="117">
        <f t="shared" si="52"/>
        <v>0</v>
      </c>
      <c r="AA64" s="119">
        <f t="shared" si="66"/>
        <v>0</v>
      </c>
      <c r="AB64" s="117">
        <f t="shared" si="53"/>
        <v>0</v>
      </c>
      <c r="AC64" s="118"/>
      <c r="AD64" s="119">
        <f t="shared" si="54"/>
        <v>0</v>
      </c>
      <c r="AE64" s="118"/>
      <c r="AF64" s="118"/>
      <c r="AG64" s="118"/>
      <c r="AH64" s="118"/>
      <c r="AI64" s="152">
        <f t="shared" si="55"/>
        <v>0</v>
      </c>
      <c r="AJ64" s="118"/>
      <c r="AK64" s="120">
        <f t="shared" si="56"/>
        <v>0</v>
      </c>
      <c r="AL64" s="121">
        <f t="shared" si="57"/>
        <v>0</v>
      </c>
      <c r="AM64" s="122"/>
      <c r="AN64" s="123">
        <f t="shared" si="58"/>
        <v>0</v>
      </c>
      <c r="AO64" s="124">
        <f t="shared" si="59"/>
        <v>0</v>
      </c>
      <c r="AP64" s="124">
        <f t="shared" si="60"/>
        <v>0</v>
      </c>
      <c r="AQ64" s="124">
        <f t="shared" si="61"/>
        <v>0</v>
      </c>
      <c r="AR64" s="124">
        <f t="shared" si="62"/>
        <v>0</v>
      </c>
      <c r="AS64" s="124">
        <f t="array" ref="AS64">_xlfn.IFS(S64=0,AL64,S64&lt;0,AL64/-S64,S64&gt;0,AL64/S64)</f>
        <v>0</v>
      </c>
      <c r="AT64" s="119">
        <f t="shared" si="63"/>
        <v>0</v>
      </c>
      <c r="AU64" s="119">
        <f t="shared" si="64"/>
        <v>0</v>
      </c>
      <c r="AV64" s="125"/>
      <c r="AW64" s="120">
        <f t="shared" si="65"/>
        <v>0</v>
      </c>
    </row>
    <row r="65" spans="1:49" hidden="1" outlineLevel="1">
      <c r="A65" s="114"/>
      <c r="B65" s="115"/>
      <c r="C65" s="115"/>
      <c r="D65" s="149"/>
      <c r="E65" s="118">
        <f t="shared" si="45"/>
        <v>0</v>
      </c>
      <c r="F65" s="117"/>
      <c r="G65" s="117"/>
      <c r="H65" s="117"/>
      <c r="I65" s="117"/>
      <c r="J65" s="117">
        <f t="shared" si="46"/>
        <v>0</v>
      </c>
      <c r="K65" s="114"/>
      <c r="L65" s="114"/>
      <c r="M65" s="114"/>
      <c r="N65" s="114"/>
      <c r="O65" s="117">
        <f t="shared" si="47"/>
        <v>0</v>
      </c>
      <c r="P65" s="117">
        <f t="shared" si="48"/>
        <v>0</v>
      </c>
      <c r="Q65" s="118"/>
      <c r="R65" s="118"/>
      <c r="S65" s="117">
        <f t="shared" si="49"/>
        <v>0</v>
      </c>
      <c r="T65" s="117"/>
      <c r="U65" s="117"/>
      <c r="V65" s="117">
        <f t="shared" si="50"/>
        <v>0</v>
      </c>
      <c r="W65" s="118"/>
      <c r="X65" s="118"/>
      <c r="Y65" s="117">
        <f t="shared" si="51"/>
        <v>0</v>
      </c>
      <c r="Z65" s="117">
        <f t="shared" si="52"/>
        <v>0</v>
      </c>
      <c r="AA65" s="119">
        <f t="shared" si="66"/>
        <v>0</v>
      </c>
      <c r="AB65" s="117">
        <f t="shared" si="53"/>
        <v>0</v>
      </c>
      <c r="AC65" s="118"/>
      <c r="AD65" s="119">
        <f t="shared" si="54"/>
        <v>0</v>
      </c>
      <c r="AE65" s="118"/>
      <c r="AF65" s="118"/>
      <c r="AG65" s="118"/>
      <c r="AH65" s="118"/>
      <c r="AI65" s="152">
        <f t="shared" si="55"/>
        <v>0</v>
      </c>
      <c r="AJ65" s="118"/>
      <c r="AK65" s="120">
        <f t="shared" si="56"/>
        <v>0</v>
      </c>
      <c r="AL65" s="121">
        <f t="shared" si="57"/>
        <v>0</v>
      </c>
      <c r="AM65" s="122"/>
      <c r="AN65" s="123">
        <f t="shared" si="58"/>
        <v>0</v>
      </c>
      <c r="AO65" s="124">
        <f t="shared" si="59"/>
        <v>0</v>
      </c>
      <c r="AP65" s="124">
        <f t="shared" si="60"/>
        <v>0</v>
      </c>
      <c r="AQ65" s="124">
        <f t="shared" si="61"/>
        <v>0</v>
      </c>
      <c r="AR65" s="124">
        <f t="shared" si="62"/>
        <v>0</v>
      </c>
      <c r="AS65" s="124">
        <f t="array" ref="AS65">_xlfn.IFS(S65=0,AL65,S65&lt;0,AL65/-S65,S65&gt;0,AL65/S65)</f>
        <v>0</v>
      </c>
      <c r="AT65" s="119">
        <f t="shared" si="63"/>
        <v>0</v>
      </c>
      <c r="AU65" s="119">
        <f t="shared" si="64"/>
        <v>0</v>
      </c>
      <c r="AV65" s="125"/>
      <c r="AW65" s="120">
        <f t="shared" si="65"/>
        <v>0</v>
      </c>
    </row>
    <row r="66" spans="1:49" hidden="1" outlineLevel="1">
      <c r="A66" s="114"/>
      <c r="B66" s="115"/>
      <c r="C66" s="115"/>
      <c r="D66" s="116"/>
      <c r="E66" s="117">
        <f t="shared" si="45"/>
        <v>0</v>
      </c>
      <c r="F66" s="117"/>
      <c r="G66" s="117"/>
      <c r="H66" s="117"/>
      <c r="I66" s="117"/>
      <c r="J66" s="117">
        <f t="shared" si="46"/>
        <v>0</v>
      </c>
      <c r="K66" s="114"/>
      <c r="L66" s="114"/>
      <c r="M66" s="114"/>
      <c r="N66" s="114"/>
      <c r="O66" s="117">
        <f t="shared" si="47"/>
        <v>0</v>
      </c>
      <c r="P66" s="117">
        <f t="shared" si="48"/>
        <v>0</v>
      </c>
      <c r="Q66" s="118"/>
      <c r="R66" s="118"/>
      <c r="S66" s="117">
        <f t="shared" si="49"/>
        <v>0</v>
      </c>
      <c r="T66" s="117"/>
      <c r="U66" s="117"/>
      <c r="V66" s="117">
        <f t="shared" si="50"/>
        <v>0</v>
      </c>
      <c r="W66" s="118"/>
      <c r="X66" s="118"/>
      <c r="Y66" s="117">
        <f t="shared" si="51"/>
        <v>0</v>
      </c>
      <c r="Z66" s="117">
        <f t="shared" si="52"/>
        <v>0</v>
      </c>
      <c r="AA66" s="119">
        <f t="shared" si="66"/>
        <v>0</v>
      </c>
      <c r="AB66" s="117">
        <f t="shared" si="53"/>
        <v>0</v>
      </c>
      <c r="AC66" s="118"/>
      <c r="AD66" s="119">
        <f t="shared" si="54"/>
        <v>0</v>
      </c>
      <c r="AE66" s="118"/>
      <c r="AF66" s="118"/>
      <c r="AG66" s="118"/>
      <c r="AH66" s="118"/>
      <c r="AI66" s="152">
        <f t="shared" si="55"/>
        <v>0</v>
      </c>
      <c r="AJ66" s="118"/>
      <c r="AK66" s="120">
        <f t="shared" si="56"/>
        <v>0</v>
      </c>
      <c r="AL66" s="121">
        <f t="shared" si="57"/>
        <v>0</v>
      </c>
      <c r="AM66" s="122"/>
      <c r="AN66" s="123">
        <f t="shared" si="58"/>
        <v>0</v>
      </c>
      <c r="AO66" s="124">
        <f t="shared" si="59"/>
        <v>0</v>
      </c>
      <c r="AP66" s="124">
        <f t="shared" si="60"/>
        <v>0</v>
      </c>
      <c r="AQ66" s="124">
        <f t="shared" si="61"/>
        <v>0</v>
      </c>
      <c r="AR66" s="124">
        <f t="shared" si="62"/>
        <v>0</v>
      </c>
      <c r="AS66" s="124">
        <f t="array" ref="AS66">_xlfn.IFS(S66=0,AL66,S66&lt;0,AL66/-S66,S66&gt;0,AL66/S66)</f>
        <v>0</v>
      </c>
      <c r="AT66" s="119">
        <f t="shared" si="63"/>
        <v>0</v>
      </c>
      <c r="AU66" s="119">
        <f t="shared" si="64"/>
        <v>0</v>
      </c>
      <c r="AV66" s="125"/>
      <c r="AW66" s="120">
        <f t="shared" si="65"/>
        <v>0</v>
      </c>
    </row>
    <row r="67" spans="1:49" hidden="1" outlineLevel="1">
      <c r="A67" s="114"/>
      <c r="B67" s="115"/>
      <c r="C67" s="115"/>
      <c r="D67" s="116"/>
      <c r="E67" s="117">
        <f t="shared" si="45"/>
        <v>0</v>
      </c>
      <c r="F67" s="117"/>
      <c r="G67" s="117"/>
      <c r="H67" s="117"/>
      <c r="I67" s="117"/>
      <c r="J67" s="117">
        <f t="shared" si="46"/>
        <v>0</v>
      </c>
      <c r="K67" s="114"/>
      <c r="L67" s="114"/>
      <c r="M67" s="114"/>
      <c r="N67" s="114"/>
      <c r="O67" s="117">
        <f t="shared" si="47"/>
        <v>0</v>
      </c>
      <c r="P67" s="117">
        <f t="shared" si="48"/>
        <v>0</v>
      </c>
      <c r="Q67" s="118"/>
      <c r="R67" s="118"/>
      <c r="S67" s="117">
        <f t="shared" si="49"/>
        <v>0</v>
      </c>
      <c r="T67" s="117"/>
      <c r="U67" s="117"/>
      <c r="V67" s="117">
        <f t="shared" si="50"/>
        <v>0</v>
      </c>
      <c r="W67" s="118"/>
      <c r="X67" s="118"/>
      <c r="Y67" s="117">
        <f t="shared" si="51"/>
        <v>0</v>
      </c>
      <c r="Z67" s="117">
        <f t="shared" si="52"/>
        <v>0</v>
      </c>
      <c r="AA67" s="119">
        <f t="shared" si="66"/>
        <v>0</v>
      </c>
      <c r="AB67" s="117">
        <f t="shared" si="53"/>
        <v>0</v>
      </c>
      <c r="AC67" s="118"/>
      <c r="AD67" s="119">
        <f t="shared" si="54"/>
        <v>0</v>
      </c>
      <c r="AE67" s="118"/>
      <c r="AF67" s="118"/>
      <c r="AG67" s="118"/>
      <c r="AH67" s="118"/>
      <c r="AI67" s="152">
        <f t="shared" si="55"/>
        <v>0</v>
      </c>
      <c r="AJ67" s="118"/>
      <c r="AK67" s="120">
        <f t="shared" si="56"/>
        <v>0</v>
      </c>
      <c r="AL67" s="121">
        <f t="shared" si="57"/>
        <v>0</v>
      </c>
      <c r="AM67" s="122"/>
      <c r="AN67" s="123">
        <f t="shared" si="58"/>
        <v>0</v>
      </c>
      <c r="AO67" s="124">
        <f t="shared" si="59"/>
        <v>0</v>
      </c>
      <c r="AP67" s="124">
        <f t="shared" si="60"/>
        <v>0</v>
      </c>
      <c r="AQ67" s="124">
        <f t="shared" si="61"/>
        <v>0</v>
      </c>
      <c r="AR67" s="124">
        <f t="shared" si="62"/>
        <v>0</v>
      </c>
      <c r="AS67" s="124">
        <f t="array" ref="AS67">_xlfn.IFS(S67=0,AL67,S67&lt;0,AL67/-S67,S67&gt;0,AL67/S67)</f>
        <v>0</v>
      </c>
      <c r="AT67" s="119">
        <f t="shared" si="63"/>
        <v>0</v>
      </c>
      <c r="AU67" s="119">
        <f t="shared" si="64"/>
        <v>0</v>
      </c>
      <c r="AV67" s="125"/>
      <c r="AW67" s="120">
        <f t="shared" si="65"/>
        <v>0</v>
      </c>
    </row>
    <row r="68" spans="1:49" hidden="1" outlineLevel="1">
      <c r="A68" s="114"/>
      <c r="B68" s="115"/>
      <c r="C68" s="115"/>
      <c r="D68" s="116"/>
      <c r="E68" s="117">
        <f t="shared" si="45"/>
        <v>0</v>
      </c>
      <c r="F68" s="117"/>
      <c r="G68" s="117"/>
      <c r="H68" s="117"/>
      <c r="I68" s="117"/>
      <c r="J68" s="117">
        <f t="shared" si="46"/>
        <v>0</v>
      </c>
      <c r="K68" s="114"/>
      <c r="L68" s="114"/>
      <c r="M68" s="114"/>
      <c r="N68" s="114"/>
      <c r="O68" s="117">
        <f t="shared" si="47"/>
        <v>0</v>
      </c>
      <c r="P68" s="117">
        <f t="shared" si="48"/>
        <v>0</v>
      </c>
      <c r="Q68" s="118"/>
      <c r="R68" s="118"/>
      <c r="S68" s="117">
        <f t="shared" si="49"/>
        <v>0</v>
      </c>
      <c r="T68" s="117"/>
      <c r="U68" s="117"/>
      <c r="V68" s="117">
        <f t="shared" si="50"/>
        <v>0</v>
      </c>
      <c r="W68" s="118"/>
      <c r="X68" s="118"/>
      <c r="Y68" s="117">
        <f t="shared" si="51"/>
        <v>0</v>
      </c>
      <c r="Z68" s="117">
        <f t="shared" si="52"/>
        <v>0</v>
      </c>
      <c r="AA68" s="119">
        <f t="shared" si="66"/>
        <v>0</v>
      </c>
      <c r="AB68" s="117">
        <f t="shared" si="53"/>
        <v>0</v>
      </c>
      <c r="AC68" s="118"/>
      <c r="AD68" s="119">
        <f t="shared" si="54"/>
        <v>0</v>
      </c>
      <c r="AE68" s="118"/>
      <c r="AF68" s="118"/>
      <c r="AG68" s="118"/>
      <c r="AH68" s="118"/>
      <c r="AI68" s="152">
        <f t="shared" si="55"/>
        <v>0</v>
      </c>
      <c r="AJ68" s="118"/>
      <c r="AK68" s="120">
        <f t="shared" si="56"/>
        <v>0</v>
      </c>
      <c r="AL68" s="121">
        <f t="shared" si="57"/>
        <v>0</v>
      </c>
      <c r="AM68" s="122"/>
      <c r="AN68" s="123">
        <f t="shared" si="58"/>
        <v>0</v>
      </c>
      <c r="AO68" s="124">
        <f t="shared" si="59"/>
        <v>0</v>
      </c>
      <c r="AP68" s="124">
        <f t="shared" si="60"/>
        <v>0</v>
      </c>
      <c r="AQ68" s="124">
        <f t="shared" si="61"/>
        <v>0</v>
      </c>
      <c r="AR68" s="124">
        <f t="shared" si="62"/>
        <v>0</v>
      </c>
      <c r="AS68" s="124">
        <f t="array" ref="AS68">_xlfn.IFS(S68=0,AL68,S68&lt;0,AL68/-S68,S68&gt;0,AL68/S68)</f>
        <v>0</v>
      </c>
      <c r="AT68" s="119">
        <f t="shared" si="63"/>
        <v>0</v>
      </c>
      <c r="AU68" s="119">
        <f t="shared" si="64"/>
        <v>0</v>
      </c>
      <c r="AV68" s="125"/>
      <c r="AW68" s="120">
        <f t="shared" si="65"/>
        <v>0</v>
      </c>
    </row>
    <row r="69" spans="1:49" hidden="1" outlineLevel="1">
      <c r="A69" s="114"/>
      <c r="B69" s="115"/>
      <c r="C69" s="115"/>
      <c r="D69" s="116"/>
      <c r="E69" s="117">
        <f t="shared" si="45"/>
        <v>0</v>
      </c>
      <c r="F69" s="117"/>
      <c r="G69" s="117"/>
      <c r="H69" s="117"/>
      <c r="I69" s="117"/>
      <c r="J69" s="117">
        <f t="shared" si="46"/>
        <v>0</v>
      </c>
      <c r="K69" s="114"/>
      <c r="L69" s="114"/>
      <c r="M69" s="114"/>
      <c r="N69" s="114"/>
      <c r="O69" s="117">
        <f t="shared" si="47"/>
        <v>0</v>
      </c>
      <c r="P69" s="117">
        <f t="shared" si="48"/>
        <v>0</v>
      </c>
      <c r="Q69" s="118"/>
      <c r="R69" s="118"/>
      <c r="S69" s="117">
        <f t="shared" si="49"/>
        <v>0</v>
      </c>
      <c r="T69" s="117"/>
      <c r="U69" s="117"/>
      <c r="V69" s="117">
        <f t="shared" si="50"/>
        <v>0</v>
      </c>
      <c r="W69" s="118"/>
      <c r="X69" s="118"/>
      <c r="Y69" s="117">
        <f t="shared" si="51"/>
        <v>0</v>
      </c>
      <c r="Z69" s="117">
        <f t="shared" si="52"/>
        <v>0</v>
      </c>
      <c r="AA69" s="119">
        <f t="shared" si="66"/>
        <v>0</v>
      </c>
      <c r="AB69" s="117">
        <f t="shared" si="53"/>
        <v>0</v>
      </c>
      <c r="AC69" s="118"/>
      <c r="AD69" s="119">
        <f t="shared" si="54"/>
        <v>0</v>
      </c>
      <c r="AE69" s="118"/>
      <c r="AF69" s="118"/>
      <c r="AG69" s="118"/>
      <c r="AH69" s="118"/>
      <c r="AI69" s="152">
        <f t="shared" si="55"/>
        <v>0</v>
      </c>
      <c r="AJ69" s="118"/>
      <c r="AK69" s="120">
        <f t="shared" si="56"/>
        <v>0</v>
      </c>
      <c r="AL69" s="121">
        <f t="shared" si="57"/>
        <v>0</v>
      </c>
      <c r="AM69" s="122"/>
      <c r="AN69" s="123">
        <f t="shared" si="58"/>
        <v>0</v>
      </c>
      <c r="AO69" s="124">
        <f t="shared" si="59"/>
        <v>0</v>
      </c>
      <c r="AP69" s="124">
        <f t="shared" si="60"/>
        <v>0</v>
      </c>
      <c r="AQ69" s="124">
        <f t="shared" si="61"/>
        <v>0</v>
      </c>
      <c r="AR69" s="124">
        <f t="shared" si="62"/>
        <v>0</v>
      </c>
      <c r="AS69" s="124">
        <f t="array" ref="AS69">_xlfn.IFS(S69=0,AL69,S69&lt;0,AL69/-S69,S69&gt;0,AL69/S69)</f>
        <v>0</v>
      </c>
      <c r="AT69" s="119">
        <f t="shared" si="63"/>
        <v>0</v>
      </c>
      <c r="AU69" s="119">
        <f t="shared" si="64"/>
        <v>0</v>
      </c>
      <c r="AV69" s="125"/>
      <c r="AW69" s="120">
        <f t="shared" si="65"/>
        <v>0</v>
      </c>
    </row>
    <row r="70" spans="1:49" hidden="1" outlineLevel="1">
      <c r="A70" s="114"/>
      <c r="B70" s="115"/>
      <c r="C70" s="115"/>
      <c r="D70" s="116"/>
      <c r="E70" s="117">
        <f t="shared" ref="E70:E89" si="67">SUM(F70:H70)</f>
        <v>0</v>
      </c>
      <c r="F70" s="117"/>
      <c r="G70" s="117"/>
      <c r="H70" s="117"/>
      <c r="I70" s="117"/>
      <c r="J70" s="117">
        <f t="shared" si="46"/>
        <v>0</v>
      </c>
      <c r="K70" s="114"/>
      <c r="L70" s="114"/>
      <c r="M70" s="114"/>
      <c r="N70" s="114"/>
      <c r="O70" s="117">
        <f t="shared" si="47"/>
        <v>0</v>
      </c>
      <c r="P70" s="117">
        <f t="shared" si="48"/>
        <v>0</v>
      </c>
      <c r="Q70" s="118"/>
      <c r="R70" s="118"/>
      <c r="S70" s="117">
        <f t="shared" si="49"/>
        <v>0</v>
      </c>
      <c r="T70" s="117"/>
      <c r="U70" s="117"/>
      <c r="V70" s="117">
        <f t="shared" si="50"/>
        <v>0</v>
      </c>
      <c r="W70" s="118"/>
      <c r="X70" s="118"/>
      <c r="Y70" s="117">
        <f t="shared" si="51"/>
        <v>0</v>
      </c>
      <c r="Z70" s="117">
        <f t="shared" si="52"/>
        <v>0</v>
      </c>
      <c r="AA70" s="119">
        <f t="shared" si="66"/>
        <v>0</v>
      </c>
      <c r="AB70" s="117">
        <f t="shared" si="53"/>
        <v>0</v>
      </c>
      <c r="AC70" s="118"/>
      <c r="AD70" s="119">
        <f t="shared" si="54"/>
        <v>0</v>
      </c>
      <c r="AE70" s="118"/>
      <c r="AF70" s="118"/>
      <c r="AG70" s="118"/>
      <c r="AH70" s="118"/>
      <c r="AI70" s="152">
        <f t="shared" si="55"/>
        <v>0</v>
      </c>
      <c r="AJ70" s="118"/>
      <c r="AK70" s="120">
        <f t="shared" si="56"/>
        <v>0</v>
      </c>
      <c r="AL70" s="121">
        <f t="shared" si="57"/>
        <v>0</v>
      </c>
      <c r="AM70" s="122"/>
      <c r="AN70" s="123">
        <f t="shared" si="58"/>
        <v>0</v>
      </c>
      <c r="AO70" s="124">
        <f t="shared" si="59"/>
        <v>0</v>
      </c>
      <c r="AP70" s="124">
        <f t="shared" si="60"/>
        <v>0</v>
      </c>
      <c r="AQ70" s="124">
        <f t="shared" si="61"/>
        <v>0</v>
      </c>
      <c r="AR70" s="124">
        <f t="shared" si="62"/>
        <v>0</v>
      </c>
      <c r="AS70" s="124">
        <f t="array" ref="AS70">_xlfn.IFS(S70=0,AL70,S70&lt;0,AL70/-S70,S70&gt;0,AL70/S70)</f>
        <v>0</v>
      </c>
      <c r="AT70" s="119">
        <f t="shared" si="63"/>
        <v>0</v>
      </c>
      <c r="AU70" s="119">
        <f t="shared" si="64"/>
        <v>0</v>
      </c>
      <c r="AV70" s="125"/>
      <c r="AW70" s="120">
        <f t="shared" si="65"/>
        <v>0</v>
      </c>
    </row>
    <row r="71" spans="1:49" hidden="1" outlineLevel="1">
      <c r="A71" s="114"/>
      <c r="B71" s="115"/>
      <c r="C71" s="115"/>
      <c r="D71" s="116"/>
      <c r="E71" s="117">
        <f t="shared" si="67"/>
        <v>0</v>
      </c>
      <c r="F71" s="117"/>
      <c r="G71" s="117"/>
      <c r="H71" s="117"/>
      <c r="I71" s="117"/>
      <c r="J71" s="117">
        <f t="shared" si="46"/>
        <v>0</v>
      </c>
      <c r="K71" s="114"/>
      <c r="L71" s="114"/>
      <c r="M71" s="114"/>
      <c r="N71" s="114"/>
      <c r="O71" s="117">
        <f t="shared" si="47"/>
        <v>0</v>
      </c>
      <c r="P71" s="117">
        <f t="shared" si="48"/>
        <v>0</v>
      </c>
      <c r="Q71" s="118"/>
      <c r="R71" s="118"/>
      <c r="S71" s="117">
        <f t="shared" si="49"/>
        <v>0</v>
      </c>
      <c r="T71" s="117"/>
      <c r="U71" s="117"/>
      <c r="V71" s="117">
        <f t="shared" si="50"/>
        <v>0</v>
      </c>
      <c r="W71" s="118"/>
      <c r="X71" s="118"/>
      <c r="Y71" s="117">
        <f t="shared" si="51"/>
        <v>0</v>
      </c>
      <c r="Z71" s="117">
        <f t="shared" si="52"/>
        <v>0</v>
      </c>
      <c r="AA71" s="119">
        <f t="shared" si="66"/>
        <v>0</v>
      </c>
      <c r="AB71" s="117">
        <f t="shared" si="53"/>
        <v>0</v>
      </c>
      <c r="AC71" s="118"/>
      <c r="AD71" s="119">
        <f t="shared" si="54"/>
        <v>0</v>
      </c>
      <c r="AE71" s="118"/>
      <c r="AF71" s="118"/>
      <c r="AG71" s="118"/>
      <c r="AH71" s="118"/>
      <c r="AI71" s="152">
        <f t="shared" si="55"/>
        <v>0</v>
      </c>
      <c r="AJ71" s="118"/>
      <c r="AK71" s="120">
        <f t="shared" si="56"/>
        <v>0</v>
      </c>
      <c r="AL71" s="121">
        <f t="shared" si="57"/>
        <v>0</v>
      </c>
      <c r="AM71" s="122"/>
      <c r="AN71" s="123">
        <f t="shared" si="58"/>
        <v>0</v>
      </c>
      <c r="AO71" s="124">
        <f t="shared" si="59"/>
        <v>0</v>
      </c>
      <c r="AP71" s="124">
        <f t="shared" si="60"/>
        <v>0</v>
      </c>
      <c r="AQ71" s="124">
        <f t="shared" si="61"/>
        <v>0</v>
      </c>
      <c r="AR71" s="124">
        <f t="shared" si="62"/>
        <v>0</v>
      </c>
      <c r="AS71" s="124">
        <f t="array" ref="AS71">_xlfn.IFS(S71=0,AL71,S71&lt;0,AL71/-S71,S71&gt;0,AL71/S71)</f>
        <v>0</v>
      </c>
      <c r="AT71" s="119">
        <f t="shared" si="63"/>
        <v>0</v>
      </c>
      <c r="AU71" s="119">
        <f t="shared" si="64"/>
        <v>0</v>
      </c>
      <c r="AV71" s="125"/>
      <c r="AW71" s="120">
        <f t="shared" si="65"/>
        <v>0</v>
      </c>
    </row>
    <row r="72" spans="1:49" hidden="1" outlineLevel="1">
      <c r="A72" s="114"/>
      <c r="B72" s="115"/>
      <c r="C72" s="115"/>
      <c r="D72" s="116"/>
      <c r="E72" s="117">
        <f t="shared" si="67"/>
        <v>0</v>
      </c>
      <c r="F72" s="117"/>
      <c r="G72" s="117"/>
      <c r="H72" s="117"/>
      <c r="I72" s="117"/>
      <c r="J72" s="117">
        <f t="shared" si="46"/>
        <v>0</v>
      </c>
      <c r="K72" s="114"/>
      <c r="L72" s="114"/>
      <c r="M72" s="114"/>
      <c r="N72" s="114"/>
      <c r="O72" s="117">
        <f t="shared" si="47"/>
        <v>0</v>
      </c>
      <c r="P72" s="117">
        <f t="shared" si="48"/>
        <v>0</v>
      </c>
      <c r="Q72" s="118"/>
      <c r="R72" s="118"/>
      <c r="S72" s="117">
        <f t="shared" si="49"/>
        <v>0</v>
      </c>
      <c r="T72" s="117"/>
      <c r="U72" s="117"/>
      <c r="V72" s="117">
        <f t="shared" si="50"/>
        <v>0</v>
      </c>
      <c r="W72" s="118"/>
      <c r="X72" s="118"/>
      <c r="Y72" s="117">
        <f t="shared" si="51"/>
        <v>0</v>
      </c>
      <c r="Z72" s="117">
        <f t="shared" si="52"/>
        <v>0</v>
      </c>
      <c r="AA72" s="119">
        <f t="shared" si="66"/>
        <v>0</v>
      </c>
      <c r="AB72" s="117">
        <f t="shared" si="53"/>
        <v>0</v>
      </c>
      <c r="AC72" s="118"/>
      <c r="AD72" s="119">
        <f t="shared" si="54"/>
        <v>0</v>
      </c>
      <c r="AE72" s="118"/>
      <c r="AF72" s="118"/>
      <c r="AG72" s="118"/>
      <c r="AH72" s="118"/>
      <c r="AI72" s="152">
        <f t="shared" si="55"/>
        <v>0</v>
      </c>
      <c r="AJ72" s="118"/>
      <c r="AK72" s="120">
        <f t="shared" si="56"/>
        <v>0</v>
      </c>
      <c r="AL72" s="121">
        <f t="shared" si="57"/>
        <v>0</v>
      </c>
      <c r="AM72" s="122"/>
      <c r="AN72" s="123">
        <f t="shared" si="58"/>
        <v>0</v>
      </c>
      <c r="AO72" s="124">
        <f t="shared" si="59"/>
        <v>0</v>
      </c>
      <c r="AP72" s="124">
        <f t="shared" si="60"/>
        <v>0</v>
      </c>
      <c r="AQ72" s="124">
        <f t="shared" si="61"/>
        <v>0</v>
      </c>
      <c r="AR72" s="124">
        <f t="shared" si="62"/>
        <v>0</v>
      </c>
      <c r="AS72" s="124">
        <f t="array" ref="AS72">_xlfn.IFS(S72=0,AL72,S72&lt;0,AL72/-S72,S72&gt;0,AL72/S72)</f>
        <v>0</v>
      </c>
      <c r="AT72" s="119">
        <f t="shared" si="63"/>
        <v>0</v>
      </c>
      <c r="AU72" s="119">
        <f t="shared" si="64"/>
        <v>0</v>
      </c>
      <c r="AV72" s="125"/>
      <c r="AW72" s="120">
        <f t="shared" si="65"/>
        <v>0</v>
      </c>
    </row>
    <row r="73" spans="1:49" hidden="1" outlineLevel="1">
      <c r="A73" s="114"/>
      <c r="B73" s="115"/>
      <c r="C73" s="115"/>
      <c r="D73" s="116"/>
      <c r="E73" s="117">
        <f t="shared" si="67"/>
        <v>0</v>
      </c>
      <c r="F73" s="117"/>
      <c r="G73" s="117"/>
      <c r="H73" s="117"/>
      <c r="I73" s="117"/>
      <c r="J73" s="117">
        <f t="shared" si="46"/>
        <v>0</v>
      </c>
      <c r="K73" s="114"/>
      <c r="L73" s="114"/>
      <c r="M73" s="114"/>
      <c r="N73" s="114"/>
      <c r="O73" s="117">
        <f t="shared" si="47"/>
        <v>0</v>
      </c>
      <c r="P73" s="117">
        <f t="shared" si="48"/>
        <v>0</v>
      </c>
      <c r="Q73" s="118"/>
      <c r="R73" s="118"/>
      <c r="S73" s="117">
        <f t="shared" si="49"/>
        <v>0</v>
      </c>
      <c r="T73" s="117"/>
      <c r="U73" s="117"/>
      <c r="V73" s="117">
        <f t="shared" si="50"/>
        <v>0</v>
      </c>
      <c r="W73" s="118"/>
      <c r="X73" s="118"/>
      <c r="Y73" s="117">
        <f t="shared" si="51"/>
        <v>0</v>
      </c>
      <c r="Z73" s="117">
        <f t="shared" si="52"/>
        <v>0</v>
      </c>
      <c r="AA73" s="119">
        <f t="shared" si="66"/>
        <v>0</v>
      </c>
      <c r="AB73" s="117">
        <f t="shared" si="53"/>
        <v>0</v>
      </c>
      <c r="AC73" s="118"/>
      <c r="AD73" s="119">
        <f t="shared" si="54"/>
        <v>0</v>
      </c>
      <c r="AE73" s="118"/>
      <c r="AF73" s="118"/>
      <c r="AG73" s="118"/>
      <c r="AH73" s="118"/>
      <c r="AI73" s="152">
        <f t="shared" si="55"/>
        <v>0</v>
      </c>
      <c r="AJ73" s="118"/>
      <c r="AK73" s="120">
        <f t="shared" si="56"/>
        <v>0</v>
      </c>
      <c r="AL73" s="121">
        <f t="shared" si="57"/>
        <v>0</v>
      </c>
      <c r="AM73" s="122"/>
      <c r="AN73" s="123">
        <f t="shared" si="58"/>
        <v>0</v>
      </c>
      <c r="AO73" s="124">
        <f t="shared" si="59"/>
        <v>0</v>
      </c>
      <c r="AP73" s="124">
        <f t="shared" si="60"/>
        <v>0</v>
      </c>
      <c r="AQ73" s="124">
        <f t="shared" si="61"/>
        <v>0</v>
      </c>
      <c r="AR73" s="124">
        <f t="shared" si="62"/>
        <v>0</v>
      </c>
      <c r="AS73" s="124">
        <f t="array" ref="AS73">_xlfn.IFS(S73=0,AL73,S73&lt;0,AL73/-S73,S73&gt;0,AL73/S73)</f>
        <v>0</v>
      </c>
      <c r="AT73" s="119">
        <f t="shared" si="63"/>
        <v>0</v>
      </c>
      <c r="AU73" s="119">
        <f t="shared" si="64"/>
        <v>0</v>
      </c>
      <c r="AV73" s="125"/>
      <c r="AW73" s="120">
        <f t="shared" si="65"/>
        <v>0</v>
      </c>
    </row>
    <row r="74" spans="1:49" hidden="1" outlineLevel="1">
      <c r="A74" s="114"/>
      <c r="B74" s="115"/>
      <c r="C74" s="115"/>
      <c r="D74" s="116"/>
      <c r="E74" s="117">
        <f t="shared" si="67"/>
        <v>0</v>
      </c>
      <c r="F74" s="117"/>
      <c r="G74" s="117"/>
      <c r="H74" s="117"/>
      <c r="I74" s="117"/>
      <c r="J74" s="117">
        <f t="shared" si="46"/>
        <v>0</v>
      </c>
      <c r="K74" s="114"/>
      <c r="L74" s="114"/>
      <c r="M74" s="114"/>
      <c r="N74" s="114"/>
      <c r="O74" s="117">
        <f t="shared" si="47"/>
        <v>0</v>
      </c>
      <c r="P74" s="117">
        <f t="shared" si="48"/>
        <v>0</v>
      </c>
      <c r="Q74" s="118"/>
      <c r="R74" s="118"/>
      <c r="S74" s="117">
        <f t="shared" si="49"/>
        <v>0</v>
      </c>
      <c r="T74" s="117"/>
      <c r="U74" s="117"/>
      <c r="V74" s="117">
        <f t="shared" si="50"/>
        <v>0</v>
      </c>
      <c r="W74" s="118"/>
      <c r="X74" s="118"/>
      <c r="Y74" s="117">
        <f t="shared" si="51"/>
        <v>0</v>
      </c>
      <c r="Z74" s="117">
        <f t="shared" si="52"/>
        <v>0</v>
      </c>
      <c r="AA74" s="119">
        <f t="shared" si="66"/>
        <v>0</v>
      </c>
      <c r="AB74" s="117">
        <f t="shared" si="53"/>
        <v>0</v>
      </c>
      <c r="AC74" s="118"/>
      <c r="AD74" s="119">
        <f t="shared" si="54"/>
        <v>0</v>
      </c>
      <c r="AE74" s="118"/>
      <c r="AF74" s="118"/>
      <c r="AG74" s="118"/>
      <c r="AH74" s="118"/>
      <c r="AI74" s="152">
        <f t="shared" si="55"/>
        <v>0</v>
      </c>
      <c r="AJ74" s="118"/>
      <c r="AK74" s="120">
        <f t="shared" si="56"/>
        <v>0</v>
      </c>
      <c r="AL74" s="121">
        <f t="shared" si="57"/>
        <v>0</v>
      </c>
      <c r="AM74" s="122"/>
      <c r="AN74" s="123">
        <f t="shared" si="58"/>
        <v>0</v>
      </c>
      <c r="AO74" s="124">
        <f t="shared" si="59"/>
        <v>0</v>
      </c>
      <c r="AP74" s="124">
        <f t="shared" si="60"/>
        <v>0</v>
      </c>
      <c r="AQ74" s="124">
        <f t="shared" si="61"/>
        <v>0</v>
      </c>
      <c r="AR74" s="124">
        <f t="shared" si="62"/>
        <v>0</v>
      </c>
      <c r="AS74" s="124">
        <f t="array" ref="AS74">_xlfn.IFS(S74=0,AL74,S74&lt;0,AL74/-S74,S74&gt;0,AL74/S74)</f>
        <v>0</v>
      </c>
      <c r="AT74" s="119">
        <f t="shared" si="63"/>
        <v>0</v>
      </c>
      <c r="AU74" s="119">
        <f t="shared" si="64"/>
        <v>0</v>
      </c>
      <c r="AV74" s="125"/>
      <c r="AW74" s="120">
        <f t="shared" si="65"/>
        <v>0</v>
      </c>
    </row>
    <row r="75" spans="1:49" hidden="1" outlineLevel="1">
      <c r="A75" s="114"/>
      <c r="B75" s="115"/>
      <c r="C75" s="115"/>
      <c r="D75" s="116"/>
      <c r="E75" s="117">
        <f t="shared" si="67"/>
        <v>0</v>
      </c>
      <c r="F75" s="117"/>
      <c r="G75" s="117"/>
      <c r="H75" s="117"/>
      <c r="I75" s="117"/>
      <c r="J75" s="117">
        <f t="shared" si="46"/>
        <v>0</v>
      </c>
      <c r="K75" s="114"/>
      <c r="L75" s="114"/>
      <c r="M75" s="114"/>
      <c r="N75" s="114"/>
      <c r="O75" s="117">
        <f t="shared" si="47"/>
        <v>0</v>
      </c>
      <c r="P75" s="117">
        <f t="shared" si="48"/>
        <v>0</v>
      </c>
      <c r="Q75" s="118"/>
      <c r="R75" s="118"/>
      <c r="S75" s="117">
        <f t="shared" si="49"/>
        <v>0</v>
      </c>
      <c r="T75" s="117"/>
      <c r="U75" s="117"/>
      <c r="V75" s="117">
        <f t="shared" si="50"/>
        <v>0</v>
      </c>
      <c r="W75" s="118"/>
      <c r="X75" s="118"/>
      <c r="Y75" s="117">
        <f t="shared" si="51"/>
        <v>0</v>
      </c>
      <c r="Z75" s="117">
        <f t="shared" si="52"/>
        <v>0</v>
      </c>
      <c r="AA75" s="119">
        <f t="shared" si="66"/>
        <v>0</v>
      </c>
      <c r="AB75" s="117">
        <f t="shared" si="53"/>
        <v>0</v>
      </c>
      <c r="AC75" s="118"/>
      <c r="AD75" s="119">
        <f t="shared" si="54"/>
        <v>0</v>
      </c>
      <c r="AE75" s="118"/>
      <c r="AF75" s="118"/>
      <c r="AG75" s="118"/>
      <c r="AH75" s="118"/>
      <c r="AI75" s="152">
        <f t="shared" si="55"/>
        <v>0</v>
      </c>
      <c r="AJ75" s="118"/>
      <c r="AK75" s="120">
        <f t="shared" si="56"/>
        <v>0</v>
      </c>
      <c r="AL75" s="121">
        <f t="shared" si="57"/>
        <v>0</v>
      </c>
      <c r="AM75" s="122"/>
      <c r="AN75" s="123">
        <f t="shared" si="58"/>
        <v>0</v>
      </c>
      <c r="AO75" s="124">
        <f t="shared" si="59"/>
        <v>0</v>
      </c>
      <c r="AP75" s="124">
        <f t="shared" si="60"/>
        <v>0</v>
      </c>
      <c r="AQ75" s="124">
        <f t="shared" si="61"/>
        <v>0</v>
      </c>
      <c r="AR75" s="124">
        <f t="shared" si="62"/>
        <v>0</v>
      </c>
      <c r="AS75" s="124">
        <f t="array" ref="AS75">_xlfn.IFS(S75=0,AL75,S75&lt;0,AL75/-S75,S75&gt;0,AL75/S75)</f>
        <v>0</v>
      </c>
      <c r="AT75" s="119">
        <f t="shared" si="63"/>
        <v>0</v>
      </c>
      <c r="AU75" s="119">
        <f t="shared" si="64"/>
        <v>0</v>
      </c>
      <c r="AV75" s="125"/>
      <c r="AW75" s="120">
        <f t="shared" si="65"/>
        <v>0</v>
      </c>
    </row>
    <row r="76" spans="1:49" hidden="1" outlineLevel="1">
      <c r="A76" s="114"/>
      <c r="B76" s="115"/>
      <c r="C76" s="115"/>
      <c r="D76" s="116"/>
      <c r="E76" s="117">
        <f t="shared" si="67"/>
        <v>0</v>
      </c>
      <c r="F76" s="117"/>
      <c r="G76" s="117"/>
      <c r="H76" s="117"/>
      <c r="I76" s="117"/>
      <c r="J76" s="117">
        <f t="shared" si="46"/>
        <v>0</v>
      </c>
      <c r="K76" s="114"/>
      <c r="L76" s="114"/>
      <c r="M76" s="114"/>
      <c r="N76" s="114"/>
      <c r="O76" s="117">
        <f t="shared" si="47"/>
        <v>0</v>
      </c>
      <c r="P76" s="117">
        <f t="shared" si="48"/>
        <v>0</v>
      </c>
      <c r="Q76" s="118"/>
      <c r="R76" s="118"/>
      <c r="S76" s="117">
        <f t="shared" si="49"/>
        <v>0</v>
      </c>
      <c r="T76" s="117"/>
      <c r="U76" s="117"/>
      <c r="V76" s="117">
        <f t="shared" si="50"/>
        <v>0</v>
      </c>
      <c r="W76" s="118"/>
      <c r="X76" s="118"/>
      <c r="Y76" s="117">
        <f t="shared" si="51"/>
        <v>0</v>
      </c>
      <c r="Z76" s="117">
        <f t="shared" si="52"/>
        <v>0</v>
      </c>
      <c r="AA76" s="119">
        <f t="shared" si="66"/>
        <v>0</v>
      </c>
      <c r="AB76" s="117">
        <f t="shared" si="53"/>
        <v>0</v>
      </c>
      <c r="AC76" s="118"/>
      <c r="AD76" s="119">
        <f t="shared" si="54"/>
        <v>0</v>
      </c>
      <c r="AE76" s="118"/>
      <c r="AF76" s="118"/>
      <c r="AG76" s="118"/>
      <c r="AH76" s="118"/>
      <c r="AI76" s="152">
        <f t="shared" si="55"/>
        <v>0</v>
      </c>
      <c r="AJ76" s="118"/>
      <c r="AK76" s="120">
        <f t="shared" si="56"/>
        <v>0</v>
      </c>
      <c r="AL76" s="121">
        <f t="shared" si="57"/>
        <v>0</v>
      </c>
      <c r="AM76" s="122"/>
      <c r="AN76" s="123">
        <f t="shared" si="58"/>
        <v>0</v>
      </c>
      <c r="AO76" s="124">
        <f t="shared" si="59"/>
        <v>0</v>
      </c>
      <c r="AP76" s="124">
        <f t="shared" si="60"/>
        <v>0</v>
      </c>
      <c r="AQ76" s="124">
        <f t="shared" si="61"/>
        <v>0</v>
      </c>
      <c r="AR76" s="124">
        <f t="shared" si="62"/>
        <v>0</v>
      </c>
      <c r="AS76" s="124">
        <f t="array" ref="AS76">_xlfn.IFS(S76=0,AL76,S76&lt;0,AL76/-S76,S76&gt;0,AL76/S76)</f>
        <v>0</v>
      </c>
      <c r="AT76" s="119">
        <f t="shared" si="63"/>
        <v>0</v>
      </c>
      <c r="AU76" s="119">
        <f t="shared" si="64"/>
        <v>0</v>
      </c>
      <c r="AV76" s="125"/>
      <c r="AW76" s="120">
        <f t="shared" si="65"/>
        <v>0</v>
      </c>
    </row>
    <row r="77" spans="1:49" hidden="1" outlineLevel="1">
      <c r="A77" s="114"/>
      <c r="B77" s="115"/>
      <c r="C77" s="115"/>
      <c r="D77" s="116"/>
      <c r="E77" s="117">
        <f t="shared" si="67"/>
        <v>0</v>
      </c>
      <c r="F77" s="117"/>
      <c r="G77" s="117"/>
      <c r="H77" s="117"/>
      <c r="I77" s="117"/>
      <c r="J77" s="117">
        <f t="shared" si="46"/>
        <v>0</v>
      </c>
      <c r="K77" s="114"/>
      <c r="L77" s="114"/>
      <c r="M77" s="114"/>
      <c r="N77" s="114"/>
      <c r="O77" s="117">
        <f t="shared" si="47"/>
        <v>0</v>
      </c>
      <c r="P77" s="117">
        <f t="shared" si="48"/>
        <v>0</v>
      </c>
      <c r="Q77" s="118"/>
      <c r="R77" s="118"/>
      <c r="S77" s="117">
        <f t="shared" si="49"/>
        <v>0</v>
      </c>
      <c r="T77" s="117"/>
      <c r="U77" s="117"/>
      <c r="V77" s="117">
        <f t="shared" si="50"/>
        <v>0</v>
      </c>
      <c r="W77" s="118"/>
      <c r="X77" s="118"/>
      <c r="Y77" s="117">
        <f t="shared" si="51"/>
        <v>0</v>
      </c>
      <c r="Z77" s="117">
        <f t="shared" si="52"/>
        <v>0</v>
      </c>
      <c r="AA77" s="119">
        <f t="shared" si="66"/>
        <v>0</v>
      </c>
      <c r="AB77" s="117">
        <f t="shared" si="53"/>
        <v>0</v>
      </c>
      <c r="AC77" s="118"/>
      <c r="AD77" s="119">
        <f t="shared" si="54"/>
        <v>0</v>
      </c>
      <c r="AE77" s="118"/>
      <c r="AF77" s="118"/>
      <c r="AG77" s="118"/>
      <c r="AH77" s="118"/>
      <c r="AI77" s="152">
        <f t="shared" si="55"/>
        <v>0</v>
      </c>
      <c r="AJ77" s="118"/>
      <c r="AK77" s="120">
        <f t="shared" si="56"/>
        <v>0</v>
      </c>
      <c r="AL77" s="121">
        <f t="shared" si="57"/>
        <v>0</v>
      </c>
      <c r="AM77" s="122"/>
      <c r="AN77" s="123">
        <f t="shared" si="58"/>
        <v>0</v>
      </c>
      <c r="AO77" s="124">
        <f t="shared" si="59"/>
        <v>0</v>
      </c>
      <c r="AP77" s="124">
        <f t="shared" si="60"/>
        <v>0</v>
      </c>
      <c r="AQ77" s="124">
        <f t="shared" si="61"/>
        <v>0</v>
      </c>
      <c r="AR77" s="124">
        <f t="shared" si="62"/>
        <v>0</v>
      </c>
      <c r="AS77" s="124">
        <f t="array" ref="AS77">_xlfn.IFS(S77=0,AL77,S77&lt;0,AL77/-S77,S77&gt;0,AL77/S77)</f>
        <v>0</v>
      </c>
      <c r="AT77" s="119">
        <f t="shared" si="63"/>
        <v>0</v>
      </c>
      <c r="AU77" s="119">
        <f t="shared" si="64"/>
        <v>0</v>
      </c>
      <c r="AV77" s="125"/>
      <c r="AW77" s="120">
        <f t="shared" si="65"/>
        <v>0</v>
      </c>
    </row>
    <row r="78" spans="1:49" hidden="1" outlineLevel="1">
      <c r="A78" s="114"/>
      <c r="B78" s="115"/>
      <c r="C78" s="115"/>
      <c r="D78" s="116"/>
      <c r="E78" s="117">
        <f t="shared" si="67"/>
        <v>0</v>
      </c>
      <c r="F78" s="117"/>
      <c r="G78" s="117"/>
      <c r="H78" s="117"/>
      <c r="I78" s="117"/>
      <c r="J78" s="117">
        <f t="shared" si="46"/>
        <v>0</v>
      </c>
      <c r="K78" s="114"/>
      <c r="L78" s="114"/>
      <c r="M78" s="114"/>
      <c r="N78" s="114"/>
      <c r="O78" s="117">
        <f t="shared" si="47"/>
        <v>0</v>
      </c>
      <c r="P78" s="117">
        <f t="shared" si="48"/>
        <v>0</v>
      </c>
      <c r="Q78" s="118"/>
      <c r="R78" s="118"/>
      <c r="S78" s="117">
        <f t="shared" si="49"/>
        <v>0</v>
      </c>
      <c r="T78" s="117"/>
      <c r="U78" s="117"/>
      <c r="V78" s="117">
        <f t="shared" si="50"/>
        <v>0</v>
      </c>
      <c r="W78" s="118"/>
      <c r="X78" s="118"/>
      <c r="Y78" s="117">
        <f t="shared" si="51"/>
        <v>0</v>
      </c>
      <c r="Z78" s="117">
        <f t="shared" si="52"/>
        <v>0</v>
      </c>
      <c r="AA78" s="119">
        <f t="shared" si="66"/>
        <v>0</v>
      </c>
      <c r="AB78" s="117">
        <f t="shared" si="53"/>
        <v>0</v>
      </c>
      <c r="AC78" s="118"/>
      <c r="AD78" s="119">
        <f t="shared" si="54"/>
        <v>0</v>
      </c>
      <c r="AE78" s="118"/>
      <c r="AF78" s="118"/>
      <c r="AG78" s="118"/>
      <c r="AH78" s="118"/>
      <c r="AI78" s="152">
        <f t="shared" si="55"/>
        <v>0</v>
      </c>
      <c r="AJ78" s="118"/>
      <c r="AK78" s="120">
        <f t="shared" si="56"/>
        <v>0</v>
      </c>
      <c r="AL78" s="121">
        <f t="shared" si="57"/>
        <v>0</v>
      </c>
      <c r="AM78" s="122"/>
      <c r="AN78" s="123">
        <f t="shared" si="58"/>
        <v>0</v>
      </c>
      <c r="AO78" s="124">
        <f t="shared" si="59"/>
        <v>0</v>
      </c>
      <c r="AP78" s="124">
        <f t="shared" si="60"/>
        <v>0</v>
      </c>
      <c r="AQ78" s="124">
        <f t="shared" si="61"/>
        <v>0</v>
      </c>
      <c r="AR78" s="124">
        <f t="shared" si="62"/>
        <v>0</v>
      </c>
      <c r="AS78" s="124">
        <f t="array" ref="AS78">_xlfn.IFS(S78=0,AL78,S78&lt;0,AL78/-S78,S78&gt;0,AL78/S78)</f>
        <v>0</v>
      </c>
      <c r="AT78" s="119">
        <f t="shared" si="63"/>
        <v>0</v>
      </c>
      <c r="AU78" s="119">
        <f t="shared" si="64"/>
        <v>0</v>
      </c>
      <c r="AV78" s="125"/>
      <c r="AW78" s="120">
        <f t="shared" si="65"/>
        <v>0</v>
      </c>
    </row>
    <row r="79" spans="1:49" hidden="1" outlineLevel="1">
      <c r="A79" s="114"/>
      <c r="B79" s="115"/>
      <c r="C79" s="115"/>
      <c r="D79" s="116"/>
      <c r="E79" s="117">
        <f t="shared" si="67"/>
        <v>0</v>
      </c>
      <c r="F79" s="117"/>
      <c r="G79" s="117"/>
      <c r="H79" s="117"/>
      <c r="I79" s="117"/>
      <c r="J79" s="117">
        <f t="shared" si="46"/>
        <v>0</v>
      </c>
      <c r="K79" s="114"/>
      <c r="L79" s="114"/>
      <c r="M79" s="114"/>
      <c r="N79" s="114"/>
      <c r="O79" s="117">
        <f t="shared" si="47"/>
        <v>0</v>
      </c>
      <c r="P79" s="117">
        <f t="shared" si="48"/>
        <v>0</v>
      </c>
      <c r="Q79" s="118"/>
      <c r="R79" s="118"/>
      <c r="S79" s="117">
        <f t="shared" si="49"/>
        <v>0</v>
      </c>
      <c r="T79" s="117"/>
      <c r="U79" s="117"/>
      <c r="V79" s="117">
        <f t="shared" si="50"/>
        <v>0</v>
      </c>
      <c r="W79" s="118"/>
      <c r="X79" s="118"/>
      <c r="Y79" s="117">
        <f t="shared" si="51"/>
        <v>0</v>
      </c>
      <c r="Z79" s="117">
        <f t="shared" si="52"/>
        <v>0</v>
      </c>
      <c r="AA79" s="119">
        <f t="shared" si="66"/>
        <v>0</v>
      </c>
      <c r="AB79" s="117">
        <f t="shared" si="53"/>
        <v>0</v>
      </c>
      <c r="AC79" s="118"/>
      <c r="AD79" s="119">
        <f t="shared" si="54"/>
        <v>0</v>
      </c>
      <c r="AE79" s="118"/>
      <c r="AF79" s="118"/>
      <c r="AG79" s="118"/>
      <c r="AH79" s="118"/>
      <c r="AI79" s="152">
        <f t="shared" si="55"/>
        <v>0</v>
      </c>
      <c r="AJ79" s="118"/>
      <c r="AK79" s="120">
        <f t="shared" si="56"/>
        <v>0</v>
      </c>
      <c r="AL79" s="121">
        <f t="shared" si="57"/>
        <v>0</v>
      </c>
      <c r="AM79" s="122"/>
      <c r="AN79" s="123">
        <f t="shared" si="58"/>
        <v>0</v>
      </c>
      <c r="AO79" s="124">
        <f t="shared" si="59"/>
        <v>0</v>
      </c>
      <c r="AP79" s="124">
        <f t="shared" si="60"/>
        <v>0</v>
      </c>
      <c r="AQ79" s="124">
        <f t="shared" si="61"/>
        <v>0</v>
      </c>
      <c r="AR79" s="124">
        <f t="shared" si="62"/>
        <v>0</v>
      </c>
      <c r="AS79" s="124">
        <f t="array" ref="AS79">_xlfn.IFS(S79=0,AL79,S79&lt;0,AL79/-S79,S79&gt;0,AL79/S79)</f>
        <v>0</v>
      </c>
      <c r="AT79" s="119">
        <f t="shared" si="63"/>
        <v>0</v>
      </c>
      <c r="AU79" s="119">
        <f t="shared" si="64"/>
        <v>0</v>
      </c>
      <c r="AV79" s="125"/>
      <c r="AW79" s="120">
        <f t="shared" si="65"/>
        <v>0</v>
      </c>
    </row>
    <row r="80" spans="1:49" hidden="1" outlineLevel="1">
      <c r="A80" s="114"/>
      <c r="B80" s="115"/>
      <c r="C80" s="115"/>
      <c r="D80" s="116"/>
      <c r="E80" s="117">
        <f t="shared" si="67"/>
        <v>0</v>
      </c>
      <c r="F80" s="117"/>
      <c r="G80" s="117"/>
      <c r="H80" s="117"/>
      <c r="I80" s="117"/>
      <c r="J80" s="117">
        <f t="shared" si="46"/>
        <v>0</v>
      </c>
      <c r="K80" s="114"/>
      <c r="L80" s="114"/>
      <c r="M80" s="114"/>
      <c r="N80" s="114"/>
      <c r="O80" s="117">
        <f t="shared" si="47"/>
        <v>0</v>
      </c>
      <c r="P80" s="117">
        <f t="shared" si="48"/>
        <v>0</v>
      </c>
      <c r="Q80" s="118"/>
      <c r="R80" s="118"/>
      <c r="S80" s="117">
        <f t="shared" si="49"/>
        <v>0</v>
      </c>
      <c r="T80" s="117"/>
      <c r="U80" s="117"/>
      <c r="V80" s="117">
        <f t="shared" si="50"/>
        <v>0</v>
      </c>
      <c r="W80" s="118"/>
      <c r="X80" s="118"/>
      <c r="Y80" s="117">
        <f t="shared" si="51"/>
        <v>0</v>
      </c>
      <c r="Z80" s="117">
        <f t="shared" si="52"/>
        <v>0</v>
      </c>
      <c r="AA80" s="119">
        <f t="shared" si="66"/>
        <v>0</v>
      </c>
      <c r="AB80" s="117">
        <f t="shared" si="53"/>
        <v>0</v>
      </c>
      <c r="AC80" s="118"/>
      <c r="AD80" s="119">
        <f t="shared" si="54"/>
        <v>0</v>
      </c>
      <c r="AE80" s="118"/>
      <c r="AF80" s="118"/>
      <c r="AG80" s="118"/>
      <c r="AH80" s="118"/>
      <c r="AI80" s="152">
        <f t="shared" si="55"/>
        <v>0</v>
      </c>
      <c r="AJ80" s="118"/>
      <c r="AK80" s="120">
        <f t="shared" si="56"/>
        <v>0</v>
      </c>
      <c r="AL80" s="121">
        <f t="shared" si="57"/>
        <v>0</v>
      </c>
      <c r="AM80" s="122"/>
      <c r="AN80" s="123">
        <f t="shared" si="58"/>
        <v>0</v>
      </c>
      <c r="AO80" s="124">
        <f t="shared" si="59"/>
        <v>0</v>
      </c>
      <c r="AP80" s="124">
        <f t="shared" si="60"/>
        <v>0</v>
      </c>
      <c r="AQ80" s="124">
        <f t="shared" si="61"/>
        <v>0</v>
      </c>
      <c r="AR80" s="124">
        <f t="shared" si="62"/>
        <v>0</v>
      </c>
      <c r="AS80" s="124">
        <f t="array" ref="AS80">_xlfn.IFS(S80=0,AL80,S80&lt;0,AL80/-S80,S80&gt;0,AL80/S80)</f>
        <v>0</v>
      </c>
      <c r="AT80" s="119">
        <f t="shared" si="63"/>
        <v>0</v>
      </c>
      <c r="AU80" s="119">
        <f t="shared" si="64"/>
        <v>0</v>
      </c>
      <c r="AV80" s="125"/>
      <c r="AW80" s="120">
        <f t="shared" si="65"/>
        <v>0</v>
      </c>
    </row>
    <row r="81" spans="1:49" hidden="1" outlineLevel="1">
      <c r="A81" s="114"/>
      <c r="B81" s="115"/>
      <c r="C81" s="115"/>
      <c r="D81" s="116"/>
      <c r="E81" s="117">
        <f t="shared" si="67"/>
        <v>0</v>
      </c>
      <c r="F81" s="117"/>
      <c r="G81" s="117"/>
      <c r="H81" s="117"/>
      <c r="I81" s="117"/>
      <c r="J81" s="117">
        <f t="shared" si="46"/>
        <v>0</v>
      </c>
      <c r="K81" s="114"/>
      <c r="L81" s="114"/>
      <c r="M81" s="114"/>
      <c r="N81" s="114"/>
      <c r="O81" s="117">
        <f t="shared" si="47"/>
        <v>0</v>
      </c>
      <c r="P81" s="117">
        <f t="shared" si="48"/>
        <v>0</v>
      </c>
      <c r="Q81" s="118"/>
      <c r="R81" s="118"/>
      <c r="S81" s="117">
        <f t="shared" si="49"/>
        <v>0</v>
      </c>
      <c r="T81" s="117"/>
      <c r="U81" s="117"/>
      <c r="V81" s="117">
        <f t="shared" si="50"/>
        <v>0</v>
      </c>
      <c r="W81" s="118"/>
      <c r="X81" s="118"/>
      <c r="Y81" s="117">
        <f t="shared" si="51"/>
        <v>0</v>
      </c>
      <c r="Z81" s="117">
        <f t="shared" si="52"/>
        <v>0</v>
      </c>
      <c r="AA81" s="119">
        <f t="shared" si="66"/>
        <v>0</v>
      </c>
      <c r="AB81" s="117">
        <f t="shared" si="53"/>
        <v>0</v>
      </c>
      <c r="AC81" s="118"/>
      <c r="AD81" s="119">
        <f t="shared" si="54"/>
        <v>0</v>
      </c>
      <c r="AE81" s="118"/>
      <c r="AF81" s="118"/>
      <c r="AG81" s="118"/>
      <c r="AH81" s="118"/>
      <c r="AI81" s="152">
        <f t="shared" si="55"/>
        <v>0</v>
      </c>
      <c r="AJ81" s="118"/>
      <c r="AK81" s="120">
        <f t="shared" si="56"/>
        <v>0</v>
      </c>
      <c r="AL81" s="121">
        <f t="shared" si="57"/>
        <v>0</v>
      </c>
      <c r="AM81" s="122"/>
      <c r="AN81" s="123">
        <f t="shared" si="58"/>
        <v>0</v>
      </c>
      <c r="AO81" s="124">
        <f t="shared" si="59"/>
        <v>0</v>
      </c>
      <c r="AP81" s="124">
        <f t="shared" si="60"/>
        <v>0</v>
      </c>
      <c r="AQ81" s="124">
        <f t="shared" si="61"/>
        <v>0</v>
      </c>
      <c r="AR81" s="124">
        <f t="shared" si="62"/>
        <v>0</v>
      </c>
      <c r="AS81" s="124">
        <f t="array" ref="AS81">_xlfn.IFS(S81=0,AL81,S81&lt;0,AL81/-S81,S81&gt;0,AL81/S81)</f>
        <v>0</v>
      </c>
      <c r="AT81" s="119">
        <f t="shared" si="63"/>
        <v>0</v>
      </c>
      <c r="AU81" s="119">
        <f t="shared" si="64"/>
        <v>0</v>
      </c>
      <c r="AV81" s="125"/>
      <c r="AW81" s="120">
        <f t="shared" si="65"/>
        <v>0</v>
      </c>
    </row>
    <row r="82" spans="1:49" hidden="1" outlineLevel="1">
      <c r="A82" s="114"/>
      <c r="B82" s="115"/>
      <c r="C82" s="115"/>
      <c r="D82" s="149"/>
      <c r="E82" s="118">
        <f t="shared" si="67"/>
        <v>0</v>
      </c>
      <c r="F82" s="117"/>
      <c r="G82" s="117"/>
      <c r="H82" s="117"/>
      <c r="I82" s="117"/>
      <c r="J82" s="117">
        <f t="shared" si="46"/>
        <v>0</v>
      </c>
      <c r="K82" s="114"/>
      <c r="L82" s="114"/>
      <c r="M82" s="114"/>
      <c r="N82" s="114"/>
      <c r="O82" s="117">
        <f t="shared" si="47"/>
        <v>0</v>
      </c>
      <c r="P82" s="117">
        <f t="shared" si="48"/>
        <v>0</v>
      </c>
      <c r="Q82" s="118"/>
      <c r="R82" s="118"/>
      <c r="S82" s="117">
        <f t="shared" si="49"/>
        <v>0</v>
      </c>
      <c r="T82" s="117"/>
      <c r="U82" s="117"/>
      <c r="V82" s="117">
        <f t="shared" si="50"/>
        <v>0</v>
      </c>
      <c r="W82" s="118"/>
      <c r="X82" s="118"/>
      <c r="Y82" s="117">
        <f t="shared" si="51"/>
        <v>0</v>
      </c>
      <c r="Z82" s="117">
        <f t="shared" si="52"/>
        <v>0</v>
      </c>
      <c r="AA82" s="119">
        <f t="shared" si="66"/>
        <v>0</v>
      </c>
      <c r="AB82" s="117">
        <f t="shared" si="53"/>
        <v>0</v>
      </c>
      <c r="AC82" s="118"/>
      <c r="AD82" s="119">
        <f t="shared" si="54"/>
        <v>0</v>
      </c>
      <c r="AE82" s="118"/>
      <c r="AF82" s="118"/>
      <c r="AG82" s="118"/>
      <c r="AH82" s="118"/>
      <c r="AI82" s="152">
        <f t="shared" si="55"/>
        <v>0</v>
      </c>
      <c r="AJ82" s="118"/>
      <c r="AK82" s="120">
        <f t="shared" si="56"/>
        <v>0</v>
      </c>
      <c r="AL82" s="121">
        <f t="shared" si="57"/>
        <v>0</v>
      </c>
      <c r="AM82" s="122"/>
      <c r="AN82" s="123">
        <f t="shared" si="58"/>
        <v>0</v>
      </c>
      <c r="AO82" s="124">
        <f t="shared" si="59"/>
        <v>0</v>
      </c>
      <c r="AP82" s="124">
        <f t="shared" si="60"/>
        <v>0</v>
      </c>
      <c r="AQ82" s="124">
        <f t="shared" si="61"/>
        <v>0</v>
      </c>
      <c r="AR82" s="124">
        <f t="shared" si="62"/>
        <v>0</v>
      </c>
      <c r="AS82" s="124">
        <f t="array" ref="AS82">_xlfn.IFS(S82=0,AL82,S82&lt;0,AL82/-S82,S82&gt;0,AL82/S82)</f>
        <v>0</v>
      </c>
      <c r="AT82" s="119">
        <f t="shared" si="63"/>
        <v>0</v>
      </c>
      <c r="AU82" s="119">
        <f t="shared" si="64"/>
        <v>0</v>
      </c>
      <c r="AV82" s="125"/>
      <c r="AW82" s="120">
        <f t="shared" si="65"/>
        <v>0</v>
      </c>
    </row>
    <row r="83" spans="1:49" hidden="1" outlineLevel="1">
      <c r="A83" s="114"/>
      <c r="B83" s="115"/>
      <c r="C83" s="115"/>
      <c r="D83" s="149"/>
      <c r="E83" s="118">
        <f t="shared" si="67"/>
        <v>0</v>
      </c>
      <c r="F83" s="117"/>
      <c r="G83" s="117"/>
      <c r="H83" s="117"/>
      <c r="I83" s="117"/>
      <c r="J83" s="117">
        <f t="shared" si="46"/>
        <v>0</v>
      </c>
      <c r="K83" s="114"/>
      <c r="L83" s="114"/>
      <c r="M83" s="114"/>
      <c r="N83" s="114"/>
      <c r="O83" s="117">
        <f t="shared" si="47"/>
        <v>0</v>
      </c>
      <c r="P83" s="117">
        <f t="shared" si="48"/>
        <v>0</v>
      </c>
      <c r="Q83" s="118"/>
      <c r="R83" s="118"/>
      <c r="S83" s="117">
        <f t="shared" si="49"/>
        <v>0</v>
      </c>
      <c r="T83" s="117"/>
      <c r="U83" s="117"/>
      <c r="V83" s="117">
        <f t="shared" si="50"/>
        <v>0</v>
      </c>
      <c r="W83" s="118"/>
      <c r="X83" s="118"/>
      <c r="Y83" s="117">
        <f t="shared" si="51"/>
        <v>0</v>
      </c>
      <c r="Z83" s="117">
        <f t="shared" si="52"/>
        <v>0</v>
      </c>
      <c r="AA83" s="119">
        <f t="shared" si="66"/>
        <v>0</v>
      </c>
      <c r="AB83" s="117">
        <f t="shared" si="53"/>
        <v>0</v>
      </c>
      <c r="AC83" s="118"/>
      <c r="AD83" s="119">
        <f t="shared" si="54"/>
        <v>0</v>
      </c>
      <c r="AE83" s="118"/>
      <c r="AF83" s="118"/>
      <c r="AG83" s="118"/>
      <c r="AH83" s="118"/>
      <c r="AI83" s="152">
        <f t="shared" si="55"/>
        <v>0</v>
      </c>
      <c r="AJ83" s="118"/>
      <c r="AK83" s="120">
        <f t="shared" si="56"/>
        <v>0</v>
      </c>
      <c r="AL83" s="121">
        <f t="shared" si="57"/>
        <v>0</v>
      </c>
      <c r="AM83" s="122"/>
      <c r="AN83" s="123">
        <f t="shared" si="58"/>
        <v>0</v>
      </c>
      <c r="AO83" s="124">
        <f t="shared" si="59"/>
        <v>0</v>
      </c>
      <c r="AP83" s="124">
        <f t="shared" si="60"/>
        <v>0</v>
      </c>
      <c r="AQ83" s="124">
        <f t="shared" si="61"/>
        <v>0</v>
      </c>
      <c r="AR83" s="124">
        <f t="shared" si="62"/>
        <v>0</v>
      </c>
      <c r="AS83" s="124">
        <f t="array" ref="AS83">_xlfn.IFS(S83=0,AL83,S83&lt;0,AL83/-S83,S83&gt;0,AL83/S83)</f>
        <v>0</v>
      </c>
      <c r="AT83" s="119">
        <f t="shared" si="63"/>
        <v>0</v>
      </c>
      <c r="AU83" s="119">
        <f t="shared" si="64"/>
        <v>0</v>
      </c>
      <c r="AV83" s="125"/>
      <c r="AW83" s="120">
        <f t="shared" si="65"/>
        <v>0</v>
      </c>
    </row>
    <row r="84" spans="1:49" hidden="1" outlineLevel="1">
      <c r="A84" s="114"/>
      <c r="B84" s="115"/>
      <c r="C84" s="115"/>
      <c r="D84" s="149"/>
      <c r="E84" s="118">
        <f t="shared" si="67"/>
        <v>0</v>
      </c>
      <c r="F84" s="117"/>
      <c r="G84" s="117"/>
      <c r="H84" s="117"/>
      <c r="I84" s="117"/>
      <c r="J84" s="117">
        <f t="shared" si="46"/>
        <v>0</v>
      </c>
      <c r="K84" s="114"/>
      <c r="L84" s="114"/>
      <c r="M84" s="114"/>
      <c r="N84" s="114"/>
      <c r="O84" s="117">
        <f t="shared" si="47"/>
        <v>0</v>
      </c>
      <c r="P84" s="117">
        <f t="shared" si="48"/>
        <v>0</v>
      </c>
      <c r="Q84" s="118"/>
      <c r="R84" s="118"/>
      <c r="S84" s="117">
        <f t="shared" si="49"/>
        <v>0</v>
      </c>
      <c r="T84" s="117"/>
      <c r="U84" s="117"/>
      <c r="V84" s="117">
        <f t="shared" si="50"/>
        <v>0</v>
      </c>
      <c r="W84" s="118"/>
      <c r="X84" s="118"/>
      <c r="Y84" s="117">
        <f t="shared" si="51"/>
        <v>0</v>
      </c>
      <c r="Z84" s="117">
        <f t="shared" si="52"/>
        <v>0</v>
      </c>
      <c r="AA84" s="119">
        <f t="shared" si="66"/>
        <v>0</v>
      </c>
      <c r="AB84" s="117">
        <f t="shared" si="53"/>
        <v>0</v>
      </c>
      <c r="AC84" s="118"/>
      <c r="AD84" s="119">
        <f t="shared" si="54"/>
        <v>0</v>
      </c>
      <c r="AE84" s="118"/>
      <c r="AF84" s="118"/>
      <c r="AG84" s="118"/>
      <c r="AH84" s="118"/>
      <c r="AI84" s="152">
        <f t="shared" si="55"/>
        <v>0</v>
      </c>
      <c r="AJ84" s="118"/>
      <c r="AK84" s="120">
        <f t="shared" si="56"/>
        <v>0</v>
      </c>
      <c r="AL84" s="121">
        <f t="shared" si="57"/>
        <v>0</v>
      </c>
      <c r="AM84" s="122"/>
      <c r="AN84" s="123">
        <f t="shared" si="58"/>
        <v>0</v>
      </c>
      <c r="AO84" s="124">
        <f t="shared" si="59"/>
        <v>0</v>
      </c>
      <c r="AP84" s="124">
        <f t="shared" si="60"/>
        <v>0</v>
      </c>
      <c r="AQ84" s="124">
        <f t="shared" si="61"/>
        <v>0</v>
      </c>
      <c r="AR84" s="124">
        <f t="shared" si="62"/>
        <v>0</v>
      </c>
      <c r="AS84" s="124">
        <f t="array" ref="AS84">_xlfn.IFS(S84=0,AL84,S84&lt;0,AL84/-S84,S84&gt;0,AL84/S84)</f>
        <v>0</v>
      </c>
      <c r="AT84" s="119">
        <f t="shared" si="63"/>
        <v>0</v>
      </c>
      <c r="AU84" s="119">
        <f t="shared" si="64"/>
        <v>0</v>
      </c>
      <c r="AV84" s="125"/>
      <c r="AW84" s="120">
        <f t="shared" si="65"/>
        <v>0</v>
      </c>
    </row>
    <row r="85" spans="1:49" hidden="1" outlineLevel="1">
      <c r="A85" s="114"/>
      <c r="B85" s="115"/>
      <c r="C85" s="115"/>
      <c r="D85" s="149"/>
      <c r="E85" s="118">
        <f t="shared" si="67"/>
        <v>0</v>
      </c>
      <c r="F85" s="117"/>
      <c r="G85" s="117"/>
      <c r="H85" s="117"/>
      <c r="I85" s="117"/>
      <c r="J85" s="117">
        <f t="shared" si="46"/>
        <v>0</v>
      </c>
      <c r="K85" s="114"/>
      <c r="L85" s="114"/>
      <c r="M85" s="114"/>
      <c r="N85" s="114"/>
      <c r="O85" s="117">
        <f t="shared" si="47"/>
        <v>0</v>
      </c>
      <c r="P85" s="117">
        <f t="shared" si="48"/>
        <v>0</v>
      </c>
      <c r="Q85" s="118"/>
      <c r="R85" s="118"/>
      <c r="S85" s="117">
        <f t="shared" si="49"/>
        <v>0</v>
      </c>
      <c r="T85" s="117"/>
      <c r="U85" s="117"/>
      <c r="V85" s="117">
        <f t="shared" si="50"/>
        <v>0</v>
      </c>
      <c r="W85" s="118"/>
      <c r="X85" s="118"/>
      <c r="Y85" s="117">
        <f t="shared" si="51"/>
        <v>0</v>
      </c>
      <c r="Z85" s="117">
        <f>L85*M85*N85/100</f>
        <v>0</v>
      </c>
      <c r="AA85" s="119">
        <f t="shared" si="66"/>
        <v>0</v>
      </c>
      <c r="AB85" s="117">
        <f t="shared" si="53"/>
        <v>0</v>
      </c>
      <c r="AC85" s="118"/>
      <c r="AD85" s="119">
        <f t="shared" si="54"/>
        <v>0</v>
      </c>
      <c r="AE85" s="118"/>
      <c r="AF85" s="118"/>
      <c r="AG85" s="118"/>
      <c r="AH85" s="118"/>
      <c r="AI85" s="152">
        <f t="shared" si="55"/>
        <v>0</v>
      </c>
      <c r="AJ85" s="118"/>
      <c r="AK85" s="120">
        <f t="shared" si="56"/>
        <v>0</v>
      </c>
      <c r="AL85" s="121">
        <f t="shared" si="57"/>
        <v>0</v>
      </c>
      <c r="AM85" s="122"/>
      <c r="AN85" s="123">
        <f t="shared" si="58"/>
        <v>0</v>
      </c>
      <c r="AO85" s="124">
        <f t="shared" si="59"/>
        <v>0</v>
      </c>
      <c r="AP85" s="124">
        <f t="shared" si="60"/>
        <v>0</v>
      </c>
      <c r="AQ85" s="124">
        <f t="shared" si="61"/>
        <v>0</v>
      </c>
      <c r="AR85" s="124">
        <f t="shared" si="62"/>
        <v>0</v>
      </c>
      <c r="AS85" s="124">
        <f t="array" ref="AS85">_xlfn.IFS(S85=0,AL85,S85&lt;0,AL85/-S85,S85&gt;0,AL85/S85)</f>
        <v>0</v>
      </c>
      <c r="AT85" s="119">
        <f t="shared" si="63"/>
        <v>0</v>
      </c>
      <c r="AU85" s="119">
        <f t="shared" si="64"/>
        <v>0</v>
      </c>
      <c r="AV85" s="125"/>
      <c r="AW85" s="120">
        <f t="shared" si="65"/>
        <v>0</v>
      </c>
    </row>
    <row r="86" spans="1:49" hidden="1" outlineLevel="1">
      <c r="A86" s="114"/>
      <c r="B86" s="115"/>
      <c r="C86" s="115"/>
      <c r="D86" s="149"/>
      <c r="E86" s="118">
        <f t="shared" si="67"/>
        <v>0</v>
      </c>
      <c r="F86" s="117"/>
      <c r="G86" s="117"/>
      <c r="H86" s="117"/>
      <c r="I86" s="117"/>
      <c r="J86" s="117">
        <f t="shared" si="46"/>
        <v>0</v>
      </c>
      <c r="K86" s="114"/>
      <c r="L86" s="114"/>
      <c r="M86" s="114"/>
      <c r="N86" s="114"/>
      <c r="O86" s="117">
        <f t="shared" si="47"/>
        <v>0</v>
      </c>
      <c r="P86" s="117">
        <f t="shared" si="48"/>
        <v>0</v>
      </c>
      <c r="Q86" s="118"/>
      <c r="R86" s="118"/>
      <c r="S86" s="117">
        <f t="shared" si="49"/>
        <v>0</v>
      </c>
      <c r="T86" s="117"/>
      <c r="U86" s="117"/>
      <c r="V86" s="117">
        <f t="shared" si="50"/>
        <v>0</v>
      </c>
      <c r="W86" s="118"/>
      <c r="X86" s="118"/>
      <c r="Y86" s="117">
        <f t="shared" si="51"/>
        <v>0</v>
      </c>
      <c r="Z86" s="117">
        <f t="shared" ref="Z86:Z89" si="68">L86*M86*N86/100</f>
        <v>0</v>
      </c>
      <c r="AA86" s="119">
        <f t="shared" si="66"/>
        <v>0</v>
      </c>
      <c r="AB86" s="117">
        <f t="shared" si="53"/>
        <v>0</v>
      </c>
      <c r="AC86" s="118"/>
      <c r="AD86" s="119">
        <f t="shared" si="54"/>
        <v>0</v>
      </c>
      <c r="AE86" s="118"/>
      <c r="AF86" s="118"/>
      <c r="AG86" s="118"/>
      <c r="AH86" s="118"/>
      <c r="AI86" s="152">
        <f t="shared" si="55"/>
        <v>0</v>
      </c>
      <c r="AJ86" s="118"/>
      <c r="AK86" s="120">
        <f t="shared" si="56"/>
        <v>0</v>
      </c>
      <c r="AL86" s="121">
        <f t="shared" si="57"/>
        <v>0</v>
      </c>
      <c r="AM86" s="122"/>
      <c r="AN86" s="123">
        <f t="shared" si="58"/>
        <v>0</v>
      </c>
      <c r="AO86" s="124">
        <f t="shared" si="59"/>
        <v>0</v>
      </c>
      <c r="AP86" s="124">
        <f t="shared" si="60"/>
        <v>0</v>
      </c>
      <c r="AQ86" s="124">
        <f t="shared" si="61"/>
        <v>0</v>
      </c>
      <c r="AR86" s="124">
        <f t="shared" si="62"/>
        <v>0</v>
      </c>
      <c r="AS86" s="124">
        <f t="array" ref="AS86">_xlfn.IFS(S86=0,AL86,S86&lt;0,AL86/-S86,S86&gt;0,AL86/S86)</f>
        <v>0</v>
      </c>
      <c r="AT86" s="119">
        <f t="shared" si="63"/>
        <v>0</v>
      </c>
      <c r="AU86" s="119">
        <f t="shared" si="64"/>
        <v>0</v>
      </c>
      <c r="AV86" s="125"/>
      <c r="AW86" s="120">
        <f t="shared" si="65"/>
        <v>0</v>
      </c>
    </row>
    <row r="87" spans="1:49" hidden="1" outlineLevel="1">
      <c r="A87" s="114"/>
      <c r="B87" s="115"/>
      <c r="C87" s="115"/>
      <c r="D87" s="116"/>
      <c r="E87" s="117">
        <f t="shared" si="67"/>
        <v>0</v>
      </c>
      <c r="F87" s="117"/>
      <c r="G87" s="117"/>
      <c r="H87" s="117"/>
      <c r="I87" s="117"/>
      <c r="J87" s="117">
        <f t="shared" si="46"/>
        <v>0</v>
      </c>
      <c r="K87" s="114"/>
      <c r="L87" s="114"/>
      <c r="M87" s="114"/>
      <c r="N87" s="114"/>
      <c r="O87" s="117">
        <f t="shared" si="47"/>
        <v>0</v>
      </c>
      <c r="P87" s="117">
        <f t="shared" si="48"/>
        <v>0</v>
      </c>
      <c r="Q87" s="118"/>
      <c r="R87" s="118"/>
      <c r="S87" s="117">
        <f t="shared" si="49"/>
        <v>0</v>
      </c>
      <c r="T87" s="117"/>
      <c r="U87" s="117"/>
      <c r="V87" s="117">
        <f t="shared" si="50"/>
        <v>0</v>
      </c>
      <c r="W87" s="118"/>
      <c r="X87" s="118"/>
      <c r="Y87" s="117">
        <f t="shared" si="51"/>
        <v>0</v>
      </c>
      <c r="Z87" s="117">
        <f t="shared" si="68"/>
        <v>0</v>
      </c>
      <c r="AA87" s="119">
        <f t="shared" si="66"/>
        <v>0</v>
      </c>
      <c r="AB87" s="117">
        <f t="shared" si="53"/>
        <v>0</v>
      </c>
      <c r="AC87" s="118"/>
      <c r="AD87" s="119">
        <f t="shared" si="54"/>
        <v>0</v>
      </c>
      <c r="AE87" s="118"/>
      <c r="AF87" s="118"/>
      <c r="AG87" s="118"/>
      <c r="AH87" s="118"/>
      <c r="AI87" s="152">
        <f t="shared" si="55"/>
        <v>0</v>
      </c>
      <c r="AJ87" s="118"/>
      <c r="AK87" s="120">
        <f t="shared" si="56"/>
        <v>0</v>
      </c>
      <c r="AL87" s="121">
        <f t="shared" si="57"/>
        <v>0</v>
      </c>
      <c r="AM87" s="122"/>
      <c r="AN87" s="123">
        <f t="shared" si="58"/>
        <v>0</v>
      </c>
      <c r="AO87" s="124">
        <f t="shared" si="59"/>
        <v>0</v>
      </c>
      <c r="AP87" s="124">
        <f t="shared" si="60"/>
        <v>0</v>
      </c>
      <c r="AQ87" s="124">
        <f t="shared" si="61"/>
        <v>0</v>
      </c>
      <c r="AR87" s="124">
        <f t="shared" si="62"/>
        <v>0</v>
      </c>
      <c r="AS87" s="124">
        <f t="array" ref="AS87">_xlfn.IFS(S87=0,AL87,S87&lt;0,AL87/-S87,S87&gt;0,AL87/S87)</f>
        <v>0</v>
      </c>
      <c r="AT87" s="119">
        <f t="shared" si="63"/>
        <v>0</v>
      </c>
      <c r="AU87" s="119">
        <f t="shared" si="64"/>
        <v>0</v>
      </c>
      <c r="AV87" s="125"/>
      <c r="AW87" s="120">
        <f t="shared" si="65"/>
        <v>0</v>
      </c>
    </row>
    <row r="88" spans="1:49" hidden="1" outlineLevel="1">
      <c r="A88" s="114"/>
      <c r="B88" s="115"/>
      <c r="C88" s="115"/>
      <c r="D88" s="116"/>
      <c r="E88" s="117">
        <f t="shared" si="67"/>
        <v>0</v>
      </c>
      <c r="F88" s="117"/>
      <c r="G88" s="117"/>
      <c r="H88" s="117"/>
      <c r="I88" s="117"/>
      <c r="J88" s="117">
        <f t="shared" si="46"/>
        <v>0</v>
      </c>
      <c r="K88" s="114"/>
      <c r="L88" s="114"/>
      <c r="M88" s="114"/>
      <c r="N88" s="114"/>
      <c r="O88" s="117">
        <f t="shared" si="47"/>
        <v>0</v>
      </c>
      <c r="P88" s="117">
        <f t="shared" si="48"/>
        <v>0</v>
      </c>
      <c r="Q88" s="118"/>
      <c r="R88" s="118"/>
      <c r="S88" s="117">
        <f t="shared" si="49"/>
        <v>0</v>
      </c>
      <c r="T88" s="117"/>
      <c r="U88" s="117"/>
      <c r="V88" s="117">
        <f t="shared" si="50"/>
        <v>0</v>
      </c>
      <c r="W88" s="118"/>
      <c r="X88" s="118"/>
      <c r="Y88" s="117">
        <f t="shared" si="51"/>
        <v>0</v>
      </c>
      <c r="Z88" s="117">
        <f t="shared" si="68"/>
        <v>0</v>
      </c>
      <c r="AA88" s="119">
        <f t="shared" si="66"/>
        <v>0</v>
      </c>
      <c r="AB88" s="117">
        <f t="shared" si="53"/>
        <v>0</v>
      </c>
      <c r="AC88" s="118"/>
      <c r="AD88" s="119">
        <f t="shared" si="54"/>
        <v>0</v>
      </c>
      <c r="AE88" s="118"/>
      <c r="AF88" s="118"/>
      <c r="AG88" s="118"/>
      <c r="AH88" s="118"/>
      <c r="AI88" s="152">
        <f t="shared" si="55"/>
        <v>0</v>
      </c>
      <c r="AJ88" s="118"/>
      <c r="AK88" s="120">
        <f t="shared" si="56"/>
        <v>0</v>
      </c>
      <c r="AL88" s="121">
        <f t="shared" si="57"/>
        <v>0</v>
      </c>
      <c r="AM88" s="122"/>
      <c r="AN88" s="123">
        <f t="shared" si="58"/>
        <v>0</v>
      </c>
      <c r="AO88" s="124">
        <f t="shared" si="59"/>
        <v>0</v>
      </c>
      <c r="AP88" s="124">
        <f t="shared" si="60"/>
        <v>0</v>
      </c>
      <c r="AQ88" s="124">
        <f t="shared" si="61"/>
        <v>0</v>
      </c>
      <c r="AR88" s="124">
        <f t="shared" si="62"/>
        <v>0</v>
      </c>
      <c r="AS88" s="124">
        <f t="array" ref="AS88">_xlfn.IFS(S88=0,AL88,S88&lt;0,AL88/-S88,S88&gt;0,AL88/S88)</f>
        <v>0</v>
      </c>
      <c r="AT88" s="119">
        <f t="shared" si="63"/>
        <v>0</v>
      </c>
      <c r="AU88" s="119">
        <f t="shared" si="64"/>
        <v>0</v>
      </c>
      <c r="AV88" s="125"/>
      <c r="AW88" s="120">
        <f t="shared" si="65"/>
        <v>0</v>
      </c>
    </row>
    <row r="89" spans="1:49" hidden="1" outlineLevel="1">
      <c r="A89" s="114"/>
      <c r="B89" s="115"/>
      <c r="C89" s="115"/>
      <c r="D89" s="116"/>
      <c r="E89" s="117">
        <f t="shared" si="67"/>
        <v>0</v>
      </c>
      <c r="F89" s="117"/>
      <c r="G89" s="117"/>
      <c r="H89" s="117"/>
      <c r="I89" s="117"/>
      <c r="J89" s="117">
        <f t="shared" si="46"/>
        <v>0</v>
      </c>
      <c r="K89" s="114"/>
      <c r="L89" s="114"/>
      <c r="M89" s="114"/>
      <c r="N89" s="114"/>
      <c r="O89" s="117">
        <f t="shared" si="47"/>
        <v>0</v>
      </c>
      <c r="P89" s="117">
        <f t="shared" si="48"/>
        <v>0</v>
      </c>
      <c r="Q89" s="118"/>
      <c r="R89" s="118"/>
      <c r="S89" s="117">
        <f t="shared" si="49"/>
        <v>0</v>
      </c>
      <c r="T89" s="117"/>
      <c r="U89" s="117"/>
      <c r="V89" s="117">
        <f t="shared" si="50"/>
        <v>0</v>
      </c>
      <c r="W89" s="118"/>
      <c r="X89" s="118"/>
      <c r="Y89" s="117">
        <f t="shared" si="51"/>
        <v>0</v>
      </c>
      <c r="Z89" s="117">
        <f t="shared" si="68"/>
        <v>0</v>
      </c>
      <c r="AA89" s="119">
        <f t="shared" si="66"/>
        <v>0</v>
      </c>
      <c r="AB89" s="117">
        <f t="shared" si="53"/>
        <v>0</v>
      </c>
      <c r="AC89" s="118"/>
      <c r="AD89" s="119">
        <f t="shared" si="54"/>
        <v>0</v>
      </c>
      <c r="AE89" s="118"/>
      <c r="AF89" s="118"/>
      <c r="AG89" s="118"/>
      <c r="AH89" s="118"/>
      <c r="AI89" s="152">
        <f t="shared" si="55"/>
        <v>0</v>
      </c>
      <c r="AJ89" s="118"/>
      <c r="AK89" s="120">
        <f t="shared" si="56"/>
        <v>0</v>
      </c>
      <c r="AL89" s="121">
        <f t="shared" si="57"/>
        <v>0</v>
      </c>
      <c r="AM89" s="122"/>
      <c r="AN89" s="123">
        <f t="shared" si="58"/>
        <v>0</v>
      </c>
      <c r="AO89" s="124">
        <f t="shared" si="59"/>
        <v>0</v>
      </c>
      <c r="AP89" s="124">
        <f t="shared" si="60"/>
        <v>0</v>
      </c>
      <c r="AQ89" s="124">
        <f t="shared" si="61"/>
        <v>0</v>
      </c>
      <c r="AR89" s="124">
        <f t="shared" si="62"/>
        <v>0</v>
      </c>
      <c r="AS89" s="124">
        <f t="array" ref="AS89">_xlfn.IFS(S89=0,AL89,S89&lt;0,AL89/-S89,S89&gt;0,AL89/S89)</f>
        <v>0</v>
      </c>
      <c r="AT89" s="119">
        <f t="shared" si="63"/>
        <v>0</v>
      </c>
      <c r="AU89" s="119">
        <f t="shared" si="64"/>
        <v>0</v>
      </c>
      <c r="AV89" s="125"/>
      <c r="AW89" s="120">
        <f t="shared" si="65"/>
        <v>0</v>
      </c>
    </row>
    <row r="90" spans="1:49" collapsed="1">
      <c r="A90" s="158"/>
      <c r="B90" s="126"/>
      <c r="C90" s="114"/>
      <c r="D90" s="158"/>
      <c r="E90" s="117"/>
      <c r="F90" s="117"/>
      <c r="G90" s="117"/>
      <c r="H90" s="117"/>
      <c r="I90" s="117"/>
      <c r="J90" s="117"/>
      <c r="K90" s="159"/>
      <c r="L90" s="160"/>
      <c r="M90" s="160"/>
      <c r="N90" s="160"/>
      <c r="O90" s="159"/>
      <c r="P90" s="159"/>
      <c r="Q90" s="117"/>
      <c r="R90" s="117"/>
      <c r="S90" s="117"/>
      <c r="T90" s="117"/>
      <c r="U90" s="117"/>
      <c r="V90" s="117"/>
      <c r="W90" s="117"/>
      <c r="X90" s="117"/>
      <c r="Y90" s="117"/>
      <c r="Z90" s="117"/>
      <c r="AA90" s="119"/>
      <c r="AB90" s="117"/>
      <c r="AC90" s="117"/>
      <c r="AD90" s="119"/>
      <c r="AE90" s="117"/>
      <c r="AF90" s="118"/>
      <c r="AG90" s="118"/>
      <c r="AH90" s="118"/>
      <c r="AI90" s="152"/>
      <c r="AJ90" s="118"/>
      <c r="AK90" s="120"/>
      <c r="AL90" s="121"/>
      <c r="AM90" s="122"/>
      <c r="AN90" s="161">
        <f>AVERAGE(AN38:AN89)</f>
        <v>0</v>
      </c>
      <c r="AO90" s="161">
        <f t="shared" ref="AO90:AU90" si="69">AVERAGE(AO38:AO89)</f>
        <v>0</v>
      </c>
      <c r="AP90" s="161">
        <f t="shared" si="69"/>
        <v>0</v>
      </c>
      <c r="AQ90" s="161">
        <f t="shared" si="69"/>
        <v>0</v>
      </c>
      <c r="AR90" s="161">
        <f t="shared" si="69"/>
        <v>0</v>
      </c>
      <c r="AS90" s="161">
        <f t="shared" si="69"/>
        <v>0</v>
      </c>
      <c r="AT90" s="162">
        <f t="shared" si="69"/>
        <v>0</v>
      </c>
      <c r="AU90" s="162">
        <f t="shared" si="69"/>
        <v>0</v>
      </c>
      <c r="AV90" s="125"/>
      <c r="AW90" s="120"/>
    </row>
    <row r="91" spans="1:49" s="171" customFormat="1" ht="15" customHeight="1">
      <c r="A91" s="163" t="s">
        <v>107</v>
      </c>
      <c r="B91" s="164"/>
      <c r="C91" s="165"/>
      <c r="D91" s="165"/>
      <c r="E91" s="165">
        <f>SUM(E38:E89)</f>
        <v>0</v>
      </c>
      <c r="F91" s="165">
        <f>SUM(F38:F89)</f>
        <v>0</v>
      </c>
      <c r="G91" s="165">
        <f>SUM(G38:G89)</f>
        <v>0</v>
      </c>
      <c r="H91" s="165">
        <f>SUM(H38:H89)</f>
        <v>0</v>
      </c>
      <c r="I91" s="165"/>
      <c r="J91" s="165">
        <f>SUM(J38:J89)</f>
        <v>0</v>
      </c>
      <c r="K91" s="165"/>
      <c r="L91" s="165">
        <f>SUM(L38:L89)</f>
        <v>0</v>
      </c>
      <c r="M91" s="165"/>
      <c r="N91" s="165"/>
      <c r="O91" s="165"/>
      <c r="P91" s="165"/>
      <c r="Q91" s="165">
        <f t="shared" ref="Q91:AC91" si="70">SUM(Q38:Q89)</f>
        <v>0</v>
      </c>
      <c r="R91" s="165">
        <f t="shared" si="70"/>
        <v>0</v>
      </c>
      <c r="S91" s="165">
        <f t="shared" si="70"/>
        <v>0</v>
      </c>
      <c r="T91" s="165">
        <f t="shared" si="70"/>
        <v>0</v>
      </c>
      <c r="U91" s="165">
        <f t="shared" si="70"/>
        <v>0</v>
      </c>
      <c r="V91" s="165">
        <f t="shared" si="70"/>
        <v>0</v>
      </c>
      <c r="W91" s="165">
        <f t="shared" si="70"/>
        <v>0</v>
      </c>
      <c r="X91" s="165">
        <f t="shared" si="70"/>
        <v>0</v>
      </c>
      <c r="Y91" s="165">
        <f t="shared" si="70"/>
        <v>0</v>
      </c>
      <c r="Z91" s="165">
        <f t="shared" si="70"/>
        <v>0</v>
      </c>
      <c r="AA91" s="166">
        <f t="shared" si="70"/>
        <v>0</v>
      </c>
      <c r="AB91" s="167">
        <f t="shared" si="70"/>
        <v>0</v>
      </c>
      <c r="AC91" s="165">
        <f t="shared" si="70"/>
        <v>0</v>
      </c>
      <c r="AD91" s="166" t="e">
        <f>AC91/Y91</f>
        <v>#DIV/0!</v>
      </c>
      <c r="AE91" s="165">
        <f t="shared" ref="AE91:AK91" si="71">SUM(AE38:AE89)</f>
        <v>0</v>
      </c>
      <c r="AF91" s="165">
        <f t="shared" si="71"/>
        <v>0</v>
      </c>
      <c r="AG91" s="165">
        <f>SUM(AG38:AG89)</f>
        <v>0</v>
      </c>
      <c r="AH91" s="165">
        <f>SUM(AH38:AH89)</f>
        <v>0</v>
      </c>
      <c r="AI91" s="168">
        <f>SUM(AI38:AI89)</f>
        <v>0</v>
      </c>
      <c r="AJ91" s="165">
        <f t="shared" si="71"/>
        <v>0</v>
      </c>
      <c r="AK91" s="165">
        <f t="shared" si="71"/>
        <v>0</v>
      </c>
      <c r="AL91" s="165">
        <f>SUM(AL38:AL89)</f>
        <v>0</v>
      </c>
      <c r="AM91" s="169"/>
      <c r="AN91" s="165"/>
      <c r="AO91" s="165"/>
      <c r="AP91" s="165"/>
      <c r="AQ91" s="165"/>
      <c r="AR91" s="165" t="e">
        <f>(AF91+AG91)/Q91</f>
        <v>#DIV/0!</v>
      </c>
      <c r="AS91" s="165"/>
      <c r="AT91" s="165"/>
      <c r="AU91" s="165"/>
      <c r="AV91" s="170"/>
      <c r="AW91" s="165">
        <f>SUM(AW38:AW89)</f>
        <v>0</v>
      </c>
    </row>
    <row r="92" spans="1:49" s="175" customFormat="1">
      <c r="A92" s="172"/>
      <c r="B92" s="173"/>
      <c r="C92" s="174"/>
      <c r="D92" s="174"/>
      <c r="L92" s="176"/>
      <c r="M92" s="176"/>
      <c r="N92" s="176"/>
      <c r="P92" s="177"/>
      <c r="Q92" s="178"/>
      <c r="R92" s="178"/>
      <c r="S92" s="179"/>
      <c r="T92" s="179"/>
      <c r="U92" s="179"/>
      <c r="V92" s="179"/>
      <c r="W92" s="178"/>
      <c r="X92" s="179"/>
      <c r="Y92" s="179"/>
      <c r="Z92" s="179"/>
      <c r="AC92" s="180"/>
      <c r="AE92" s="178"/>
      <c r="AF92" s="347"/>
      <c r="AG92" s="347"/>
      <c r="AH92" s="257"/>
      <c r="AI92" s="182"/>
      <c r="AJ92" s="183"/>
      <c r="AM92" s="184"/>
      <c r="AN92" s="176"/>
      <c r="AO92" s="176"/>
      <c r="AP92" s="176"/>
      <c r="AQ92" s="176"/>
      <c r="AR92" s="176"/>
      <c r="AS92" s="176"/>
      <c r="AT92" s="176"/>
      <c r="AU92" s="176"/>
      <c r="AV92" s="185"/>
    </row>
    <row r="93" spans="1:49" s="194" customFormat="1">
      <c r="A93" s="186" t="s">
        <v>7</v>
      </c>
      <c r="B93" s="187"/>
      <c r="C93" s="188"/>
      <c r="D93" s="188"/>
      <c r="E93" s="188">
        <f t="shared" ref="E93:AC93" si="72">E36+E91</f>
        <v>2242</v>
      </c>
      <c r="F93" s="188">
        <f t="shared" si="72"/>
        <v>249</v>
      </c>
      <c r="G93" s="188">
        <f t="shared" si="72"/>
        <v>62</v>
      </c>
      <c r="H93" s="188">
        <f t="shared" si="72"/>
        <v>1931</v>
      </c>
      <c r="I93" s="188">
        <f t="shared" si="72"/>
        <v>0</v>
      </c>
      <c r="J93" s="188">
        <f t="shared" si="72"/>
        <v>304430.87000000005</v>
      </c>
      <c r="K93" s="188">
        <f t="shared" si="72"/>
        <v>0</v>
      </c>
      <c r="L93" s="188">
        <f t="shared" si="72"/>
        <v>388</v>
      </c>
      <c r="M93" s="188">
        <f t="shared" si="72"/>
        <v>0</v>
      </c>
      <c r="N93" s="188">
        <f t="shared" si="72"/>
        <v>0</v>
      </c>
      <c r="O93" s="188">
        <f t="shared" si="72"/>
        <v>0</v>
      </c>
      <c r="P93" s="188">
        <f t="shared" si="72"/>
        <v>0</v>
      </c>
      <c r="Q93" s="188">
        <f t="shared" si="72"/>
        <v>212</v>
      </c>
      <c r="R93" s="188">
        <f t="shared" si="72"/>
        <v>-2</v>
      </c>
      <c r="S93" s="188">
        <f t="shared" si="72"/>
        <v>210</v>
      </c>
      <c r="T93" s="188">
        <f t="shared" si="72"/>
        <v>149383.20000000001</v>
      </c>
      <c r="U93" s="188">
        <f t="shared" si="72"/>
        <v>-1458</v>
      </c>
      <c r="V93" s="188">
        <f t="shared" si="72"/>
        <v>147925.20000000001</v>
      </c>
      <c r="W93" s="188">
        <f t="shared" si="72"/>
        <v>234275.74</v>
      </c>
      <c r="X93" s="188">
        <f t="shared" si="72"/>
        <v>-2388</v>
      </c>
      <c r="Y93" s="188">
        <f t="shared" si="72"/>
        <v>231887.74</v>
      </c>
      <c r="Z93" s="188">
        <f t="shared" si="72"/>
        <v>278107.38999999996</v>
      </c>
      <c r="AA93" s="189">
        <f t="shared" si="72"/>
        <v>0.99999999999999978</v>
      </c>
      <c r="AB93" s="190">
        <f t="shared" si="72"/>
        <v>27919.799999999996</v>
      </c>
      <c r="AC93" s="188">
        <f t="shared" si="72"/>
        <v>84374.680000000022</v>
      </c>
      <c r="AD93" s="189">
        <f>AC93/Y93</f>
        <v>0.363860029857551</v>
      </c>
      <c r="AE93" s="190">
        <f>AE36+AE91</f>
        <v>22767.799999999996</v>
      </c>
      <c r="AF93" s="191">
        <f>AF36+AF91</f>
        <v>16968</v>
      </c>
      <c r="AG93" s="191">
        <f>AG36+AG91</f>
        <v>25029</v>
      </c>
      <c r="AH93" s="191">
        <f>AH36+AH91</f>
        <v>0</v>
      </c>
      <c r="AI93" s="192">
        <v>1132.46</v>
      </c>
      <c r="AJ93" s="188">
        <f>AJ36+AJ91</f>
        <v>0</v>
      </c>
      <c r="AK93" s="188">
        <f>AK36+AK91</f>
        <v>1479.2519999999997</v>
      </c>
      <c r="AL93" s="188">
        <f>AL36+AL91</f>
        <v>52216.747999999992</v>
      </c>
      <c r="AM93" s="188"/>
      <c r="AN93" s="188"/>
      <c r="AO93" s="188"/>
      <c r="AP93" s="188"/>
      <c r="AQ93" s="188"/>
      <c r="AR93" s="188">
        <f>(AF93+AG93)/Q93</f>
        <v>198.09905660377359</v>
      </c>
      <c r="AS93" s="188"/>
      <c r="AT93" s="188"/>
      <c r="AU93" s="188"/>
      <c r="AV93" s="193"/>
      <c r="AW93" s="188">
        <f>AW36+AW91</f>
        <v>296067.42695096525</v>
      </c>
    </row>
    <row r="94" spans="1:49" s="175" customFormat="1">
      <c r="A94" s="174"/>
      <c r="B94" s="173"/>
      <c r="C94" s="195"/>
      <c r="D94" s="174"/>
      <c r="L94" s="176"/>
      <c r="M94" s="176"/>
      <c r="N94" s="176"/>
      <c r="P94" s="177"/>
      <c r="Q94" s="178"/>
      <c r="R94" s="178"/>
      <c r="S94" s="179"/>
      <c r="T94" s="179"/>
      <c r="U94" s="179"/>
      <c r="V94" s="179"/>
      <c r="W94" s="178"/>
      <c r="X94" s="179"/>
      <c r="Y94" s="179"/>
      <c r="Z94" s="179"/>
      <c r="AC94" s="180"/>
      <c r="AE94" s="196"/>
      <c r="AF94" s="347">
        <f>AF37+AF92</f>
        <v>0</v>
      </c>
      <c r="AG94" s="347"/>
      <c r="AH94" s="257"/>
      <c r="AI94" s="182"/>
      <c r="AJ94" s="183"/>
      <c r="AM94" s="184"/>
      <c r="AN94" s="184"/>
      <c r="AO94" s="184"/>
      <c r="AP94" s="184"/>
      <c r="AQ94" s="184"/>
      <c r="AR94" s="184"/>
      <c r="AS94" s="184"/>
      <c r="AT94" s="184"/>
      <c r="AU94" s="184"/>
      <c r="AV94" s="185"/>
    </row>
    <row r="95" spans="1:49">
      <c r="C95" s="198"/>
      <c r="D95" s="198"/>
    </row>
    <row r="96" spans="1:49">
      <c r="C96" s="198"/>
      <c r="D96" s="198"/>
    </row>
  </sheetData>
  <mergeCells count="10">
    <mergeCell ref="AN1:AU1"/>
    <mergeCell ref="AF37:AG37"/>
    <mergeCell ref="AF92:AG92"/>
    <mergeCell ref="AF94:AG94"/>
    <mergeCell ref="F1:H1"/>
    <mergeCell ref="L1:N1"/>
    <mergeCell ref="Q1:R1"/>
    <mergeCell ref="T1:U1"/>
    <mergeCell ref="W1:X1"/>
    <mergeCell ref="AF1:AG1"/>
  </mergeCells>
  <conditionalFormatting sqref="K90:M90 K37:K89 K3:K35">
    <cfRule type="cellIs" dxfId="30" priority="3" operator="greaterThan">
      <formula>120</formula>
    </cfRule>
  </conditionalFormatting>
  <conditionalFormatting sqref="O90">
    <cfRule type="cellIs" dxfId="29" priority="2" operator="between">
      <formula>0.000001</formula>
      <formula>25</formula>
    </cfRule>
  </conditionalFormatting>
  <conditionalFormatting sqref="AA92 AA94:AA1048576">
    <cfRule type="cellIs" dxfId="28" priority="4" operator="greaterThan">
      <formula>0.23</formula>
    </cfRule>
  </conditionalFormatting>
  <conditionalFormatting sqref="Y37:AA90 Y3:AA35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{F2F2D7FA-F9C0-4B28-9B89-978F0F7FA56D}</x14:id>
        </ext>
      </extLst>
    </cfRule>
  </conditionalFormatting>
  <conditionalFormatting sqref="AS37:AS89 AS3:AS34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{11F3E553-EF43-4E49-9F94-4D402858E46D}</x14:id>
        </ext>
      </extLst>
    </cfRule>
  </conditionalFormatting>
  <conditionalFormatting sqref="AT37:AU89 AT3:AU34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{D6048FC8-58DE-4745-871D-82D10489B17A}</x14:id>
        </ext>
      </extLst>
    </cfRule>
  </conditionalFormatting>
  <conditionalFormatting sqref="AW37:AW90 AW3:AW35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{DDC8BC4F-5868-4790-BAE5-04E52043B137}</x14:id>
        </ext>
      </extLst>
    </cfRule>
  </conditionalFormatting>
  <conditionalFormatting sqref="AA37:AA89 AA3:AA35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{CB9B27D7-FBC3-4976-9C61-9F4C7A52652E}</x14:id>
        </ext>
      </extLst>
    </cfRule>
  </conditionalFormatting>
  <conditionalFormatting sqref="AW37:AW89 AW3:AW35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{6D43D503-079B-4A84-8903-037EDDE09F50}</x14:id>
        </ext>
      </extLst>
    </cfRule>
  </conditionalFormatting>
  <conditionalFormatting sqref="AL37:AL90 AL3:AL35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{7895631E-054F-4B02-8627-A60374654186}</x14:id>
        </ext>
      </extLst>
    </cfRule>
  </conditionalFormatting>
  <conditionalFormatting sqref="AL37:AL89 AL3:AL35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{4F6ACCDC-4480-4445-8A28-2648364AAEC2}</x14:id>
        </ext>
      </extLst>
    </cfRule>
  </conditionalFormatting>
  <conditionalFormatting sqref="AA1">
    <cfRule type="cellIs" dxfId="27" priority="1" operator="greaterThan">
      <formula>0.23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2F2D7FA-F9C0-4B28-9B89-978F0F7FA56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Y37:AA90 Y3:AA35</xm:sqref>
        </x14:conditionalFormatting>
        <x14:conditionalFormatting xmlns:xm="http://schemas.microsoft.com/office/excel/2006/main">
          <x14:cfRule type="dataBar" id="{11F3E553-EF43-4E49-9F94-4D402858E46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AS37:AS89 AS3:AS34</xm:sqref>
        </x14:conditionalFormatting>
        <x14:conditionalFormatting xmlns:xm="http://schemas.microsoft.com/office/excel/2006/main">
          <x14:cfRule type="dataBar" id="{D6048FC8-58DE-4745-871D-82D10489B17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AT37:AU89 AT3:AU34</xm:sqref>
        </x14:conditionalFormatting>
        <x14:conditionalFormatting xmlns:xm="http://schemas.microsoft.com/office/excel/2006/main">
          <x14:cfRule type="dataBar" id="{DDC8BC4F-5868-4790-BAE5-04E52043B13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AW37:AW90 AW3:AW35</xm:sqref>
        </x14:conditionalFormatting>
        <x14:conditionalFormatting xmlns:xm="http://schemas.microsoft.com/office/excel/2006/main">
          <x14:cfRule type="dataBar" id="{CB9B27D7-FBC3-4976-9C61-9F4C7A5265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AA37:AA89 AA3:AA35</xm:sqref>
        </x14:conditionalFormatting>
        <x14:conditionalFormatting xmlns:xm="http://schemas.microsoft.com/office/excel/2006/main">
          <x14:cfRule type="dataBar" id="{6D43D503-079B-4A84-8903-037EDDE09F5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AW37:AW89 AW3:AW35</xm:sqref>
        </x14:conditionalFormatting>
        <x14:conditionalFormatting xmlns:xm="http://schemas.microsoft.com/office/excel/2006/main">
          <x14:cfRule type="dataBar" id="{7895631E-054F-4B02-8627-A603746541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AL37:AL90 AL3:AL35</xm:sqref>
        </x14:conditionalFormatting>
        <x14:conditionalFormatting xmlns:xm="http://schemas.microsoft.com/office/excel/2006/main">
          <x14:cfRule type="dataBar" id="{4F6ACCDC-4480-4445-8A28-2648364AAEC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AL37:AL89 AL3:AL35</xm:sqref>
        </x14:conditionalFormatting>
      </x14:conditionalFormatting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64AF3-9ECC-46D0-9904-4B74BD90630D}">
  <dimension ref="A1:AW96"/>
  <sheetViews>
    <sheetView zoomScale="70" zoomScaleNormal="70" workbookViewId="0">
      <pane xSplit="3" ySplit="2" topLeftCell="AF3" activePane="bottomRight" state="frozen"/>
      <selection pane="topRight" activeCell="D1" sqref="D1"/>
      <selection pane="bottomLeft" activeCell="A3" sqref="A3"/>
      <selection pane="bottomRight" activeCell="F19" sqref="F19"/>
    </sheetView>
  </sheetViews>
  <sheetFormatPr defaultColWidth="12.54296875" defaultRowHeight="14.5" outlineLevelRow="1"/>
  <cols>
    <col min="1" max="1" width="9.08984375" style="197" customWidth="1"/>
    <col min="2" max="2" width="12.54296875" style="202"/>
    <col min="3" max="3" width="19.90625" style="197" customWidth="1"/>
    <col min="4" max="4" width="16.6328125" style="197" customWidth="1"/>
    <col min="5" max="5" width="12.36328125" style="126" customWidth="1"/>
    <col min="6" max="6" width="10.90625" style="126" customWidth="1"/>
    <col min="7" max="8" width="12.36328125" style="126" customWidth="1"/>
    <col min="9" max="9" width="13.36328125" style="126" customWidth="1"/>
    <col min="10" max="10" width="14.1796875" style="126" customWidth="1"/>
    <col min="11" max="11" width="14.26953125" style="126" customWidth="1"/>
    <col min="12" max="12" width="13.6328125" style="126" customWidth="1"/>
    <col min="13" max="13" width="15.08984375" style="126" customWidth="1"/>
    <col min="14" max="14" width="14.54296875" style="126" customWidth="1"/>
    <col min="15" max="16" width="11" style="126" customWidth="1"/>
    <col min="17" max="17" width="11.1796875" style="126" customWidth="1"/>
    <col min="18" max="18" width="12.08984375" style="126" customWidth="1"/>
    <col min="19" max="22" width="11.26953125" style="199" customWidth="1"/>
    <col min="23" max="23" width="13.1796875" style="199" customWidth="1"/>
    <col min="24" max="24" width="12.36328125" style="199" customWidth="1"/>
    <col min="25" max="25" width="20.7265625" style="199" customWidth="1"/>
    <col min="26" max="26" width="15.90625" style="199" customWidth="1"/>
    <col min="27" max="27" width="13.36328125" style="200" customWidth="1"/>
    <col min="28" max="28" width="14.453125" style="126" customWidth="1"/>
    <col min="29" max="29" width="17.81640625" style="126" customWidth="1"/>
    <col min="30" max="30" width="14.26953125" style="126" customWidth="1"/>
    <col min="31" max="31" width="19.08984375" style="126" customWidth="1"/>
    <col min="32" max="34" width="10.36328125" style="117" customWidth="1"/>
    <col min="35" max="35" width="18.08984375" style="201" customWidth="1"/>
    <col min="36" max="36" width="18.6328125" style="117" customWidth="1"/>
    <col min="37" max="37" width="12.54296875" style="126"/>
    <col min="38" max="38" width="18.90625" style="126" customWidth="1"/>
    <col min="39" max="39" width="3.08984375" style="126" customWidth="1"/>
    <col min="40" max="40" width="19.90625" style="126" customWidth="1"/>
    <col min="41" max="41" width="14.26953125" style="126" customWidth="1"/>
    <col min="42" max="42" width="9.6328125" style="126" customWidth="1"/>
    <col min="43" max="43" width="11.1796875" style="126" customWidth="1"/>
    <col min="44" max="44" width="9.54296875" style="126" customWidth="1"/>
    <col min="45" max="45" width="10.1796875" style="126" customWidth="1"/>
    <col min="46" max="46" width="11.7265625" style="126" customWidth="1"/>
    <col min="47" max="47" width="12.54296875" style="126"/>
    <col min="48" max="48" width="3.36328125" style="140" customWidth="1"/>
    <col min="49" max="16384" width="12.54296875" style="126"/>
  </cols>
  <sheetData>
    <row r="1" spans="1:49" s="95" customFormat="1" ht="16" customHeight="1">
      <c r="A1" s="92" t="s">
        <v>163</v>
      </c>
      <c r="B1" s="93"/>
      <c r="C1" s="92"/>
      <c r="D1" s="92"/>
      <c r="E1" s="94"/>
      <c r="F1" s="348" t="s">
        <v>47</v>
      </c>
      <c r="G1" s="348"/>
      <c r="H1" s="348"/>
      <c r="K1" s="247" t="s">
        <v>48</v>
      </c>
      <c r="L1" s="348" t="s">
        <v>49</v>
      </c>
      <c r="M1" s="348"/>
      <c r="N1" s="348"/>
      <c r="P1" s="96"/>
      <c r="Q1" s="349"/>
      <c r="R1" s="349"/>
      <c r="S1" s="240"/>
      <c r="T1" s="350"/>
      <c r="U1" s="351"/>
      <c r="V1" s="240"/>
      <c r="W1" s="349"/>
      <c r="X1" s="349"/>
      <c r="Y1" s="96"/>
      <c r="Z1" s="96"/>
      <c r="AA1" s="96"/>
      <c r="AB1" s="96"/>
      <c r="AC1" s="239"/>
      <c r="AD1" s="240"/>
      <c r="AE1" s="239"/>
      <c r="AF1" s="352"/>
      <c r="AG1" s="352"/>
      <c r="AH1" s="248"/>
      <c r="AI1" s="97" t="s">
        <v>50</v>
      </c>
      <c r="AJ1" s="239"/>
      <c r="AM1" s="98"/>
      <c r="AN1" s="343" t="s">
        <v>51</v>
      </c>
      <c r="AO1" s="344"/>
      <c r="AP1" s="344"/>
      <c r="AQ1" s="344"/>
      <c r="AR1" s="344"/>
      <c r="AS1" s="344"/>
      <c r="AT1" s="344"/>
      <c r="AU1" s="345"/>
      <c r="AV1" s="99"/>
    </row>
    <row r="2" spans="1:49" s="113" customFormat="1" ht="50.5" customHeight="1">
      <c r="A2" s="100" t="s">
        <v>52</v>
      </c>
      <c r="B2" s="101" t="s">
        <v>53</v>
      </c>
      <c r="C2" s="100" t="s">
        <v>54</v>
      </c>
      <c r="D2" s="100" t="s">
        <v>55</v>
      </c>
      <c r="E2" s="100" t="s">
        <v>169</v>
      </c>
      <c r="F2" s="102" t="s">
        <v>57</v>
      </c>
      <c r="G2" s="102" t="s">
        <v>58</v>
      </c>
      <c r="H2" s="102" t="s">
        <v>59</v>
      </c>
      <c r="I2" s="100" t="s">
        <v>60</v>
      </c>
      <c r="J2" s="100" t="s">
        <v>61</v>
      </c>
      <c r="K2" s="103" t="s">
        <v>62</v>
      </c>
      <c r="L2" s="103" t="s">
        <v>63</v>
      </c>
      <c r="M2" s="103" t="s">
        <v>64</v>
      </c>
      <c r="N2" s="103" t="s">
        <v>65</v>
      </c>
      <c r="O2" s="104" t="s">
        <v>66</v>
      </c>
      <c r="P2" s="104" t="s">
        <v>67</v>
      </c>
      <c r="Q2" s="105" t="s">
        <v>68</v>
      </c>
      <c r="R2" s="105" t="s">
        <v>69</v>
      </c>
      <c r="S2" s="100" t="s">
        <v>70</v>
      </c>
      <c r="T2" s="102" t="s">
        <v>71</v>
      </c>
      <c r="U2" s="102" t="s">
        <v>72</v>
      </c>
      <c r="V2" s="106" t="s">
        <v>73</v>
      </c>
      <c r="W2" s="105" t="s">
        <v>74</v>
      </c>
      <c r="X2" s="105" t="s">
        <v>75</v>
      </c>
      <c r="Y2" s="107" t="s">
        <v>76</v>
      </c>
      <c r="Z2" s="108" t="s">
        <v>77</v>
      </c>
      <c r="AA2" s="107" t="s">
        <v>78</v>
      </c>
      <c r="AB2" s="107" t="s">
        <v>18</v>
      </c>
      <c r="AC2" s="109" t="s">
        <v>79</v>
      </c>
      <c r="AD2" s="110" t="s">
        <v>80</v>
      </c>
      <c r="AE2" s="105" t="s">
        <v>8</v>
      </c>
      <c r="AF2" s="104" t="s">
        <v>25</v>
      </c>
      <c r="AG2" s="104" t="s">
        <v>26</v>
      </c>
      <c r="AH2" s="104" t="s">
        <v>27</v>
      </c>
      <c r="AI2" s="105" t="s">
        <v>9</v>
      </c>
      <c r="AJ2" s="105" t="s">
        <v>81</v>
      </c>
      <c r="AK2" s="100" t="s">
        <v>82</v>
      </c>
      <c r="AL2" s="100" t="s">
        <v>11</v>
      </c>
      <c r="AM2" s="111"/>
      <c r="AN2" s="110" t="s">
        <v>83</v>
      </c>
      <c r="AO2" s="110" t="s">
        <v>84</v>
      </c>
      <c r="AP2" s="110" t="s">
        <v>85</v>
      </c>
      <c r="AQ2" s="110" t="s">
        <v>86</v>
      </c>
      <c r="AR2" s="110" t="s">
        <v>87</v>
      </c>
      <c r="AS2" s="110" t="s">
        <v>88</v>
      </c>
      <c r="AT2" s="110" t="s">
        <v>89</v>
      </c>
      <c r="AU2" s="110" t="s">
        <v>90</v>
      </c>
      <c r="AV2" s="112"/>
      <c r="AW2" s="100" t="s">
        <v>91</v>
      </c>
    </row>
    <row r="3" spans="1:49" outlineLevel="1">
      <c r="A3" s="114"/>
      <c r="B3" s="115">
        <v>341479791</v>
      </c>
      <c r="C3" s="115" t="s">
        <v>92</v>
      </c>
      <c r="D3" s="116" t="s">
        <v>93</v>
      </c>
      <c r="E3" s="117">
        <f>SUM(F3:H3)</f>
        <v>356</v>
      </c>
      <c r="F3" s="117">
        <v>58</v>
      </c>
      <c r="G3" s="117">
        <v>8</v>
      </c>
      <c r="H3" s="117">
        <v>290</v>
      </c>
      <c r="I3" s="117">
        <v>142.97999999999999</v>
      </c>
      <c r="J3" s="117">
        <f t="shared" ref="J3:J15" si="0">E3*I3</f>
        <v>50900.88</v>
      </c>
      <c r="K3" s="114">
        <v>83</v>
      </c>
      <c r="L3" s="114">
        <v>75</v>
      </c>
      <c r="M3" s="114">
        <v>1238</v>
      </c>
      <c r="N3" s="114">
        <v>71</v>
      </c>
      <c r="O3" s="213">
        <f t="shared" ref="O3:O15" si="1">L3/7</f>
        <v>10.714285714285714</v>
      </c>
      <c r="P3" s="117">
        <f t="shared" ref="P3" si="2">S3/7</f>
        <v>4.5714285714285712</v>
      </c>
      <c r="Q3" s="118">
        <v>33</v>
      </c>
      <c r="R3" s="118">
        <v>-1</v>
      </c>
      <c r="S3" s="117">
        <f>Q3+R3</f>
        <v>32</v>
      </c>
      <c r="T3" s="118">
        <v>26277.46</v>
      </c>
      <c r="U3" s="118">
        <v>-777</v>
      </c>
      <c r="V3" s="117">
        <f>T3+U3</f>
        <v>25500.46</v>
      </c>
      <c r="W3" s="118">
        <v>40853.86</v>
      </c>
      <c r="X3" s="118">
        <v>-1238</v>
      </c>
      <c r="Y3" s="117">
        <f t="shared" ref="Y3:Y15" si="3">W3+X3</f>
        <v>39615.86</v>
      </c>
      <c r="Z3" s="117">
        <f>L3*M3*N3/100</f>
        <v>65923.5</v>
      </c>
      <c r="AA3" s="119">
        <f t="shared" ref="AA3:AA15" si="4">Y3/$Y$93</f>
        <v>0.30209076740217417</v>
      </c>
      <c r="AB3" s="117">
        <f>S3*I3</f>
        <v>4575.3599999999997</v>
      </c>
      <c r="AC3" s="118">
        <v>14383.559999999996</v>
      </c>
      <c r="AD3" s="119">
        <f t="shared" ref="AD3:AD15" si="5">IF(Y3=0,0,AC3/Y3)</f>
        <v>0.36307579843022453</v>
      </c>
      <c r="AE3" s="118">
        <v>3291.8500000000008</v>
      </c>
      <c r="AF3" s="118">
        <v>1000</v>
      </c>
      <c r="AG3" s="118">
        <v>6000</v>
      </c>
      <c r="AH3" s="118"/>
      <c r="AI3" s="152">
        <f t="shared" ref="AI3:AI15" si="6">IFERROR($AI$93*H3/$H$93,0)</f>
        <v>193.54968253968255</v>
      </c>
      <c r="AJ3" s="118">
        <v>0</v>
      </c>
      <c r="AK3" s="120">
        <f>V3*1%</f>
        <v>255.00460000000001</v>
      </c>
      <c r="AL3" s="121">
        <f>Y3-AB3-AC3-AE3-AF3-AG3-AH3-AI3-AK3-AJ3</f>
        <v>9916.5357174603178</v>
      </c>
      <c r="AM3" s="122"/>
      <c r="AN3" s="123">
        <f t="shared" ref="AN3:AN15" si="7">IF(S3=0,0,Y3/S3)</f>
        <v>1237.995625</v>
      </c>
      <c r="AO3" s="124">
        <f t="shared" ref="AO3:AO15" si="8">I3</f>
        <v>142.97999999999999</v>
      </c>
      <c r="AP3" s="124">
        <f t="shared" ref="AP3:AP15" si="9">IF(S3=0,0,AC3/S3)</f>
        <v>449.48624999999987</v>
      </c>
      <c r="AQ3" s="124">
        <f>IF(Q3=0,AE3/1,AE3/Q3)</f>
        <v>99.753030303030329</v>
      </c>
      <c r="AR3" s="124">
        <f>IF(Q3=0,0,(AF3+AG3)/Q3)</f>
        <v>212.12121212121212</v>
      </c>
      <c r="AS3" s="124">
        <f>_xlfn.IFS(S3=0,AL3,S3&lt;0,AL3/-S3,S3&gt;0,AL3/S3)</f>
        <v>309.89174117063493</v>
      </c>
      <c r="AT3" s="119">
        <f t="shared" ref="AT3" si="10">IF(AN3=0,0,AS3/AN3)</f>
        <v>0.25031731527373929</v>
      </c>
      <c r="AU3" s="119">
        <f t="shared" ref="AU3" si="11">IF(AO3=0,0,AS3/AO3)</f>
        <v>2.1673782429055457</v>
      </c>
      <c r="AV3" s="125"/>
      <c r="AW3" s="120">
        <f t="shared" ref="AW3:AW15" si="12">AS3*E3</f>
        <v>110321.45985674603</v>
      </c>
    </row>
    <row r="4" spans="1:49" outlineLevel="1">
      <c r="A4" s="114"/>
      <c r="B4" s="115">
        <v>340343575</v>
      </c>
      <c r="C4" s="115" t="s">
        <v>94</v>
      </c>
      <c r="D4" s="116" t="s">
        <v>93</v>
      </c>
      <c r="E4" s="117">
        <f t="shared" ref="E4:E15" si="13">SUM(F4:H4)</f>
        <v>248</v>
      </c>
      <c r="F4" s="117">
        <v>61</v>
      </c>
      <c r="G4" s="117">
        <v>8</v>
      </c>
      <c r="H4" s="117">
        <v>179</v>
      </c>
      <c r="I4" s="117">
        <v>123.09</v>
      </c>
      <c r="J4" s="117">
        <f t="shared" si="0"/>
        <v>30526.32</v>
      </c>
      <c r="K4" s="114">
        <v>81</v>
      </c>
      <c r="L4" s="114">
        <v>89</v>
      </c>
      <c r="M4" s="114">
        <v>929</v>
      </c>
      <c r="N4" s="114">
        <v>66</v>
      </c>
      <c r="O4" s="213">
        <f t="shared" si="1"/>
        <v>12.714285714285714</v>
      </c>
      <c r="P4" s="117">
        <f>S4/7</f>
        <v>4.1428571428571432</v>
      </c>
      <c r="Q4" s="118">
        <v>29</v>
      </c>
      <c r="R4" s="118">
        <v>0</v>
      </c>
      <c r="S4" s="117">
        <f t="shared" ref="S4:S15" si="14">Q4+R4</f>
        <v>29</v>
      </c>
      <c r="T4" s="118">
        <v>18398.699999999997</v>
      </c>
      <c r="U4" s="118">
        <v>0</v>
      </c>
      <c r="V4" s="117">
        <f t="shared" ref="V4:V15" si="15">T4+U4</f>
        <v>18398.699999999997</v>
      </c>
      <c r="W4" s="118">
        <v>26938.910000000003</v>
      </c>
      <c r="X4" s="118">
        <v>0</v>
      </c>
      <c r="Y4" s="117">
        <f t="shared" si="3"/>
        <v>26938.910000000003</v>
      </c>
      <c r="Z4" s="117">
        <f t="shared" ref="Z4:Z15" si="16">L4*M4*N4/100</f>
        <v>54569.46</v>
      </c>
      <c r="AA4" s="119">
        <f t="shared" si="4"/>
        <v>0.20542267654616372</v>
      </c>
      <c r="AB4" s="117">
        <f t="shared" ref="AB4:AB15" si="17">S4*I4</f>
        <v>3569.61</v>
      </c>
      <c r="AC4" s="118">
        <v>9819.02</v>
      </c>
      <c r="AD4" s="119">
        <f t="shared" si="5"/>
        <v>0.3644921045432053</v>
      </c>
      <c r="AE4" s="118">
        <v>3030.150000000001</v>
      </c>
      <c r="AF4" s="118">
        <v>3000</v>
      </c>
      <c r="AG4" s="118">
        <v>4539</v>
      </c>
      <c r="AH4" s="118"/>
      <c r="AI4" s="152">
        <f t="shared" si="6"/>
        <v>119.46687301587302</v>
      </c>
      <c r="AJ4" s="118">
        <v>0</v>
      </c>
      <c r="AK4" s="120">
        <f t="shared" ref="AK4:AK15" si="18">V4*1%</f>
        <v>183.98699999999997</v>
      </c>
      <c r="AL4" s="121">
        <f t="shared" ref="AL4:AL15" si="19">Y4-AB4-AC4-AE4-AF4-AG4-AH4-AI4-AK4-AJ4</f>
        <v>2677.6761269841281</v>
      </c>
      <c r="AM4" s="122"/>
      <c r="AN4" s="123">
        <f t="shared" si="7"/>
        <v>928.92793103448287</v>
      </c>
      <c r="AO4" s="124">
        <f t="shared" si="8"/>
        <v>123.09</v>
      </c>
      <c r="AP4" s="124">
        <f t="shared" si="9"/>
        <v>338.58689655172418</v>
      </c>
      <c r="AQ4" s="124">
        <f t="shared" ref="AQ4:AQ15" si="20">IF(Q4=0,AE4/1,AE4/Q4)</f>
        <v>104.4879310344828</v>
      </c>
      <c r="AR4" s="124">
        <f t="shared" ref="AR4:AR15" si="21">IF(Q4=0,0,(AF4+AG4)/Q4)</f>
        <v>259.9655172413793</v>
      </c>
      <c r="AS4" s="124">
        <f t="array" ref="AS4">_xlfn.IFS(S4=0,AL4,S4&lt;0,AL4/-S4,S4&gt;0,AL4/S4)</f>
        <v>92.333659551176837</v>
      </c>
      <c r="AT4" s="119">
        <f>IF(AN4=0,0,AS4/AN4)</f>
        <v>9.9398087264263024E-2</v>
      </c>
      <c r="AU4" s="119">
        <f>IF(AO4=0,0,AS4/AO4)</f>
        <v>0.75013128240455629</v>
      </c>
      <c r="AV4" s="125"/>
      <c r="AW4" s="120">
        <f t="shared" si="12"/>
        <v>22898.747568691855</v>
      </c>
    </row>
    <row r="5" spans="1:49" outlineLevel="1">
      <c r="A5" s="114"/>
      <c r="B5" s="115">
        <v>340332621</v>
      </c>
      <c r="C5" s="115" t="s">
        <v>95</v>
      </c>
      <c r="D5" s="116" t="s">
        <v>93</v>
      </c>
      <c r="E5" s="117">
        <f t="shared" si="13"/>
        <v>371</v>
      </c>
      <c r="F5" s="117">
        <v>3</v>
      </c>
      <c r="G5" s="117">
        <v>2</v>
      </c>
      <c r="H5" s="117">
        <v>366</v>
      </c>
      <c r="I5" s="117">
        <v>123.09</v>
      </c>
      <c r="J5" s="117">
        <f t="shared" si="0"/>
        <v>45666.39</v>
      </c>
      <c r="K5" s="114">
        <v>867</v>
      </c>
      <c r="L5" s="114">
        <v>6</v>
      </c>
      <c r="M5" s="114">
        <v>1093</v>
      </c>
      <c r="N5" s="114">
        <v>67</v>
      </c>
      <c r="O5" s="213">
        <f t="shared" si="1"/>
        <v>0.8571428571428571</v>
      </c>
      <c r="P5" s="117">
        <f>S5/7</f>
        <v>0.5714285714285714</v>
      </c>
      <c r="Q5" s="118">
        <v>4</v>
      </c>
      <c r="R5" s="118">
        <v>0</v>
      </c>
      <c r="S5" s="117">
        <f t="shared" si="14"/>
        <v>4</v>
      </c>
      <c r="T5" s="118">
        <v>2664</v>
      </c>
      <c r="U5" s="118">
        <v>0</v>
      </c>
      <c r="V5" s="117">
        <f t="shared" si="15"/>
        <v>2664</v>
      </c>
      <c r="W5" s="118">
        <v>4270</v>
      </c>
      <c r="X5" s="118">
        <v>0</v>
      </c>
      <c r="Y5" s="117">
        <f t="shared" si="3"/>
        <v>4270</v>
      </c>
      <c r="Z5" s="117">
        <f t="shared" si="16"/>
        <v>4393.8599999999997</v>
      </c>
      <c r="AA5" s="119">
        <f t="shared" si="4"/>
        <v>3.2560887907198875E-2</v>
      </c>
      <c r="AB5" s="117">
        <f t="shared" si="17"/>
        <v>492.36</v>
      </c>
      <c r="AC5" s="118">
        <v>1564.6</v>
      </c>
      <c r="AD5" s="119">
        <f t="shared" si="5"/>
        <v>0.36641686182669786</v>
      </c>
      <c r="AE5" s="118">
        <v>394.35</v>
      </c>
      <c r="AF5" s="118">
        <v>1000</v>
      </c>
      <c r="AG5" s="118">
        <v>285</v>
      </c>
      <c r="AH5" s="118"/>
      <c r="AI5" s="152">
        <f t="shared" si="6"/>
        <v>244.27304761904765</v>
      </c>
      <c r="AJ5" s="118">
        <v>0</v>
      </c>
      <c r="AK5" s="120">
        <f t="shared" si="18"/>
        <v>26.64</v>
      </c>
      <c r="AL5" s="121">
        <f t="shared" si="19"/>
        <v>262.77695238095242</v>
      </c>
      <c r="AM5" s="122"/>
      <c r="AN5" s="123">
        <f t="shared" si="7"/>
        <v>1067.5</v>
      </c>
      <c r="AO5" s="124">
        <f t="shared" si="8"/>
        <v>123.09</v>
      </c>
      <c r="AP5" s="124">
        <f t="shared" si="9"/>
        <v>391.15</v>
      </c>
      <c r="AQ5" s="124">
        <f t="shared" si="20"/>
        <v>98.587500000000006</v>
      </c>
      <c r="AR5" s="124">
        <f t="shared" si="21"/>
        <v>321.25</v>
      </c>
      <c r="AS5" s="124">
        <f t="array" ref="AS5">_xlfn.IFS(S5=0,AL5,S5&lt;0,AL5/-S5,S5&gt;0,AL5/S5)</f>
        <v>65.694238095238106</v>
      </c>
      <c r="AT5" s="119">
        <f>IF(AN5=0,0,AS5/AN5)</f>
        <v>6.1540269878443188E-2</v>
      </c>
      <c r="AU5" s="119">
        <f>IF(AO5=0,0,AS5/AO5)</f>
        <v>0.53370897794490291</v>
      </c>
      <c r="AV5" s="125"/>
      <c r="AW5" s="120">
        <f t="shared" si="12"/>
        <v>24372.562333333339</v>
      </c>
    </row>
    <row r="6" spans="1:49" outlineLevel="1">
      <c r="A6" s="114"/>
      <c r="B6" s="115">
        <v>340341838</v>
      </c>
      <c r="C6" s="115" t="s">
        <v>96</v>
      </c>
      <c r="D6" s="116" t="s">
        <v>93</v>
      </c>
      <c r="E6" s="117">
        <f t="shared" si="13"/>
        <v>342</v>
      </c>
      <c r="F6" s="117">
        <v>18</v>
      </c>
      <c r="G6" s="117">
        <v>1</v>
      </c>
      <c r="H6" s="117">
        <v>323</v>
      </c>
      <c r="I6" s="117">
        <v>123.09</v>
      </c>
      <c r="J6" s="117">
        <f t="shared" si="0"/>
        <v>42096.78</v>
      </c>
      <c r="K6" s="114">
        <v>431</v>
      </c>
      <c r="L6" s="114">
        <v>18</v>
      </c>
      <c r="M6" s="114">
        <v>1159</v>
      </c>
      <c r="N6" s="114">
        <v>75</v>
      </c>
      <c r="O6" s="213">
        <f t="shared" si="1"/>
        <v>2.5714285714285716</v>
      </c>
      <c r="P6" s="117">
        <f t="shared" ref="P6:P15" si="22">S6/7</f>
        <v>0.7142857142857143</v>
      </c>
      <c r="Q6" s="118">
        <v>5</v>
      </c>
      <c r="R6" s="118">
        <v>0</v>
      </c>
      <c r="S6" s="117">
        <f t="shared" si="14"/>
        <v>5</v>
      </c>
      <c r="T6" s="118">
        <v>3514</v>
      </c>
      <c r="U6" s="118">
        <v>0</v>
      </c>
      <c r="V6" s="117">
        <f t="shared" si="15"/>
        <v>3514</v>
      </c>
      <c r="W6" s="118">
        <v>5756</v>
      </c>
      <c r="X6" s="118">
        <v>0</v>
      </c>
      <c r="Y6" s="117">
        <f t="shared" si="3"/>
        <v>5756</v>
      </c>
      <c r="Z6" s="117">
        <f t="shared" si="16"/>
        <v>15646.5</v>
      </c>
      <c r="AA6" s="119">
        <f t="shared" si="4"/>
        <v>4.3892381918931321E-2</v>
      </c>
      <c r="AB6" s="117">
        <f t="shared" si="17"/>
        <v>615.45000000000005</v>
      </c>
      <c r="AC6" s="118">
        <v>2099.0699999999997</v>
      </c>
      <c r="AD6" s="119">
        <f t="shared" si="5"/>
        <v>0.36467512161223065</v>
      </c>
      <c r="AE6" s="118">
        <v>361.75000000000006</v>
      </c>
      <c r="AF6" s="118">
        <v>588</v>
      </c>
      <c r="AG6" s="118">
        <v>2090</v>
      </c>
      <c r="AH6" s="118"/>
      <c r="AI6" s="152">
        <f t="shared" si="6"/>
        <v>215.57430158730162</v>
      </c>
      <c r="AJ6" s="118">
        <v>0</v>
      </c>
      <c r="AK6" s="120">
        <f t="shared" si="18"/>
        <v>35.14</v>
      </c>
      <c r="AL6" s="121">
        <f t="shared" si="19"/>
        <v>-248.98430158730116</v>
      </c>
      <c r="AM6" s="122"/>
      <c r="AN6" s="123">
        <f t="shared" si="7"/>
        <v>1151.2</v>
      </c>
      <c r="AO6" s="124">
        <f t="shared" si="8"/>
        <v>123.09</v>
      </c>
      <c r="AP6" s="124">
        <f t="shared" si="9"/>
        <v>419.81399999999996</v>
      </c>
      <c r="AQ6" s="124">
        <f t="shared" si="20"/>
        <v>72.350000000000009</v>
      </c>
      <c r="AR6" s="124">
        <f t="shared" si="21"/>
        <v>535.6</v>
      </c>
      <c r="AS6" s="124">
        <f t="array" ref="AS6">_xlfn.IFS(S6=0,AL6,S6&lt;0,AL6/-S6,S6&gt;0,AL6/S6)</f>
        <v>-49.796860317460229</v>
      </c>
      <c r="AT6" s="119">
        <f t="shared" ref="AT6:AT15" si="23">IF(AN6=0,0,AS6/AN6)</f>
        <v>-4.3256480470344187E-2</v>
      </c>
      <c r="AU6" s="119">
        <f t="shared" ref="AU6:AU15" si="24">IF(AO6=0,0,AS6/AO6)</f>
        <v>-0.4045565059506071</v>
      </c>
      <c r="AV6" s="125"/>
      <c r="AW6" s="120">
        <f t="shared" si="12"/>
        <v>-17030.526228571398</v>
      </c>
    </row>
    <row r="7" spans="1:49" outlineLevel="1">
      <c r="A7" s="114"/>
      <c r="B7" s="115">
        <v>445291724</v>
      </c>
      <c r="C7" s="115" t="s">
        <v>97</v>
      </c>
      <c r="D7" s="116" t="s">
        <v>93</v>
      </c>
      <c r="E7" s="117">
        <f t="shared" si="13"/>
        <v>276</v>
      </c>
      <c r="F7" s="117">
        <v>19</v>
      </c>
      <c r="G7" s="117">
        <v>2</v>
      </c>
      <c r="H7" s="117">
        <v>255</v>
      </c>
      <c r="I7" s="117">
        <v>123.09</v>
      </c>
      <c r="J7" s="117">
        <f t="shared" si="0"/>
        <v>33972.840000000004</v>
      </c>
      <c r="K7" s="114">
        <v>301</v>
      </c>
      <c r="L7" s="114">
        <v>30</v>
      </c>
      <c r="M7" s="114">
        <v>1119</v>
      </c>
      <c r="N7" s="114">
        <v>58</v>
      </c>
      <c r="O7" s="213">
        <f t="shared" si="1"/>
        <v>4.2857142857142856</v>
      </c>
      <c r="P7" s="117">
        <f t="shared" si="22"/>
        <v>0.8571428571428571</v>
      </c>
      <c r="Q7" s="118">
        <v>6</v>
      </c>
      <c r="R7" s="118">
        <v>0</v>
      </c>
      <c r="S7" s="117">
        <f t="shared" si="14"/>
        <v>6</v>
      </c>
      <c r="T7" s="118">
        <v>4355</v>
      </c>
      <c r="U7" s="118">
        <v>0</v>
      </c>
      <c r="V7" s="117">
        <f t="shared" si="15"/>
        <v>4355</v>
      </c>
      <c r="W7" s="118">
        <v>6616</v>
      </c>
      <c r="X7" s="118">
        <v>0</v>
      </c>
      <c r="Y7" s="117">
        <f t="shared" si="3"/>
        <v>6616</v>
      </c>
      <c r="Z7" s="117">
        <f t="shared" si="16"/>
        <v>19470.599999999999</v>
      </c>
      <c r="AA7" s="119">
        <f t="shared" si="4"/>
        <v>5.0450312504456155E-2</v>
      </c>
      <c r="AB7" s="117">
        <f t="shared" si="17"/>
        <v>738.54</v>
      </c>
      <c r="AC7" s="118">
        <v>2400.88</v>
      </c>
      <c r="AD7" s="119">
        <f t="shared" si="5"/>
        <v>0.36288996372430471</v>
      </c>
      <c r="AE7" s="118">
        <v>1014.0999999999999</v>
      </c>
      <c r="AF7" s="118">
        <v>906</v>
      </c>
      <c r="AG7" s="118">
        <v>1000</v>
      </c>
      <c r="AH7" s="118"/>
      <c r="AI7" s="152">
        <f t="shared" si="6"/>
        <v>170.19023809523813</v>
      </c>
      <c r="AJ7" s="118">
        <v>0</v>
      </c>
      <c r="AK7" s="120">
        <f t="shared" si="18"/>
        <v>43.550000000000004</v>
      </c>
      <c r="AL7" s="121">
        <f t="shared" si="19"/>
        <v>342.73976190476191</v>
      </c>
      <c r="AM7" s="122"/>
      <c r="AN7" s="123">
        <f t="shared" si="7"/>
        <v>1102.6666666666667</v>
      </c>
      <c r="AO7" s="124">
        <f t="shared" si="8"/>
        <v>123.09</v>
      </c>
      <c r="AP7" s="124">
        <f t="shared" si="9"/>
        <v>400.1466666666667</v>
      </c>
      <c r="AQ7" s="124">
        <f t="shared" si="20"/>
        <v>169.01666666666665</v>
      </c>
      <c r="AR7" s="124">
        <f t="shared" si="21"/>
        <v>317.66666666666669</v>
      </c>
      <c r="AS7" s="124">
        <f t="array" ref="AS7">_xlfn.IFS(S7=0,AL7,S7&lt;0,AL7/-S7,S7&gt;0,AL7/S7)</f>
        <v>57.123293650793649</v>
      </c>
      <c r="AT7" s="119">
        <f t="shared" si="23"/>
        <v>5.1804679852593995E-2</v>
      </c>
      <c r="AU7" s="119">
        <f t="shared" si="24"/>
        <v>0.46407745268335077</v>
      </c>
      <c r="AV7" s="125"/>
      <c r="AW7" s="120">
        <f t="shared" si="12"/>
        <v>15766.029047619048</v>
      </c>
    </row>
    <row r="8" spans="1:49" outlineLevel="1">
      <c r="A8" s="114"/>
      <c r="B8" s="115">
        <v>445336740</v>
      </c>
      <c r="C8" s="115" t="s">
        <v>98</v>
      </c>
      <c r="D8" s="116" t="s">
        <v>93</v>
      </c>
      <c r="E8" s="117">
        <f t="shared" si="13"/>
        <v>78</v>
      </c>
      <c r="F8" s="117">
        <v>14</v>
      </c>
      <c r="G8" s="117">
        <v>1</v>
      </c>
      <c r="H8" s="117">
        <v>63</v>
      </c>
      <c r="I8" s="117">
        <v>123.09</v>
      </c>
      <c r="J8" s="117">
        <f t="shared" si="0"/>
        <v>9601.02</v>
      </c>
      <c r="K8" s="114">
        <v>52</v>
      </c>
      <c r="L8" s="114">
        <v>20</v>
      </c>
      <c r="M8" s="114">
        <v>1150</v>
      </c>
      <c r="N8" s="114">
        <v>73</v>
      </c>
      <c r="O8" s="213">
        <f t="shared" si="1"/>
        <v>2.8571428571428572</v>
      </c>
      <c r="P8" s="117">
        <f t="shared" si="22"/>
        <v>3</v>
      </c>
      <c r="Q8" s="118">
        <v>21</v>
      </c>
      <c r="R8" s="118">
        <v>0</v>
      </c>
      <c r="S8" s="117">
        <f t="shared" si="14"/>
        <v>21</v>
      </c>
      <c r="T8" s="118">
        <v>15604.44</v>
      </c>
      <c r="U8" s="118">
        <v>0</v>
      </c>
      <c r="V8" s="117">
        <f t="shared" si="15"/>
        <v>15604.44</v>
      </c>
      <c r="W8" s="118">
        <v>24222.39</v>
      </c>
      <c r="X8" s="118">
        <v>0</v>
      </c>
      <c r="Y8" s="117">
        <f t="shared" si="3"/>
        <v>24222.39</v>
      </c>
      <c r="Z8" s="117">
        <f t="shared" si="16"/>
        <v>16790</v>
      </c>
      <c r="AA8" s="119">
        <f t="shared" si="4"/>
        <v>0.18470785143664051</v>
      </c>
      <c r="AB8" s="117">
        <f t="shared" si="17"/>
        <v>2584.89</v>
      </c>
      <c r="AC8" s="118">
        <v>8850.260000000002</v>
      </c>
      <c r="AD8" s="119">
        <f t="shared" si="5"/>
        <v>0.36537517561231581</v>
      </c>
      <c r="AE8" s="118">
        <v>1905.1499999999996</v>
      </c>
      <c r="AF8" s="118">
        <v>2032</v>
      </c>
      <c r="AG8" s="118">
        <v>2000</v>
      </c>
      <c r="AH8" s="118"/>
      <c r="AI8" s="152">
        <f t="shared" si="6"/>
        <v>42.047000000000004</v>
      </c>
      <c r="AJ8" s="118">
        <v>0</v>
      </c>
      <c r="AK8" s="120">
        <f t="shared" si="18"/>
        <v>156.0444</v>
      </c>
      <c r="AL8" s="121">
        <f t="shared" si="19"/>
        <v>6651.998599999999</v>
      </c>
      <c r="AM8" s="122"/>
      <c r="AN8" s="123">
        <f t="shared" si="7"/>
        <v>1153.4471428571428</v>
      </c>
      <c r="AO8" s="124">
        <f t="shared" si="8"/>
        <v>123.09</v>
      </c>
      <c r="AP8" s="124">
        <f t="shared" si="9"/>
        <v>421.44095238095247</v>
      </c>
      <c r="AQ8" s="124">
        <f t="shared" si="20"/>
        <v>90.721428571428561</v>
      </c>
      <c r="AR8" s="124">
        <f t="shared" si="21"/>
        <v>192</v>
      </c>
      <c r="AS8" s="124">
        <f t="array" ref="AS8">_xlfn.IFS(S8=0,AL8,S8&lt;0,AL8/-S8,S8&gt;0,AL8/S8)</f>
        <v>316.76183809523803</v>
      </c>
      <c r="AT8" s="119">
        <f t="shared" si="23"/>
        <v>0.27462189321532676</v>
      </c>
      <c r="AU8" s="119">
        <f t="shared" si="24"/>
        <v>2.5734165090197254</v>
      </c>
      <c r="AV8" s="125"/>
      <c r="AW8" s="120">
        <f t="shared" si="12"/>
        <v>24707.423371428566</v>
      </c>
    </row>
    <row r="9" spans="1:49" outlineLevel="1">
      <c r="A9" s="114"/>
      <c r="B9" s="115">
        <v>445341507</v>
      </c>
      <c r="C9" s="115" t="s">
        <v>99</v>
      </c>
      <c r="D9" s="116" t="s">
        <v>93</v>
      </c>
      <c r="E9" s="117">
        <f t="shared" si="13"/>
        <v>232</v>
      </c>
      <c r="F9" s="117">
        <v>15</v>
      </c>
      <c r="G9" s="117">
        <v>6</v>
      </c>
      <c r="H9" s="117">
        <v>211</v>
      </c>
      <c r="I9" s="117">
        <v>169.89</v>
      </c>
      <c r="J9" s="117">
        <f t="shared" si="0"/>
        <v>39414.479999999996</v>
      </c>
      <c r="K9" s="114">
        <v>150</v>
      </c>
      <c r="L9" s="114">
        <v>24</v>
      </c>
      <c r="M9" s="114">
        <v>1190</v>
      </c>
      <c r="N9" s="114">
        <v>69</v>
      </c>
      <c r="O9" s="213">
        <f t="shared" si="1"/>
        <v>3.4285714285714284</v>
      </c>
      <c r="P9" s="117">
        <f t="shared" si="22"/>
        <v>2</v>
      </c>
      <c r="Q9" s="118">
        <v>14</v>
      </c>
      <c r="R9" s="118">
        <v>0</v>
      </c>
      <c r="S9" s="117">
        <f t="shared" si="14"/>
        <v>14</v>
      </c>
      <c r="T9" s="118">
        <v>10629.36</v>
      </c>
      <c r="U9" s="118">
        <v>0</v>
      </c>
      <c r="V9" s="117">
        <f t="shared" si="15"/>
        <v>10629.36</v>
      </c>
      <c r="W9" s="118">
        <v>16435.77</v>
      </c>
      <c r="X9" s="118">
        <v>0</v>
      </c>
      <c r="Y9" s="117">
        <f t="shared" si="3"/>
        <v>16435.77</v>
      </c>
      <c r="Z9" s="117">
        <f t="shared" si="16"/>
        <v>19706.400000000001</v>
      </c>
      <c r="AA9" s="119">
        <f t="shared" si="4"/>
        <v>0.12533097532517615</v>
      </c>
      <c r="AB9" s="117">
        <f t="shared" si="17"/>
        <v>2378.46</v>
      </c>
      <c r="AC9" s="118">
        <v>6017.2800000000025</v>
      </c>
      <c r="AD9" s="119">
        <f t="shared" si="5"/>
        <v>0.36610879806665597</v>
      </c>
      <c r="AE9" s="118">
        <v>1587.5500000000002</v>
      </c>
      <c r="AF9" s="118"/>
      <c r="AG9" s="118"/>
      <c r="AH9" s="118"/>
      <c r="AI9" s="152">
        <f t="shared" si="6"/>
        <v>140.82407936507937</v>
      </c>
      <c r="AJ9" s="118">
        <v>0</v>
      </c>
      <c r="AK9" s="120">
        <f t="shared" si="18"/>
        <v>106.29360000000001</v>
      </c>
      <c r="AL9" s="121">
        <f t="shared" si="19"/>
        <v>6205.3623206349193</v>
      </c>
      <c r="AM9" s="122"/>
      <c r="AN9" s="123">
        <f t="shared" si="7"/>
        <v>1173.9835714285714</v>
      </c>
      <c r="AO9" s="124">
        <f t="shared" si="8"/>
        <v>169.89</v>
      </c>
      <c r="AP9" s="124">
        <f t="shared" si="9"/>
        <v>429.80571428571449</v>
      </c>
      <c r="AQ9" s="124">
        <f t="shared" si="20"/>
        <v>113.39642857142859</v>
      </c>
      <c r="AR9" s="124">
        <f t="shared" si="21"/>
        <v>0</v>
      </c>
      <c r="AS9" s="124">
        <f t="array" ref="AS9">_xlfn.IFS(S9=0,AL9,S9&lt;0,AL9/-S9,S9&gt;0,AL9/S9)</f>
        <v>443.24016575963708</v>
      </c>
      <c r="AT9" s="119">
        <f t="shared" si="23"/>
        <v>0.37755227291662752</v>
      </c>
      <c r="AU9" s="119">
        <f t="shared" si="24"/>
        <v>2.6089832583414982</v>
      </c>
      <c r="AV9" s="125"/>
      <c r="AW9" s="120">
        <f t="shared" si="12"/>
        <v>102831.7184562358</v>
      </c>
    </row>
    <row r="10" spans="1:49" outlineLevel="1">
      <c r="A10" s="114"/>
      <c r="B10" s="115">
        <v>497825485</v>
      </c>
      <c r="C10" s="115" t="s">
        <v>100</v>
      </c>
      <c r="D10" s="116" t="s">
        <v>93</v>
      </c>
      <c r="E10" s="117">
        <f t="shared" si="13"/>
        <v>38</v>
      </c>
      <c r="F10" s="117">
        <v>6</v>
      </c>
      <c r="G10" s="117" t="s">
        <v>145</v>
      </c>
      <c r="H10" s="117">
        <v>32</v>
      </c>
      <c r="I10" s="117">
        <v>169.89</v>
      </c>
      <c r="J10" s="117">
        <f t="shared" si="0"/>
        <v>6455.82</v>
      </c>
      <c r="K10" s="114">
        <v>96</v>
      </c>
      <c r="L10" s="114">
        <v>11</v>
      </c>
      <c r="M10" s="114">
        <v>1219</v>
      </c>
      <c r="N10" s="114">
        <v>40</v>
      </c>
      <c r="O10" s="213">
        <f t="shared" si="1"/>
        <v>1.5714285714285714</v>
      </c>
      <c r="P10" s="117">
        <f t="shared" si="22"/>
        <v>0.2857142857142857</v>
      </c>
      <c r="Q10" s="118">
        <v>2</v>
      </c>
      <c r="R10" s="118">
        <v>0</v>
      </c>
      <c r="S10" s="117">
        <f t="shared" si="14"/>
        <v>2</v>
      </c>
      <c r="T10" s="118">
        <v>1556</v>
      </c>
      <c r="U10" s="118">
        <v>0</v>
      </c>
      <c r="V10" s="117">
        <f t="shared" si="15"/>
        <v>1556</v>
      </c>
      <c r="W10" s="118">
        <v>2398</v>
      </c>
      <c r="X10" s="118">
        <v>0</v>
      </c>
      <c r="Y10" s="117">
        <f t="shared" si="3"/>
        <v>2398</v>
      </c>
      <c r="Z10" s="117">
        <f t="shared" si="16"/>
        <v>5363.6</v>
      </c>
      <c r="AA10" s="119">
        <f t="shared" si="4"/>
        <v>1.8285950632661103E-2</v>
      </c>
      <c r="AB10" s="117">
        <f t="shared" si="17"/>
        <v>339.78</v>
      </c>
      <c r="AC10" s="118">
        <v>883.5</v>
      </c>
      <c r="AD10" s="119">
        <f t="shared" si="5"/>
        <v>0.3684320266889074</v>
      </c>
      <c r="AE10" s="118">
        <v>416.8</v>
      </c>
      <c r="AF10" s="118">
        <v>1000</v>
      </c>
      <c r="AG10" s="118">
        <v>1394</v>
      </c>
      <c r="AH10" s="118"/>
      <c r="AI10" s="152">
        <f t="shared" si="6"/>
        <v>21.357206349206351</v>
      </c>
      <c r="AJ10" s="118">
        <v>0</v>
      </c>
      <c r="AK10" s="120">
        <f t="shared" si="18"/>
        <v>15.56</v>
      </c>
      <c r="AL10" s="121">
        <f t="shared" si="19"/>
        <v>-1672.997206349206</v>
      </c>
      <c r="AM10" s="122"/>
      <c r="AN10" s="123">
        <f t="shared" si="7"/>
        <v>1199</v>
      </c>
      <c r="AO10" s="124">
        <f t="shared" si="8"/>
        <v>169.89</v>
      </c>
      <c r="AP10" s="124">
        <f t="shared" si="9"/>
        <v>441.75</v>
      </c>
      <c r="AQ10" s="124">
        <f t="shared" si="20"/>
        <v>208.4</v>
      </c>
      <c r="AR10" s="124">
        <f t="shared" si="21"/>
        <v>1197</v>
      </c>
      <c r="AS10" s="124">
        <f t="array" ref="AS10">_xlfn.IFS(S10=0,AL10,S10&lt;0,AL10/-S10,S10&gt;0,AL10/S10)</f>
        <v>-836.49860317460298</v>
      </c>
      <c r="AT10" s="119">
        <f t="shared" si="23"/>
        <v>-0.69766355560850957</v>
      </c>
      <c r="AU10" s="119">
        <f t="shared" si="24"/>
        <v>-4.9237659848996591</v>
      </c>
      <c r="AV10" s="125"/>
      <c r="AW10" s="120">
        <f t="shared" si="12"/>
        <v>-31786.946920634913</v>
      </c>
    </row>
    <row r="11" spans="1:49" outlineLevel="1">
      <c r="A11" s="114"/>
      <c r="B11" s="115">
        <v>497825962</v>
      </c>
      <c r="C11" s="115" t="s">
        <v>101</v>
      </c>
      <c r="D11" s="116" t="s">
        <v>93</v>
      </c>
      <c r="E11" s="117">
        <f t="shared" si="13"/>
        <v>38</v>
      </c>
      <c r="F11" s="117">
        <v>1</v>
      </c>
      <c r="G11" s="117" t="s">
        <v>145</v>
      </c>
      <c r="H11" s="117">
        <v>37</v>
      </c>
      <c r="I11" s="117">
        <v>169.89</v>
      </c>
      <c r="J11" s="117">
        <f t="shared" si="0"/>
        <v>6455.82</v>
      </c>
      <c r="K11" s="114">
        <v>294</v>
      </c>
      <c r="L11" s="114">
        <v>2</v>
      </c>
      <c r="M11" s="114">
        <v>1145</v>
      </c>
      <c r="N11" s="114">
        <v>100</v>
      </c>
      <c r="O11" s="213">
        <f t="shared" si="1"/>
        <v>0.2857142857142857</v>
      </c>
      <c r="P11" s="117">
        <f t="shared" si="22"/>
        <v>0.14285714285714285</v>
      </c>
      <c r="Q11" s="118">
        <v>1</v>
      </c>
      <c r="R11" s="118">
        <v>0</v>
      </c>
      <c r="S11" s="117">
        <f t="shared" si="14"/>
        <v>1</v>
      </c>
      <c r="T11" s="118">
        <v>708</v>
      </c>
      <c r="U11" s="118">
        <v>0</v>
      </c>
      <c r="V11" s="117">
        <f t="shared" si="15"/>
        <v>708</v>
      </c>
      <c r="W11" s="118">
        <v>1145</v>
      </c>
      <c r="X11" s="118">
        <v>0</v>
      </c>
      <c r="Y11" s="117">
        <f t="shared" si="3"/>
        <v>1145</v>
      </c>
      <c r="Z11" s="117">
        <f t="shared" si="16"/>
        <v>2290</v>
      </c>
      <c r="AA11" s="119">
        <f t="shared" si="4"/>
        <v>8.7311982795650386E-3</v>
      </c>
      <c r="AB11" s="117">
        <f t="shared" si="17"/>
        <v>169.89</v>
      </c>
      <c r="AC11" s="118">
        <v>418.03</v>
      </c>
      <c r="AD11" s="119">
        <f t="shared" si="5"/>
        <v>0.36509170305676852</v>
      </c>
      <c r="AE11" s="118">
        <v>56.55</v>
      </c>
      <c r="AF11" s="118"/>
      <c r="AG11" s="118"/>
      <c r="AH11" s="118"/>
      <c r="AI11" s="152">
        <f t="shared" si="6"/>
        <v>24.694269841269843</v>
      </c>
      <c r="AJ11" s="118">
        <v>0</v>
      </c>
      <c r="AK11" s="120">
        <f t="shared" si="18"/>
        <v>7.08</v>
      </c>
      <c r="AL11" s="121">
        <f t="shared" si="19"/>
        <v>468.75573015873022</v>
      </c>
      <c r="AM11" s="122"/>
      <c r="AN11" s="123">
        <f t="shared" si="7"/>
        <v>1145</v>
      </c>
      <c r="AO11" s="124">
        <f t="shared" si="8"/>
        <v>169.89</v>
      </c>
      <c r="AP11" s="124">
        <f t="shared" si="9"/>
        <v>418.03</v>
      </c>
      <c r="AQ11" s="124">
        <f t="shared" si="20"/>
        <v>56.55</v>
      </c>
      <c r="AR11" s="124">
        <f t="shared" si="21"/>
        <v>0</v>
      </c>
      <c r="AS11" s="124">
        <f t="array" ref="AS11">_xlfn.IFS(S11=0,AL11,S11&lt;0,AL11/-S11,S11&gt;0,AL11/S11)</f>
        <v>468.75573015873022</v>
      </c>
      <c r="AT11" s="119">
        <f t="shared" si="23"/>
        <v>0.40939365079365087</v>
      </c>
      <c r="AU11" s="119">
        <f t="shared" si="24"/>
        <v>2.7591719945772573</v>
      </c>
      <c r="AV11" s="125"/>
      <c r="AW11" s="120">
        <f t="shared" si="12"/>
        <v>17812.717746031747</v>
      </c>
    </row>
    <row r="12" spans="1:49" outlineLevel="1">
      <c r="A12" s="114"/>
      <c r="B12" s="115">
        <v>497821775</v>
      </c>
      <c r="C12" s="115" t="s">
        <v>102</v>
      </c>
      <c r="D12" s="116" t="s">
        <v>93</v>
      </c>
      <c r="E12" s="117">
        <f t="shared" si="13"/>
        <v>44</v>
      </c>
      <c r="F12" s="117">
        <v>2</v>
      </c>
      <c r="G12" s="117">
        <v>1</v>
      </c>
      <c r="H12" s="117">
        <v>41</v>
      </c>
      <c r="I12" s="117">
        <v>169.89</v>
      </c>
      <c r="J12" s="117">
        <f t="shared" si="0"/>
        <v>7475.16</v>
      </c>
      <c r="K12" s="114">
        <v>259</v>
      </c>
      <c r="L12" s="114">
        <v>3</v>
      </c>
      <c r="M12" s="114">
        <v>1166</v>
      </c>
      <c r="N12" s="114">
        <v>0</v>
      </c>
      <c r="O12" s="213">
        <f t="shared" si="1"/>
        <v>0.42857142857142855</v>
      </c>
      <c r="P12" s="117">
        <f t="shared" si="22"/>
        <v>0</v>
      </c>
      <c r="Q12" s="118">
        <v>0</v>
      </c>
      <c r="R12" s="118">
        <v>0</v>
      </c>
      <c r="S12" s="117">
        <f t="shared" si="14"/>
        <v>0</v>
      </c>
      <c r="T12" s="118">
        <v>0</v>
      </c>
      <c r="U12" s="118">
        <v>0</v>
      </c>
      <c r="V12" s="117">
        <f t="shared" si="15"/>
        <v>0</v>
      </c>
      <c r="W12" s="118">
        <v>0</v>
      </c>
      <c r="X12" s="118">
        <v>0</v>
      </c>
      <c r="Y12" s="117">
        <f t="shared" si="3"/>
        <v>0</v>
      </c>
      <c r="Z12" s="117">
        <f t="shared" si="16"/>
        <v>0</v>
      </c>
      <c r="AA12" s="119">
        <f t="shared" si="4"/>
        <v>0</v>
      </c>
      <c r="AB12" s="117">
        <f t="shared" si="17"/>
        <v>0</v>
      </c>
      <c r="AC12" s="118">
        <v>0</v>
      </c>
      <c r="AD12" s="119">
        <f t="shared" si="5"/>
        <v>0</v>
      </c>
      <c r="AE12" s="118">
        <v>106.55</v>
      </c>
      <c r="AF12" s="118"/>
      <c r="AG12" s="118"/>
      <c r="AH12" s="118"/>
      <c r="AI12" s="152">
        <f t="shared" si="6"/>
        <v>27.363920634920639</v>
      </c>
      <c r="AJ12" s="118">
        <v>0</v>
      </c>
      <c r="AK12" s="120">
        <f t="shared" si="18"/>
        <v>0</v>
      </c>
      <c r="AL12" s="121">
        <f t="shared" si="19"/>
        <v>-133.91392063492063</v>
      </c>
      <c r="AM12" s="122"/>
      <c r="AN12" s="123">
        <f t="shared" si="7"/>
        <v>0</v>
      </c>
      <c r="AO12" s="124">
        <f t="shared" si="8"/>
        <v>169.89</v>
      </c>
      <c r="AP12" s="124">
        <f t="shared" si="9"/>
        <v>0</v>
      </c>
      <c r="AQ12" s="124">
        <f t="shared" si="20"/>
        <v>106.55</v>
      </c>
      <c r="AR12" s="124">
        <f t="shared" si="21"/>
        <v>0</v>
      </c>
      <c r="AS12" s="124">
        <f t="array" ref="AS12">_xlfn.IFS(S12=0,AL12,S12&lt;0,AL12/-S12,S12&gt;0,AL12/S12)</f>
        <v>-133.91392063492063</v>
      </c>
      <c r="AT12" s="119">
        <f t="shared" si="23"/>
        <v>0</v>
      </c>
      <c r="AU12" s="119">
        <f t="shared" si="24"/>
        <v>-0.78823898189958586</v>
      </c>
      <c r="AV12" s="125"/>
      <c r="AW12" s="120">
        <f t="shared" si="12"/>
        <v>-5892.2125079365078</v>
      </c>
    </row>
    <row r="13" spans="1:49" outlineLevel="1">
      <c r="A13" s="114"/>
      <c r="B13" s="115">
        <v>497823770</v>
      </c>
      <c r="C13" s="115" t="s">
        <v>103</v>
      </c>
      <c r="D13" s="116" t="s">
        <v>93</v>
      </c>
      <c r="E13" s="117">
        <f t="shared" si="13"/>
        <v>7</v>
      </c>
      <c r="F13" s="117" t="s">
        <v>145</v>
      </c>
      <c r="G13" s="117">
        <v>1</v>
      </c>
      <c r="H13" s="117">
        <v>6</v>
      </c>
      <c r="I13" s="117">
        <v>169.89</v>
      </c>
      <c r="J13" s="117">
        <f t="shared" si="0"/>
        <v>1189.23</v>
      </c>
      <c r="K13" s="114">
        <v>63</v>
      </c>
      <c r="L13" s="114">
        <v>2</v>
      </c>
      <c r="M13" s="114">
        <v>1194</v>
      </c>
      <c r="N13" s="114">
        <v>50</v>
      </c>
      <c r="O13" s="213">
        <f t="shared" si="1"/>
        <v>0.2857142857142857</v>
      </c>
      <c r="P13" s="117">
        <f t="shared" si="22"/>
        <v>0.14285714285714285</v>
      </c>
      <c r="Q13" s="118">
        <v>1</v>
      </c>
      <c r="R13" s="118">
        <v>0</v>
      </c>
      <c r="S13" s="117">
        <f t="shared" si="14"/>
        <v>1</v>
      </c>
      <c r="T13" s="118">
        <v>743</v>
      </c>
      <c r="U13" s="118">
        <v>0</v>
      </c>
      <c r="V13" s="117">
        <f t="shared" si="15"/>
        <v>743</v>
      </c>
      <c r="W13" s="118">
        <v>1221</v>
      </c>
      <c r="X13" s="118">
        <v>0</v>
      </c>
      <c r="Y13" s="117">
        <f t="shared" si="3"/>
        <v>1221</v>
      </c>
      <c r="Z13" s="117">
        <f t="shared" si="16"/>
        <v>1194</v>
      </c>
      <c r="AA13" s="119">
        <f t="shared" si="4"/>
        <v>9.310736331309093E-3</v>
      </c>
      <c r="AB13" s="117">
        <f t="shared" si="17"/>
        <v>169.89</v>
      </c>
      <c r="AC13" s="118">
        <v>445.39</v>
      </c>
      <c r="AD13" s="119">
        <f t="shared" si="5"/>
        <v>0.36477477477477477</v>
      </c>
      <c r="AE13" s="118">
        <v>150.05000000000001</v>
      </c>
      <c r="AF13" s="118"/>
      <c r="AG13" s="118"/>
      <c r="AH13" s="118"/>
      <c r="AI13" s="152">
        <f t="shared" si="6"/>
        <v>4.0044761904761907</v>
      </c>
      <c r="AJ13" s="118">
        <v>0</v>
      </c>
      <c r="AK13" s="120">
        <f t="shared" si="18"/>
        <v>7.43</v>
      </c>
      <c r="AL13" s="121">
        <f t="shared" si="19"/>
        <v>444.23552380952395</v>
      </c>
      <c r="AM13" s="122"/>
      <c r="AN13" s="123">
        <f t="shared" si="7"/>
        <v>1221</v>
      </c>
      <c r="AO13" s="124">
        <f t="shared" si="8"/>
        <v>169.89</v>
      </c>
      <c r="AP13" s="124">
        <f t="shared" si="9"/>
        <v>445.39</v>
      </c>
      <c r="AQ13" s="124">
        <f t="shared" si="20"/>
        <v>150.05000000000001</v>
      </c>
      <c r="AR13" s="124">
        <f t="shared" si="21"/>
        <v>0</v>
      </c>
      <c r="AS13" s="124">
        <f t="array" ref="AS13">_xlfn.IFS(S13=0,AL13,S13&lt;0,AL13/-S13,S13&gt;0,AL13/S13)</f>
        <v>444.23552380952395</v>
      </c>
      <c r="AT13" s="119">
        <f t="shared" si="23"/>
        <v>0.36382925782925796</v>
      </c>
      <c r="AU13" s="119">
        <f t="shared" si="24"/>
        <v>2.614842096706834</v>
      </c>
      <c r="AV13" s="125"/>
      <c r="AW13" s="120">
        <f t="shared" si="12"/>
        <v>3109.6486666666679</v>
      </c>
    </row>
    <row r="14" spans="1:49" outlineLevel="1">
      <c r="A14" s="114"/>
      <c r="B14" s="115">
        <v>497824253</v>
      </c>
      <c r="C14" s="115" t="s">
        <v>104</v>
      </c>
      <c r="D14" s="116" t="s">
        <v>93</v>
      </c>
      <c r="E14" s="117">
        <f t="shared" si="13"/>
        <v>57</v>
      </c>
      <c r="F14" s="117">
        <v>1</v>
      </c>
      <c r="G14" s="117">
        <v>1</v>
      </c>
      <c r="H14" s="117">
        <v>55</v>
      </c>
      <c r="I14" s="117">
        <v>169.89</v>
      </c>
      <c r="J14" s="117">
        <f t="shared" si="0"/>
        <v>9683.73</v>
      </c>
      <c r="K14" s="114">
        <v>252</v>
      </c>
      <c r="L14" s="114">
        <v>4</v>
      </c>
      <c r="M14" s="114">
        <v>1260</v>
      </c>
      <c r="N14" s="114">
        <v>67</v>
      </c>
      <c r="O14" s="213">
        <f t="shared" si="1"/>
        <v>0.5714285714285714</v>
      </c>
      <c r="P14" s="117">
        <f t="shared" si="22"/>
        <v>0.2857142857142857</v>
      </c>
      <c r="Q14" s="118">
        <v>2</v>
      </c>
      <c r="R14" s="118">
        <v>0</v>
      </c>
      <c r="S14" s="117">
        <f t="shared" si="14"/>
        <v>2</v>
      </c>
      <c r="T14" s="118">
        <v>1533</v>
      </c>
      <c r="U14" s="118">
        <v>0</v>
      </c>
      <c r="V14" s="117">
        <f t="shared" si="15"/>
        <v>1533</v>
      </c>
      <c r="W14" s="118">
        <v>2520</v>
      </c>
      <c r="X14" s="118">
        <v>0</v>
      </c>
      <c r="Y14" s="117">
        <f t="shared" si="3"/>
        <v>2520</v>
      </c>
      <c r="Z14" s="117">
        <f t="shared" si="16"/>
        <v>3376.8</v>
      </c>
      <c r="AA14" s="119">
        <f t="shared" si="4"/>
        <v>1.921626171572393E-2</v>
      </c>
      <c r="AB14" s="117">
        <f t="shared" si="17"/>
        <v>339.78</v>
      </c>
      <c r="AC14" s="118">
        <v>913.88000000000011</v>
      </c>
      <c r="AD14" s="119">
        <f t="shared" si="5"/>
        <v>0.36265079365079367</v>
      </c>
      <c r="AE14" s="118">
        <v>229.8</v>
      </c>
      <c r="AF14" s="118"/>
      <c r="AG14" s="118"/>
      <c r="AH14" s="118"/>
      <c r="AI14" s="152">
        <f t="shared" si="6"/>
        <v>36.707698412698413</v>
      </c>
      <c r="AJ14" s="118">
        <v>0</v>
      </c>
      <c r="AK14" s="120">
        <f t="shared" si="18"/>
        <v>15.33</v>
      </c>
      <c r="AL14" s="121">
        <f t="shared" si="19"/>
        <v>984.50230158730176</v>
      </c>
      <c r="AM14" s="122"/>
      <c r="AN14" s="123">
        <f t="shared" si="7"/>
        <v>1260</v>
      </c>
      <c r="AO14" s="124">
        <f t="shared" si="8"/>
        <v>169.89</v>
      </c>
      <c r="AP14" s="124">
        <f t="shared" si="9"/>
        <v>456.94000000000005</v>
      </c>
      <c r="AQ14" s="124">
        <f t="shared" si="20"/>
        <v>114.9</v>
      </c>
      <c r="AR14" s="124">
        <f t="shared" si="21"/>
        <v>0</v>
      </c>
      <c r="AS14" s="124">
        <f t="array" ref="AS14">_xlfn.IFS(S14=0,AL14,S14&lt;0,AL14/-S14,S14&gt;0,AL14/S14)</f>
        <v>492.25115079365088</v>
      </c>
      <c r="AT14" s="119">
        <f t="shared" si="23"/>
        <v>0.3906755165028975</v>
      </c>
      <c r="AU14" s="119">
        <f t="shared" si="24"/>
        <v>2.8974698380931834</v>
      </c>
      <c r="AV14" s="125"/>
      <c r="AW14" s="120">
        <f t="shared" si="12"/>
        <v>28058.315595238098</v>
      </c>
    </row>
    <row r="15" spans="1:49" outlineLevel="1">
      <c r="A15" s="114"/>
      <c r="B15" s="115">
        <v>497824944</v>
      </c>
      <c r="C15" s="115" t="s">
        <v>105</v>
      </c>
      <c r="D15" s="116" t="s">
        <v>93</v>
      </c>
      <c r="E15" s="117">
        <f t="shared" si="13"/>
        <v>34</v>
      </c>
      <c r="F15" s="117">
        <v>2</v>
      </c>
      <c r="G15" s="117" t="s">
        <v>145</v>
      </c>
      <c r="H15" s="117">
        <v>32</v>
      </c>
      <c r="I15" s="117">
        <v>169.89</v>
      </c>
      <c r="J15" s="117">
        <f t="shared" si="0"/>
        <v>5776.2599999999993</v>
      </c>
      <c r="K15" s="114">
        <v>258</v>
      </c>
      <c r="L15" s="114">
        <v>2</v>
      </c>
      <c r="M15" s="114">
        <v>1232</v>
      </c>
      <c r="N15" s="114">
        <v>0</v>
      </c>
      <c r="O15" s="213">
        <f t="shared" si="1"/>
        <v>0.2857142857142857</v>
      </c>
      <c r="P15" s="117">
        <f t="shared" si="22"/>
        <v>0</v>
      </c>
      <c r="Q15" s="118">
        <v>0</v>
      </c>
      <c r="R15" s="118">
        <v>0</v>
      </c>
      <c r="S15" s="117">
        <f t="shared" si="14"/>
        <v>0</v>
      </c>
      <c r="T15" s="118">
        <v>0</v>
      </c>
      <c r="U15" s="118">
        <v>0</v>
      </c>
      <c r="V15" s="117">
        <f t="shared" si="15"/>
        <v>0</v>
      </c>
      <c r="W15" s="118">
        <v>0</v>
      </c>
      <c r="X15" s="118">
        <v>0</v>
      </c>
      <c r="Y15" s="117">
        <f t="shared" si="3"/>
        <v>0</v>
      </c>
      <c r="Z15" s="117">
        <f t="shared" si="16"/>
        <v>0</v>
      </c>
      <c r="AA15" s="119">
        <f t="shared" si="4"/>
        <v>0</v>
      </c>
      <c r="AB15" s="117">
        <f t="shared" si="17"/>
        <v>0</v>
      </c>
      <c r="AC15" s="118">
        <v>0</v>
      </c>
      <c r="AD15" s="119">
        <f t="shared" si="5"/>
        <v>0</v>
      </c>
      <c r="AE15" s="118">
        <v>0</v>
      </c>
      <c r="AF15" s="118"/>
      <c r="AG15" s="118"/>
      <c r="AH15" s="118"/>
      <c r="AI15" s="152">
        <f t="shared" si="6"/>
        <v>21.357206349206351</v>
      </c>
      <c r="AJ15" s="118">
        <v>0</v>
      </c>
      <c r="AK15" s="120">
        <f t="shared" si="18"/>
        <v>0</v>
      </c>
      <c r="AL15" s="121">
        <f t="shared" si="19"/>
        <v>-21.357206349206351</v>
      </c>
      <c r="AM15" s="122"/>
      <c r="AN15" s="123">
        <f t="shared" si="7"/>
        <v>0</v>
      </c>
      <c r="AO15" s="124">
        <f t="shared" si="8"/>
        <v>169.89</v>
      </c>
      <c r="AP15" s="124">
        <f t="shared" si="9"/>
        <v>0</v>
      </c>
      <c r="AQ15" s="124">
        <f t="shared" si="20"/>
        <v>0</v>
      </c>
      <c r="AR15" s="124">
        <f t="shared" si="21"/>
        <v>0</v>
      </c>
      <c r="AS15" s="124">
        <f t="array" ref="AS15">_xlfn.IFS(S15=0,AL15,S15&lt;0,AL15/-S15,S15&gt;0,AL15/S15)</f>
        <v>-21.357206349206351</v>
      </c>
      <c r="AT15" s="119">
        <f t="shared" si="23"/>
        <v>0</v>
      </c>
      <c r="AU15" s="119">
        <f t="shared" si="24"/>
        <v>-0.12571196862208694</v>
      </c>
      <c r="AV15" s="125"/>
      <c r="AW15" s="120">
        <f t="shared" si="12"/>
        <v>-726.14501587301595</v>
      </c>
    </row>
    <row r="16" spans="1:49" outlineLevel="1">
      <c r="A16" s="114"/>
      <c r="B16" s="115"/>
      <c r="C16" s="115"/>
      <c r="D16" s="116"/>
      <c r="E16" s="117"/>
      <c r="F16" s="117"/>
      <c r="G16" s="117"/>
      <c r="H16" s="117"/>
      <c r="I16" s="117"/>
      <c r="J16" s="117"/>
      <c r="K16" s="114"/>
      <c r="L16" s="114"/>
      <c r="M16" s="114"/>
      <c r="N16" s="114"/>
      <c r="O16" s="213"/>
      <c r="P16" s="117"/>
      <c r="Q16" s="118"/>
      <c r="R16" s="118"/>
      <c r="S16" s="117"/>
      <c r="T16" s="118"/>
      <c r="U16" s="118"/>
      <c r="V16" s="117"/>
      <c r="W16" s="118"/>
      <c r="X16" s="118"/>
      <c r="Y16" s="117"/>
      <c r="Z16" s="117"/>
      <c r="AA16" s="119"/>
      <c r="AB16" s="117"/>
      <c r="AC16" s="118"/>
      <c r="AD16" s="119"/>
      <c r="AE16" s="118"/>
      <c r="AF16" s="118"/>
      <c r="AG16" s="118"/>
      <c r="AH16" s="118"/>
      <c r="AI16" s="152"/>
      <c r="AJ16" s="118"/>
      <c r="AK16" s="120"/>
      <c r="AL16" s="121"/>
      <c r="AM16" s="122"/>
      <c r="AN16" s="123"/>
      <c r="AO16" s="124"/>
      <c r="AP16" s="124"/>
      <c r="AQ16" s="124"/>
      <c r="AR16" s="124"/>
      <c r="AS16" s="124"/>
      <c r="AT16" s="119"/>
      <c r="AU16" s="119"/>
      <c r="AV16" s="125"/>
      <c r="AW16" s="120"/>
    </row>
    <row r="17" spans="1:49" outlineLevel="1">
      <c r="A17" s="114"/>
      <c r="B17" s="115"/>
      <c r="C17" s="115"/>
      <c r="D17" s="116"/>
      <c r="E17" s="117"/>
      <c r="F17" s="117"/>
      <c r="G17" s="117"/>
      <c r="H17" s="117"/>
      <c r="I17" s="117"/>
      <c r="J17" s="117"/>
      <c r="K17" s="114"/>
      <c r="L17" s="114"/>
      <c r="M17" s="114"/>
      <c r="N17" s="114"/>
      <c r="O17" s="213"/>
      <c r="P17" s="117"/>
      <c r="Q17" s="118"/>
      <c r="R17" s="118"/>
      <c r="S17" s="117"/>
      <c r="T17" s="118"/>
      <c r="U17" s="118"/>
      <c r="V17" s="117"/>
      <c r="W17" s="118"/>
      <c r="X17" s="118"/>
      <c r="Y17" s="117"/>
      <c r="Z17" s="117"/>
      <c r="AA17" s="119"/>
      <c r="AB17" s="117"/>
      <c r="AC17" s="118"/>
      <c r="AD17" s="119"/>
      <c r="AE17" s="118"/>
      <c r="AF17" s="118"/>
      <c r="AG17" s="118"/>
      <c r="AH17" s="118"/>
      <c r="AI17" s="152"/>
      <c r="AJ17" s="118"/>
      <c r="AK17" s="120"/>
      <c r="AL17" s="121"/>
      <c r="AM17" s="122"/>
      <c r="AN17" s="123"/>
      <c r="AO17" s="124"/>
      <c r="AP17" s="124"/>
      <c r="AQ17" s="124"/>
      <c r="AR17" s="124"/>
      <c r="AS17" s="124"/>
      <c r="AT17" s="119"/>
      <c r="AU17" s="119"/>
      <c r="AV17" s="125"/>
      <c r="AW17" s="120"/>
    </row>
    <row r="18" spans="1:49" outlineLevel="1">
      <c r="A18" s="114"/>
      <c r="B18" s="115"/>
      <c r="C18" s="115"/>
      <c r="D18" s="116"/>
      <c r="E18" s="117"/>
      <c r="F18" s="117"/>
      <c r="G18" s="117"/>
      <c r="H18" s="117"/>
      <c r="I18" s="117"/>
      <c r="J18" s="117"/>
      <c r="K18" s="114"/>
      <c r="L18" s="114"/>
      <c r="M18" s="114"/>
      <c r="N18" s="114"/>
      <c r="O18" s="213"/>
      <c r="P18" s="117"/>
      <c r="Q18" s="118"/>
      <c r="R18" s="118"/>
      <c r="S18" s="117"/>
      <c r="T18" s="118"/>
      <c r="U18" s="118"/>
      <c r="V18" s="117"/>
      <c r="W18" s="118"/>
      <c r="X18" s="118"/>
      <c r="Y18" s="117"/>
      <c r="Z18" s="117"/>
      <c r="AA18" s="119"/>
      <c r="AB18" s="117"/>
      <c r="AC18" s="118"/>
      <c r="AD18" s="119"/>
      <c r="AE18" s="118"/>
      <c r="AF18" s="118"/>
      <c r="AG18" s="118"/>
      <c r="AH18" s="118"/>
      <c r="AI18" s="152"/>
      <c r="AJ18" s="118"/>
      <c r="AK18" s="120"/>
      <c r="AL18" s="121"/>
      <c r="AM18" s="122"/>
      <c r="AN18" s="123"/>
      <c r="AO18" s="124"/>
      <c r="AP18" s="124"/>
      <c r="AQ18" s="124"/>
      <c r="AR18" s="124"/>
      <c r="AS18" s="124"/>
      <c r="AT18" s="119"/>
      <c r="AU18" s="119"/>
      <c r="AV18" s="125"/>
      <c r="AW18" s="120"/>
    </row>
    <row r="19" spans="1:49" outlineLevel="1">
      <c r="A19" s="114"/>
      <c r="B19" s="115"/>
      <c r="C19" s="115"/>
      <c r="D19" s="116"/>
      <c r="E19" s="117"/>
      <c r="F19" s="117"/>
      <c r="G19" s="117"/>
      <c r="H19" s="117"/>
      <c r="I19" s="117"/>
      <c r="J19" s="117"/>
      <c r="K19" s="114"/>
      <c r="L19" s="114"/>
      <c r="M19" s="114"/>
      <c r="N19" s="114"/>
      <c r="O19" s="213"/>
      <c r="P19" s="117"/>
      <c r="Q19" s="118"/>
      <c r="R19" s="118"/>
      <c r="S19" s="117"/>
      <c r="T19" s="118"/>
      <c r="U19" s="118"/>
      <c r="V19" s="117"/>
      <c r="W19" s="118"/>
      <c r="X19" s="118"/>
      <c r="Y19" s="117"/>
      <c r="Z19" s="117"/>
      <c r="AA19" s="119"/>
      <c r="AB19" s="117"/>
      <c r="AC19" s="118"/>
      <c r="AD19" s="119"/>
      <c r="AE19" s="118"/>
      <c r="AF19" s="118"/>
      <c r="AG19" s="118"/>
      <c r="AH19" s="118"/>
      <c r="AI19" s="152"/>
      <c r="AJ19" s="118"/>
      <c r="AK19" s="120"/>
      <c r="AL19" s="121"/>
      <c r="AM19" s="122"/>
      <c r="AN19" s="123"/>
      <c r="AO19" s="124"/>
      <c r="AP19" s="124"/>
      <c r="AQ19" s="124"/>
      <c r="AR19" s="124"/>
      <c r="AS19" s="124"/>
      <c r="AT19" s="119"/>
      <c r="AU19" s="119"/>
      <c r="AV19" s="125"/>
      <c r="AW19" s="120"/>
    </row>
    <row r="20" spans="1:49" outlineLevel="1">
      <c r="A20" s="114"/>
      <c r="B20" s="115"/>
      <c r="C20" s="115"/>
      <c r="D20" s="116"/>
      <c r="E20" s="117"/>
      <c r="F20" s="117"/>
      <c r="G20" s="117"/>
      <c r="H20" s="117"/>
      <c r="I20" s="117"/>
      <c r="J20" s="117"/>
      <c r="K20" s="114"/>
      <c r="L20" s="114"/>
      <c r="M20" s="114"/>
      <c r="N20" s="114"/>
      <c r="O20" s="213"/>
      <c r="P20" s="117"/>
      <c r="Q20" s="118"/>
      <c r="R20" s="118"/>
      <c r="S20" s="117"/>
      <c r="T20" s="118"/>
      <c r="U20" s="118"/>
      <c r="V20" s="117"/>
      <c r="W20" s="118"/>
      <c r="X20" s="118"/>
      <c r="Y20" s="117"/>
      <c r="Z20" s="117"/>
      <c r="AA20" s="119"/>
      <c r="AB20" s="117"/>
      <c r="AC20" s="118"/>
      <c r="AD20" s="119"/>
      <c r="AE20" s="118"/>
      <c r="AF20" s="118"/>
      <c r="AG20" s="118"/>
      <c r="AH20" s="118"/>
      <c r="AI20" s="152"/>
      <c r="AJ20" s="118"/>
      <c r="AK20" s="120"/>
      <c r="AL20" s="121"/>
      <c r="AM20" s="122"/>
      <c r="AN20" s="123"/>
      <c r="AO20" s="124"/>
      <c r="AP20" s="124"/>
      <c r="AQ20" s="124"/>
      <c r="AR20" s="124"/>
      <c r="AS20" s="124"/>
      <c r="AT20" s="119"/>
      <c r="AU20" s="119"/>
      <c r="AV20" s="125"/>
      <c r="AW20" s="120"/>
    </row>
    <row r="21" spans="1:49" outlineLevel="1">
      <c r="A21" s="114"/>
      <c r="B21" s="115"/>
      <c r="C21" s="115"/>
      <c r="D21" s="116"/>
      <c r="E21" s="117"/>
      <c r="F21" s="117"/>
      <c r="G21" s="117"/>
      <c r="H21" s="117"/>
      <c r="I21" s="117"/>
      <c r="J21" s="117"/>
      <c r="K21" s="114"/>
      <c r="L21" s="114"/>
      <c r="M21" s="114"/>
      <c r="N21" s="114"/>
      <c r="O21" s="213"/>
      <c r="P21" s="117"/>
      <c r="Q21" s="118"/>
      <c r="R21" s="118"/>
      <c r="S21" s="117"/>
      <c r="T21" s="118"/>
      <c r="U21" s="118"/>
      <c r="V21" s="117"/>
      <c r="W21" s="118"/>
      <c r="X21" s="118"/>
      <c r="Y21" s="117"/>
      <c r="Z21" s="117"/>
      <c r="AA21" s="119"/>
      <c r="AB21" s="117"/>
      <c r="AC21" s="118"/>
      <c r="AD21" s="119"/>
      <c r="AE21" s="118"/>
      <c r="AF21" s="118"/>
      <c r="AG21" s="118"/>
      <c r="AH21" s="118"/>
      <c r="AI21" s="152"/>
      <c r="AJ21" s="118"/>
      <c r="AK21" s="120"/>
      <c r="AL21" s="121"/>
      <c r="AM21" s="122"/>
      <c r="AN21" s="123"/>
      <c r="AO21" s="124"/>
      <c r="AP21" s="124"/>
      <c r="AQ21" s="124"/>
      <c r="AR21" s="124"/>
      <c r="AS21" s="124"/>
      <c r="AT21" s="119"/>
      <c r="AU21" s="119"/>
      <c r="AV21" s="125"/>
      <c r="AW21" s="120"/>
    </row>
    <row r="22" spans="1:49" outlineLevel="1">
      <c r="A22" s="114"/>
      <c r="B22" s="115"/>
      <c r="C22" s="115"/>
      <c r="D22" s="116"/>
      <c r="E22" s="117"/>
      <c r="F22" s="117"/>
      <c r="G22" s="117"/>
      <c r="H22" s="117"/>
      <c r="I22" s="117"/>
      <c r="J22" s="117"/>
      <c r="K22" s="114"/>
      <c r="L22" s="114"/>
      <c r="M22" s="114"/>
      <c r="N22" s="114"/>
      <c r="O22" s="213"/>
      <c r="P22" s="117"/>
      <c r="Q22" s="118"/>
      <c r="R22" s="118"/>
      <c r="S22" s="117"/>
      <c r="T22" s="118"/>
      <c r="U22" s="118"/>
      <c r="V22" s="117"/>
      <c r="W22" s="118"/>
      <c r="X22" s="118"/>
      <c r="Y22" s="117"/>
      <c r="Z22" s="117"/>
      <c r="AA22" s="119"/>
      <c r="AB22" s="117"/>
      <c r="AC22" s="118"/>
      <c r="AD22" s="119"/>
      <c r="AE22" s="118"/>
      <c r="AF22" s="118"/>
      <c r="AG22" s="118"/>
      <c r="AH22" s="118"/>
      <c r="AI22" s="152"/>
      <c r="AJ22" s="118"/>
      <c r="AK22" s="120"/>
      <c r="AL22" s="121"/>
      <c r="AM22" s="122"/>
      <c r="AN22" s="123"/>
      <c r="AO22" s="124"/>
      <c r="AP22" s="124"/>
      <c r="AQ22" s="124"/>
      <c r="AR22" s="124"/>
      <c r="AS22" s="124"/>
      <c r="AT22" s="119"/>
      <c r="AU22" s="119"/>
      <c r="AV22" s="125"/>
      <c r="AW22" s="120"/>
    </row>
    <row r="23" spans="1:49" outlineLevel="1">
      <c r="A23" s="114"/>
      <c r="B23" s="115"/>
      <c r="C23" s="115"/>
      <c r="D23" s="116"/>
      <c r="E23" s="117"/>
      <c r="F23" s="117"/>
      <c r="G23" s="117"/>
      <c r="H23" s="117"/>
      <c r="I23" s="117"/>
      <c r="J23" s="117"/>
      <c r="K23" s="114"/>
      <c r="L23" s="114"/>
      <c r="M23" s="114"/>
      <c r="N23" s="114"/>
      <c r="O23" s="213"/>
      <c r="P23" s="117"/>
      <c r="Q23" s="118"/>
      <c r="R23" s="118"/>
      <c r="S23" s="117"/>
      <c r="T23" s="118"/>
      <c r="U23" s="118"/>
      <c r="V23" s="117"/>
      <c r="W23" s="118"/>
      <c r="X23" s="118"/>
      <c r="Y23" s="117"/>
      <c r="Z23" s="117"/>
      <c r="AA23" s="119"/>
      <c r="AB23" s="117"/>
      <c r="AC23" s="118"/>
      <c r="AD23" s="119"/>
      <c r="AE23" s="118"/>
      <c r="AF23" s="118"/>
      <c r="AG23" s="118"/>
      <c r="AH23" s="118"/>
      <c r="AI23" s="152"/>
      <c r="AJ23" s="118"/>
      <c r="AK23" s="120"/>
      <c r="AL23" s="121"/>
      <c r="AM23" s="122"/>
      <c r="AN23" s="123"/>
      <c r="AO23" s="124"/>
      <c r="AP23" s="124"/>
      <c r="AQ23" s="124"/>
      <c r="AR23" s="124"/>
      <c r="AS23" s="124"/>
      <c r="AT23" s="119"/>
      <c r="AU23" s="119"/>
      <c r="AV23" s="125"/>
      <c r="AW23" s="120"/>
    </row>
    <row r="24" spans="1:49" outlineLevel="1">
      <c r="A24" s="114"/>
      <c r="B24" s="115"/>
      <c r="C24" s="115"/>
      <c r="D24" s="116"/>
      <c r="E24" s="117"/>
      <c r="F24" s="117"/>
      <c r="G24" s="117"/>
      <c r="H24" s="117"/>
      <c r="I24" s="117"/>
      <c r="J24" s="117"/>
      <c r="K24" s="114"/>
      <c r="L24" s="114"/>
      <c r="M24" s="114"/>
      <c r="N24" s="114"/>
      <c r="O24" s="213"/>
      <c r="P24" s="117"/>
      <c r="Q24" s="118"/>
      <c r="R24" s="118"/>
      <c r="S24" s="117"/>
      <c r="T24" s="118"/>
      <c r="U24" s="118"/>
      <c r="V24" s="117"/>
      <c r="W24" s="118"/>
      <c r="X24" s="118"/>
      <c r="Y24" s="117"/>
      <c r="Z24" s="117"/>
      <c r="AA24" s="119"/>
      <c r="AB24" s="117"/>
      <c r="AC24" s="118"/>
      <c r="AD24" s="119"/>
      <c r="AE24" s="118"/>
      <c r="AF24" s="118"/>
      <c r="AG24" s="118"/>
      <c r="AH24" s="118"/>
      <c r="AI24" s="152"/>
      <c r="AJ24" s="118"/>
      <c r="AK24" s="120"/>
      <c r="AL24" s="121"/>
      <c r="AM24" s="122"/>
      <c r="AN24" s="123"/>
      <c r="AO24" s="124"/>
      <c r="AP24" s="124"/>
      <c r="AQ24" s="124"/>
      <c r="AR24" s="124"/>
      <c r="AS24" s="124"/>
      <c r="AT24" s="119"/>
      <c r="AU24" s="119"/>
      <c r="AV24" s="125"/>
      <c r="AW24" s="120"/>
    </row>
    <row r="25" spans="1:49" outlineLevel="1">
      <c r="A25" s="114"/>
      <c r="B25" s="115"/>
      <c r="C25" s="115"/>
      <c r="D25" s="116"/>
      <c r="E25" s="117"/>
      <c r="F25" s="117"/>
      <c r="G25" s="117"/>
      <c r="H25" s="117"/>
      <c r="I25" s="117"/>
      <c r="J25" s="117"/>
      <c r="K25" s="114"/>
      <c r="L25" s="114"/>
      <c r="M25" s="114"/>
      <c r="N25" s="114"/>
      <c r="O25" s="213"/>
      <c r="P25" s="117"/>
      <c r="Q25" s="118"/>
      <c r="R25" s="118"/>
      <c r="S25" s="117"/>
      <c r="T25" s="118"/>
      <c r="U25" s="118"/>
      <c r="V25" s="117"/>
      <c r="W25" s="118"/>
      <c r="X25" s="118"/>
      <c r="Y25" s="117"/>
      <c r="Z25" s="117"/>
      <c r="AA25" s="119"/>
      <c r="AB25" s="117"/>
      <c r="AC25" s="118"/>
      <c r="AD25" s="119"/>
      <c r="AE25" s="118"/>
      <c r="AF25" s="118"/>
      <c r="AG25" s="118"/>
      <c r="AH25" s="118"/>
      <c r="AI25" s="152"/>
      <c r="AJ25" s="118"/>
      <c r="AK25" s="120"/>
      <c r="AL25" s="121"/>
      <c r="AM25" s="122"/>
      <c r="AN25" s="123"/>
      <c r="AO25" s="124"/>
      <c r="AP25" s="124"/>
      <c r="AQ25" s="124"/>
      <c r="AR25" s="124"/>
      <c r="AS25" s="124"/>
      <c r="AT25" s="119"/>
      <c r="AU25" s="119"/>
      <c r="AV25" s="125"/>
      <c r="AW25" s="120"/>
    </row>
    <row r="26" spans="1:49" outlineLevel="1">
      <c r="A26" s="114"/>
      <c r="B26" s="115"/>
      <c r="C26" s="115"/>
      <c r="D26" s="116"/>
      <c r="E26" s="117"/>
      <c r="F26" s="117"/>
      <c r="G26" s="117"/>
      <c r="H26" s="117"/>
      <c r="I26" s="117"/>
      <c r="J26" s="117"/>
      <c r="K26" s="114"/>
      <c r="L26" s="114"/>
      <c r="M26" s="114"/>
      <c r="N26" s="114"/>
      <c r="O26" s="213"/>
      <c r="P26" s="117"/>
      <c r="Q26" s="118"/>
      <c r="R26" s="118"/>
      <c r="S26" s="117"/>
      <c r="T26" s="118"/>
      <c r="U26" s="118"/>
      <c r="V26" s="117"/>
      <c r="W26" s="118"/>
      <c r="X26" s="118"/>
      <c r="Y26" s="117"/>
      <c r="Z26" s="117"/>
      <c r="AA26" s="119"/>
      <c r="AB26" s="117"/>
      <c r="AC26" s="118"/>
      <c r="AD26" s="119"/>
      <c r="AE26" s="118"/>
      <c r="AF26" s="118"/>
      <c r="AG26" s="118"/>
      <c r="AH26" s="118"/>
      <c r="AI26" s="152"/>
      <c r="AJ26" s="118"/>
      <c r="AK26" s="120"/>
      <c r="AL26" s="121"/>
      <c r="AM26" s="122"/>
      <c r="AN26" s="123"/>
      <c r="AO26" s="124"/>
      <c r="AP26" s="124"/>
      <c r="AQ26" s="124"/>
      <c r="AR26" s="124"/>
      <c r="AS26" s="124"/>
      <c r="AT26" s="119"/>
      <c r="AU26" s="119"/>
      <c r="AV26" s="125"/>
      <c r="AW26" s="120"/>
    </row>
    <row r="27" spans="1:49" outlineLevel="1">
      <c r="A27" s="114"/>
      <c r="B27" s="115"/>
      <c r="C27" s="115"/>
      <c r="D27" s="116"/>
      <c r="E27" s="117"/>
      <c r="F27" s="117"/>
      <c r="G27" s="117"/>
      <c r="H27" s="117"/>
      <c r="I27" s="117"/>
      <c r="J27" s="117"/>
      <c r="K27" s="114"/>
      <c r="L27" s="114"/>
      <c r="M27" s="114"/>
      <c r="N27" s="114"/>
      <c r="O27" s="213"/>
      <c r="P27" s="117"/>
      <c r="Q27" s="118"/>
      <c r="R27" s="118"/>
      <c r="S27" s="117"/>
      <c r="T27" s="118"/>
      <c r="U27" s="118"/>
      <c r="V27" s="117"/>
      <c r="W27" s="118"/>
      <c r="X27" s="118"/>
      <c r="Y27" s="117"/>
      <c r="Z27" s="117"/>
      <c r="AA27" s="119"/>
      <c r="AB27" s="117"/>
      <c r="AC27" s="118"/>
      <c r="AD27" s="119"/>
      <c r="AE27" s="118"/>
      <c r="AF27" s="118"/>
      <c r="AG27" s="118"/>
      <c r="AH27" s="118"/>
      <c r="AI27" s="152"/>
      <c r="AJ27" s="118"/>
      <c r="AK27" s="120"/>
      <c r="AL27" s="121"/>
      <c r="AM27" s="122"/>
      <c r="AN27" s="123"/>
      <c r="AO27" s="124"/>
      <c r="AP27" s="124"/>
      <c r="AQ27" s="124"/>
      <c r="AR27" s="124"/>
      <c r="AS27" s="124"/>
      <c r="AT27" s="119"/>
      <c r="AU27" s="119"/>
      <c r="AV27" s="125"/>
      <c r="AW27" s="120"/>
    </row>
    <row r="28" spans="1:49" outlineLevel="1">
      <c r="A28" s="114"/>
      <c r="B28" s="115"/>
      <c r="C28" s="115"/>
      <c r="D28" s="116"/>
      <c r="E28" s="117"/>
      <c r="F28" s="117"/>
      <c r="G28" s="117"/>
      <c r="H28" s="117"/>
      <c r="I28" s="117"/>
      <c r="J28" s="117"/>
      <c r="K28" s="114"/>
      <c r="L28" s="114"/>
      <c r="M28" s="114"/>
      <c r="N28" s="114"/>
      <c r="O28" s="213"/>
      <c r="P28" s="117"/>
      <c r="Q28" s="118"/>
      <c r="R28" s="118"/>
      <c r="S28" s="117"/>
      <c r="T28" s="118"/>
      <c r="U28" s="118"/>
      <c r="V28" s="117"/>
      <c r="W28" s="118"/>
      <c r="X28" s="118"/>
      <c r="Y28" s="117"/>
      <c r="Z28" s="117"/>
      <c r="AA28" s="119"/>
      <c r="AB28" s="117"/>
      <c r="AC28" s="118"/>
      <c r="AD28" s="119"/>
      <c r="AE28" s="118"/>
      <c r="AF28" s="118"/>
      <c r="AG28" s="118"/>
      <c r="AH28" s="118"/>
      <c r="AI28" s="152"/>
      <c r="AJ28" s="118"/>
      <c r="AK28" s="120"/>
      <c r="AL28" s="121"/>
      <c r="AM28" s="122"/>
      <c r="AN28" s="123"/>
      <c r="AO28" s="124"/>
      <c r="AP28" s="124"/>
      <c r="AQ28" s="124"/>
      <c r="AR28" s="124"/>
      <c r="AS28" s="124"/>
      <c r="AT28" s="119"/>
      <c r="AU28" s="119"/>
      <c r="AV28" s="125"/>
      <c r="AW28" s="120"/>
    </row>
    <row r="29" spans="1:49" outlineLevel="1">
      <c r="A29" s="114"/>
      <c r="B29" s="115"/>
      <c r="C29" s="115"/>
      <c r="D29" s="116"/>
      <c r="E29" s="117"/>
      <c r="F29" s="117"/>
      <c r="G29" s="117"/>
      <c r="H29" s="117"/>
      <c r="I29" s="117"/>
      <c r="J29" s="117"/>
      <c r="K29" s="114"/>
      <c r="L29" s="114"/>
      <c r="M29" s="114"/>
      <c r="N29" s="114"/>
      <c r="O29" s="213"/>
      <c r="P29" s="117"/>
      <c r="Q29" s="118"/>
      <c r="R29" s="118"/>
      <c r="S29" s="117"/>
      <c r="T29" s="118"/>
      <c r="U29" s="118"/>
      <c r="V29" s="117"/>
      <c r="W29" s="118"/>
      <c r="X29" s="118"/>
      <c r="Y29" s="117"/>
      <c r="Z29" s="117"/>
      <c r="AA29" s="119"/>
      <c r="AB29" s="117"/>
      <c r="AC29" s="118"/>
      <c r="AD29" s="119"/>
      <c r="AE29" s="118"/>
      <c r="AF29" s="118"/>
      <c r="AG29" s="118"/>
      <c r="AH29" s="118"/>
      <c r="AI29" s="152"/>
      <c r="AJ29" s="118"/>
      <c r="AK29" s="120"/>
      <c r="AL29" s="121"/>
      <c r="AM29" s="122"/>
      <c r="AN29" s="123"/>
      <c r="AO29" s="124"/>
      <c r="AP29" s="124"/>
      <c r="AQ29" s="124"/>
      <c r="AR29" s="124"/>
      <c r="AS29" s="124"/>
      <c r="AT29" s="119"/>
      <c r="AU29" s="119"/>
      <c r="AV29" s="125"/>
      <c r="AW29" s="120"/>
    </row>
    <row r="30" spans="1:49" outlineLevel="1">
      <c r="A30" s="114"/>
      <c r="B30" s="115"/>
      <c r="C30" s="115"/>
      <c r="D30" s="116"/>
      <c r="E30" s="117"/>
      <c r="F30" s="117"/>
      <c r="G30" s="117"/>
      <c r="H30" s="117"/>
      <c r="I30" s="117"/>
      <c r="J30" s="117"/>
      <c r="K30" s="114"/>
      <c r="L30" s="114"/>
      <c r="M30" s="114"/>
      <c r="N30" s="114"/>
      <c r="O30" s="213"/>
      <c r="P30" s="117"/>
      <c r="Q30" s="118"/>
      <c r="R30" s="118"/>
      <c r="S30" s="117"/>
      <c r="T30" s="118"/>
      <c r="U30" s="118"/>
      <c r="V30" s="117"/>
      <c r="W30" s="118"/>
      <c r="X30" s="118"/>
      <c r="Y30" s="117"/>
      <c r="Z30" s="117"/>
      <c r="AA30" s="119"/>
      <c r="AB30" s="117"/>
      <c r="AC30" s="118"/>
      <c r="AD30" s="119"/>
      <c r="AE30" s="118"/>
      <c r="AF30" s="118"/>
      <c r="AG30" s="118"/>
      <c r="AH30" s="118"/>
      <c r="AI30" s="152"/>
      <c r="AJ30" s="118"/>
      <c r="AK30" s="120"/>
      <c r="AL30" s="121"/>
      <c r="AM30" s="122"/>
      <c r="AN30" s="123"/>
      <c r="AO30" s="124"/>
      <c r="AP30" s="124"/>
      <c r="AQ30" s="124"/>
      <c r="AR30" s="124"/>
      <c r="AS30" s="124"/>
      <c r="AT30" s="119"/>
      <c r="AU30" s="119"/>
      <c r="AV30" s="125"/>
      <c r="AW30" s="120"/>
    </row>
    <row r="31" spans="1:49" outlineLevel="1">
      <c r="A31" s="114"/>
      <c r="B31" s="115"/>
      <c r="C31" s="115"/>
      <c r="D31" s="116"/>
      <c r="E31" s="117"/>
      <c r="F31" s="117"/>
      <c r="G31" s="117"/>
      <c r="H31" s="117"/>
      <c r="I31" s="117"/>
      <c r="J31" s="117"/>
      <c r="K31" s="114"/>
      <c r="L31" s="114"/>
      <c r="M31" s="114"/>
      <c r="N31" s="114"/>
      <c r="O31" s="213"/>
      <c r="P31" s="117"/>
      <c r="Q31" s="118"/>
      <c r="R31" s="118"/>
      <c r="S31" s="117"/>
      <c r="T31" s="118"/>
      <c r="U31" s="118"/>
      <c r="V31" s="117"/>
      <c r="W31" s="118"/>
      <c r="X31" s="118"/>
      <c r="Y31" s="117"/>
      <c r="Z31" s="117"/>
      <c r="AA31" s="119"/>
      <c r="AB31" s="117"/>
      <c r="AC31" s="118"/>
      <c r="AD31" s="119"/>
      <c r="AE31" s="118"/>
      <c r="AF31" s="118"/>
      <c r="AG31" s="118"/>
      <c r="AH31" s="118"/>
      <c r="AI31" s="152"/>
      <c r="AJ31" s="118"/>
      <c r="AK31" s="120"/>
      <c r="AL31" s="121"/>
      <c r="AM31" s="122"/>
      <c r="AN31" s="123"/>
      <c r="AO31" s="124"/>
      <c r="AP31" s="124"/>
      <c r="AQ31" s="124"/>
      <c r="AR31" s="124"/>
      <c r="AS31" s="124"/>
      <c r="AT31" s="119"/>
      <c r="AU31" s="119"/>
      <c r="AV31" s="125"/>
      <c r="AW31" s="120"/>
    </row>
    <row r="32" spans="1:49" outlineLevel="1">
      <c r="A32" s="114"/>
      <c r="B32" s="115"/>
      <c r="C32" s="115"/>
      <c r="D32" s="116"/>
      <c r="E32" s="117"/>
      <c r="F32" s="117"/>
      <c r="G32" s="117"/>
      <c r="H32" s="117"/>
      <c r="I32" s="117"/>
      <c r="J32" s="117"/>
      <c r="K32" s="114"/>
      <c r="L32" s="114"/>
      <c r="M32" s="114"/>
      <c r="N32" s="114"/>
      <c r="O32" s="213"/>
      <c r="P32" s="117"/>
      <c r="Q32" s="118"/>
      <c r="R32" s="118"/>
      <c r="S32" s="117"/>
      <c r="T32" s="118"/>
      <c r="U32" s="118"/>
      <c r="V32" s="117"/>
      <c r="W32" s="118"/>
      <c r="X32" s="118"/>
      <c r="Y32" s="117"/>
      <c r="Z32" s="117"/>
      <c r="AA32" s="119"/>
      <c r="AB32" s="117"/>
      <c r="AC32" s="118"/>
      <c r="AD32" s="119"/>
      <c r="AE32" s="118"/>
      <c r="AF32" s="118"/>
      <c r="AG32" s="118"/>
      <c r="AH32" s="118"/>
      <c r="AI32" s="152"/>
      <c r="AJ32" s="118"/>
      <c r="AK32" s="120"/>
      <c r="AL32" s="121"/>
      <c r="AM32" s="122"/>
      <c r="AN32" s="123"/>
      <c r="AO32" s="124"/>
      <c r="AP32" s="124"/>
      <c r="AQ32" s="124"/>
      <c r="AR32" s="124"/>
      <c r="AS32" s="124"/>
      <c r="AT32" s="119"/>
      <c r="AU32" s="119"/>
      <c r="AV32" s="125"/>
      <c r="AW32" s="120"/>
    </row>
    <row r="33" spans="1:49" outlineLevel="1">
      <c r="A33" s="114"/>
      <c r="B33" s="115"/>
      <c r="C33" s="115"/>
      <c r="D33" s="116"/>
      <c r="E33" s="117"/>
      <c r="F33" s="117"/>
      <c r="G33" s="117"/>
      <c r="H33" s="117"/>
      <c r="I33" s="117"/>
      <c r="J33" s="117"/>
      <c r="K33" s="114"/>
      <c r="L33" s="114"/>
      <c r="M33" s="114"/>
      <c r="N33" s="114"/>
      <c r="O33" s="213"/>
      <c r="P33" s="117"/>
      <c r="Q33" s="118"/>
      <c r="R33" s="118"/>
      <c r="S33" s="117"/>
      <c r="T33" s="118"/>
      <c r="U33" s="118"/>
      <c r="V33" s="117"/>
      <c r="W33" s="118"/>
      <c r="X33" s="118"/>
      <c r="Y33" s="117"/>
      <c r="Z33" s="117"/>
      <c r="AA33" s="119"/>
      <c r="AB33" s="117"/>
      <c r="AC33" s="118"/>
      <c r="AD33" s="119"/>
      <c r="AE33" s="118"/>
      <c r="AF33" s="118"/>
      <c r="AG33" s="118"/>
      <c r="AH33" s="118"/>
      <c r="AI33" s="152"/>
      <c r="AJ33" s="118"/>
      <c r="AK33" s="120"/>
      <c r="AL33" s="121"/>
      <c r="AM33" s="122"/>
      <c r="AN33" s="123"/>
      <c r="AO33" s="124"/>
      <c r="AP33" s="124"/>
      <c r="AQ33" s="124"/>
      <c r="AR33" s="124"/>
      <c r="AS33" s="124"/>
      <c r="AT33" s="119"/>
      <c r="AU33" s="119"/>
      <c r="AV33" s="125"/>
      <c r="AW33" s="120"/>
    </row>
    <row r="34" spans="1:49" outlineLevel="1">
      <c r="A34" s="114"/>
      <c r="B34" s="115"/>
      <c r="C34" s="115"/>
      <c r="D34" s="116"/>
      <c r="E34" s="117"/>
      <c r="F34" s="117"/>
      <c r="G34" s="117"/>
      <c r="H34" s="117"/>
      <c r="I34" s="117"/>
      <c r="J34" s="117"/>
      <c r="K34" s="114"/>
      <c r="L34" s="114"/>
      <c r="M34" s="114"/>
      <c r="N34" s="114"/>
      <c r="O34" s="213"/>
      <c r="P34" s="117"/>
      <c r="Q34" s="118"/>
      <c r="R34" s="118"/>
      <c r="S34" s="117"/>
      <c r="T34" s="118"/>
      <c r="U34" s="118"/>
      <c r="V34" s="117"/>
      <c r="W34" s="118"/>
      <c r="X34" s="118"/>
      <c r="Y34" s="117"/>
      <c r="Z34" s="117"/>
      <c r="AA34" s="119"/>
      <c r="AB34" s="117"/>
      <c r="AC34" s="118"/>
      <c r="AD34" s="119"/>
      <c r="AE34" s="118"/>
      <c r="AF34" s="118"/>
      <c r="AG34" s="118"/>
      <c r="AH34" s="118"/>
      <c r="AI34" s="152"/>
      <c r="AJ34" s="118"/>
      <c r="AK34" s="120"/>
      <c r="AL34" s="121"/>
      <c r="AM34" s="122"/>
      <c r="AN34" s="123"/>
      <c r="AO34" s="124"/>
      <c r="AP34" s="124"/>
      <c r="AQ34" s="124"/>
      <c r="AR34" s="124"/>
      <c r="AS34" s="124"/>
      <c r="AT34" s="119"/>
      <c r="AU34" s="119"/>
      <c r="AV34" s="125"/>
      <c r="AW34" s="120"/>
    </row>
    <row r="35" spans="1:49" outlineLevel="1">
      <c r="A35" s="114"/>
      <c r="B35" s="115"/>
      <c r="C35" s="115"/>
      <c r="D35" s="116"/>
      <c r="E35" s="117"/>
      <c r="F35" s="117"/>
      <c r="G35" s="117"/>
      <c r="H35" s="117"/>
      <c r="I35" s="117"/>
      <c r="J35" s="117"/>
      <c r="K35" s="114"/>
      <c r="L35" s="114"/>
      <c r="M35" s="114"/>
      <c r="N35" s="114"/>
      <c r="O35" s="213"/>
      <c r="P35" s="117"/>
      <c r="Q35" s="118"/>
      <c r="R35" s="118"/>
      <c r="S35" s="117"/>
      <c r="T35" s="118"/>
      <c r="U35" s="118"/>
      <c r="V35" s="117"/>
      <c r="W35" s="118"/>
      <c r="X35" s="118"/>
      <c r="Y35" s="117"/>
      <c r="Z35" s="117"/>
      <c r="AA35" s="119"/>
      <c r="AB35" s="117"/>
      <c r="AC35" s="118"/>
      <c r="AD35" s="119"/>
      <c r="AE35" s="118"/>
      <c r="AF35" s="118"/>
      <c r="AG35" s="118"/>
      <c r="AH35" s="118"/>
      <c r="AI35" s="152"/>
      <c r="AJ35" s="118"/>
      <c r="AK35" s="120"/>
      <c r="AL35" s="121"/>
      <c r="AM35" s="122"/>
      <c r="AN35" s="123"/>
      <c r="AO35" s="124"/>
      <c r="AP35" s="124"/>
      <c r="AQ35" s="124"/>
      <c r="AR35" s="124"/>
      <c r="AS35" s="124"/>
      <c r="AT35" s="119"/>
      <c r="AU35" s="119"/>
      <c r="AV35" s="125"/>
      <c r="AW35" s="120"/>
    </row>
    <row r="36" spans="1:49" s="148" customFormat="1">
      <c r="A36" s="141" t="s">
        <v>106</v>
      </c>
      <c r="B36" s="142"/>
      <c r="C36" s="143"/>
      <c r="D36" s="143"/>
      <c r="E36" s="143">
        <f>SUM(E3:E15)</f>
        <v>2121</v>
      </c>
      <c r="F36" s="143">
        <f>SUM(F3:F15)</f>
        <v>200</v>
      </c>
      <c r="G36" s="143">
        <f>SUM(G3:G15)</f>
        <v>31</v>
      </c>
      <c r="H36" s="143">
        <f>SUM(H3:H15)</f>
        <v>1890</v>
      </c>
      <c r="I36" s="143"/>
      <c r="J36" s="143">
        <f>SUM(J3:J15)</f>
        <v>289214.72999999992</v>
      </c>
      <c r="K36" s="143"/>
      <c r="L36" s="143">
        <f>SUM(L3:L15)</f>
        <v>286</v>
      </c>
      <c r="M36" s="143"/>
      <c r="N36" s="143"/>
      <c r="O36" s="143"/>
      <c r="P36" s="143"/>
      <c r="Q36" s="143">
        <f t="shared" ref="Q36:AC36" si="25">SUM(Q3:Q15)</f>
        <v>118</v>
      </c>
      <c r="R36" s="143">
        <f t="shared" si="25"/>
        <v>-1</v>
      </c>
      <c r="S36" s="143">
        <f t="shared" si="25"/>
        <v>117</v>
      </c>
      <c r="T36" s="143">
        <f t="shared" si="25"/>
        <v>85982.959999999992</v>
      </c>
      <c r="U36" s="143">
        <f t="shared" si="25"/>
        <v>-777</v>
      </c>
      <c r="V36" s="143">
        <f t="shared" si="25"/>
        <v>85205.959999999992</v>
      </c>
      <c r="W36" s="143">
        <f t="shared" si="25"/>
        <v>132376.93</v>
      </c>
      <c r="X36" s="143">
        <f t="shared" si="25"/>
        <v>-1238</v>
      </c>
      <c r="Y36" s="143">
        <f t="shared" si="25"/>
        <v>131138.93</v>
      </c>
      <c r="Z36" s="143">
        <f t="shared" si="25"/>
        <v>208724.72</v>
      </c>
      <c r="AA36" s="144">
        <f t="shared" si="25"/>
        <v>1</v>
      </c>
      <c r="AB36" s="145">
        <f t="shared" si="25"/>
        <v>15974.009999999998</v>
      </c>
      <c r="AC36" s="145">
        <f t="shared" si="25"/>
        <v>47795.469999999994</v>
      </c>
      <c r="AD36" s="144">
        <f>AC36/Y36</f>
        <v>0.36446438902620293</v>
      </c>
      <c r="AE36" s="143">
        <f t="shared" ref="AE36:AL36" si="26">SUM(AE3:AE15)</f>
        <v>12544.649999999998</v>
      </c>
      <c r="AF36" s="143">
        <f t="shared" si="26"/>
        <v>9526</v>
      </c>
      <c r="AG36" s="143">
        <f t="shared" si="26"/>
        <v>17308</v>
      </c>
      <c r="AH36" s="143">
        <f t="shared" si="26"/>
        <v>0</v>
      </c>
      <c r="AI36" s="143">
        <f t="shared" si="26"/>
        <v>1261.4100000000001</v>
      </c>
      <c r="AJ36" s="143">
        <f t="shared" si="26"/>
        <v>0</v>
      </c>
      <c r="AK36" s="143">
        <f t="shared" si="26"/>
        <v>852.05959999999982</v>
      </c>
      <c r="AL36" s="143">
        <f t="shared" si="26"/>
        <v>25877.330399999999</v>
      </c>
      <c r="AM36" s="146"/>
      <c r="AN36" s="143"/>
      <c r="AO36" s="143"/>
      <c r="AP36" s="143"/>
      <c r="AQ36" s="143"/>
      <c r="AR36" s="143">
        <f>(AF36+AG36)/Q36</f>
        <v>227.40677966101694</v>
      </c>
      <c r="AS36" s="143"/>
      <c r="AT36" s="143"/>
      <c r="AU36" s="143"/>
      <c r="AV36" s="147"/>
      <c r="AW36" s="143">
        <f>SUM(AW3:AW6)</f>
        <v>140562.24353019983</v>
      </c>
    </row>
    <row r="37" spans="1:49">
      <c r="A37" s="114"/>
      <c r="B37" s="115"/>
      <c r="C37" s="115"/>
      <c r="D37" s="149"/>
      <c r="E37" s="118"/>
      <c r="F37" s="118"/>
      <c r="G37" s="118"/>
      <c r="H37" s="118"/>
      <c r="I37" s="118"/>
      <c r="J37" s="118"/>
      <c r="K37" s="114"/>
      <c r="L37" s="114"/>
      <c r="M37" s="114"/>
      <c r="N37" s="114"/>
      <c r="O37" s="118"/>
      <c r="P37" s="118"/>
      <c r="Q37" s="118"/>
      <c r="R37" s="118"/>
      <c r="S37" s="118"/>
      <c r="T37" s="118"/>
      <c r="U37" s="118"/>
      <c r="V37" s="118"/>
      <c r="W37" s="118"/>
      <c r="X37" s="118"/>
      <c r="Y37" s="118"/>
      <c r="Z37" s="118"/>
      <c r="AA37" s="150"/>
      <c r="AB37" s="118"/>
      <c r="AC37" s="118"/>
      <c r="AD37" s="150"/>
      <c r="AE37" s="118"/>
      <c r="AF37" s="346"/>
      <c r="AG37" s="346"/>
      <c r="AH37" s="245"/>
      <c r="AI37" s="152"/>
      <c r="AJ37" s="118"/>
      <c r="AK37" s="153"/>
      <c r="AL37" s="154"/>
      <c r="AM37" s="122"/>
      <c r="AN37" s="155"/>
      <c r="AO37" s="156"/>
      <c r="AP37" s="156"/>
      <c r="AQ37" s="156"/>
      <c r="AR37" s="156"/>
      <c r="AS37" s="156"/>
      <c r="AT37" s="157"/>
      <c r="AU37" s="157"/>
      <c r="AV37" s="125"/>
      <c r="AW37" s="153"/>
    </row>
    <row r="38" spans="1:49" hidden="1" outlineLevel="1">
      <c r="A38" s="114"/>
      <c r="B38" s="115"/>
      <c r="C38" s="115"/>
      <c r="D38" s="116"/>
      <c r="E38" s="117">
        <f t="shared" ref="E38:E69" si="27">SUM(F38:H38)</f>
        <v>0</v>
      </c>
      <c r="F38" s="117"/>
      <c r="G38" s="117"/>
      <c r="H38" s="117"/>
      <c r="I38" s="117"/>
      <c r="J38" s="117">
        <f t="shared" ref="J38:J89" si="28">E38*I38</f>
        <v>0</v>
      </c>
      <c r="K38" s="114"/>
      <c r="L38" s="114"/>
      <c r="M38" s="114"/>
      <c r="N38" s="114"/>
      <c r="O38" s="117">
        <f t="shared" ref="O38:O89" si="29">L38/7</f>
        <v>0</v>
      </c>
      <c r="P38" s="117">
        <f t="shared" ref="P38:P89" si="30">S38/7</f>
        <v>0</v>
      </c>
      <c r="Q38" s="118"/>
      <c r="R38" s="118"/>
      <c r="S38" s="117">
        <f t="shared" ref="S38:S89" si="31">Q38+R38</f>
        <v>0</v>
      </c>
      <c r="T38" s="117"/>
      <c r="U38" s="117"/>
      <c r="V38" s="117">
        <f t="shared" ref="V38:V89" si="32">T38+U38</f>
        <v>0</v>
      </c>
      <c r="W38" s="118"/>
      <c r="X38" s="118"/>
      <c r="Y38" s="117">
        <f t="shared" ref="Y38:Y89" si="33">W38+X38</f>
        <v>0</v>
      </c>
      <c r="Z38" s="117">
        <f t="shared" ref="Z38:Z84" si="34">L38*M38*N38/100</f>
        <v>0</v>
      </c>
      <c r="AA38" s="119">
        <f>Y38/$Y$93</f>
        <v>0</v>
      </c>
      <c r="AB38" s="117">
        <f t="shared" ref="AB38:AB89" si="35">S38*I38</f>
        <v>0</v>
      </c>
      <c r="AC38" s="118"/>
      <c r="AD38" s="119">
        <f t="shared" ref="AD38:AD89" si="36">IF(Y38=0,0,AC38/Y38)</f>
        <v>0</v>
      </c>
      <c r="AE38" s="118"/>
      <c r="AF38" s="118"/>
      <c r="AG38" s="118"/>
      <c r="AH38" s="118"/>
      <c r="AI38" s="152">
        <f t="shared" ref="AI38:AI89" si="37">$AI$93*H38/$H$93</f>
        <v>0</v>
      </c>
      <c r="AJ38" s="118"/>
      <c r="AK38" s="120">
        <f t="shared" ref="AK38:AK89" si="38">V38*1%</f>
        <v>0</v>
      </c>
      <c r="AL38" s="121">
        <f t="shared" ref="AL38:AL89" si="39">Y38-AB38-AC38-AE38-AF38-AG38-AH38-AI38-AK38-AJ38</f>
        <v>0</v>
      </c>
      <c r="AM38" s="122"/>
      <c r="AN38" s="123">
        <f t="shared" ref="AN38:AN89" si="40">IF(S38=0,0,Y38/S38)</f>
        <v>0</v>
      </c>
      <c r="AO38" s="124">
        <f t="shared" ref="AO38:AO89" si="41">I38</f>
        <v>0</v>
      </c>
      <c r="AP38" s="124">
        <f t="shared" ref="AP38:AP89" si="42">IF(S38=0,0,AC38/S38)</f>
        <v>0</v>
      </c>
      <c r="AQ38" s="124">
        <f t="shared" ref="AQ38:AQ89" si="43">IF(Q38=0,AE38/1,AE38/Q38)</f>
        <v>0</v>
      </c>
      <c r="AR38" s="124">
        <f t="shared" ref="AR38:AR89" si="44">IF(Q38=0,0,(AF38+AG38)/Q38)</f>
        <v>0</v>
      </c>
      <c r="AS38" s="124">
        <f t="array" ref="AS38">_xlfn.IFS(S38=0,AL38,S38&lt;0,AL38/-S38,S38&gt;0,AL38/S38)</f>
        <v>0</v>
      </c>
      <c r="AT38" s="119">
        <f t="shared" ref="AT38:AT89" si="45">IF(AN38=0,0,AS38/AN38)</f>
        <v>0</v>
      </c>
      <c r="AU38" s="119">
        <f t="shared" ref="AU38:AU89" si="46">IF(AO38=0,0,AS38/AO38)</f>
        <v>0</v>
      </c>
      <c r="AV38" s="125"/>
      <c r="AW38" s="120">
        <f t="shared" ref="AW38:AW89" si="47">AS38*E38</f>
        <v>0</v>
      </c>
    </row>
    <row r="39" spans="1:49" hidden="1" outlineLevel="1">
      <c r="A39" s="114"/>
      <c r="B39" s="115"/>
      <c r="C39" s="115"/>
      <c r="D39" s="116"/>
      <c r="E39" s="117">
        <f t="shared" si="27"/>
        <v>0</v>
      </c>
      <c r="F39" s="117"/>
      <c r="G39" s="117"/>
      <c r="H39" s="117"/>
      <c r="I39" s="117"/>
      <c r="J39" s="117">
        <f t="shared" si="28"/>
        <v>0</v>
      </c>
      <c r="K39" s="114"/>
      <c r="L39" s="114"/>
      <c r="M39" s="114"/>
      <c r="N39" s="114"/>
      <c r="O39" s="117">
        <f t="shared" si="29"/>
        <v>0</v>
      </c>
      <c r="P39" s="117">
        <f t="shared" si="30"/>
        <v>0</v>
      </c>
      <c r="Q39" s="118"/>
      <c r="R39" s="118"/>
      <c r="S39" s="117">
        <f t="shared" si="31"/>
        <v>0</v>
      </c>
      <c r="T39" s="117"/>
      <c r="U39" s="117"/>
      <c r="V39" s="117">
        <f t="shared" si="32"/>
        <v>0</v>
      </c>
      <c r="W39" s="118"/>
      <c r="X39" s="118"/>
      <c r="Y39" s="117">
        <f t="shared" si="33"/>
        <v>0</v>
      </c>
      <c r="Z39" s="117">
        <f t="shared" si="34"/>
        <v>0</v>
      </c>
      <c r="AA39" s="119">
        <f t="shared" ref="AA39:AA89" si="48">Y39/$Y$93</f>
        <v>0</v>
      </c>
      <c r="AB39" s="117">
        <f t="shared" si="35"/>
        <v>0</v>
      </c>
      <c r="AC39" s="118"/>
      <c r="AD39" s="119">
        <f t="shared" si="36"/>
        <v>0</v>
      </c>
      <c r="AE39" s="118"/>
      <c r="AF39" s="118"/>
      <c r="AG39" s="118"/>
      <c r="AH39" s="118"/>
      <c r="AI39" s="152">
        <f t="shared" si="37"/>
        <v>0</v>
      </c>
      <c r="AJ39" s="118"/>
      <c r="AK39" s="120">
        <f t="shared" si="38"/>
        <v>0</v>
      </c>
      <c r="AL39" s="121">
        <f t="shared" si="39"/>
        <v>0</v>
      </c>
      <c r="AM39" s="122"/>
      <c r="AN39" s="123">
        <f t="shared" si="40"/>
        <v>0</v>
      </c>
      <c r="AO39" s="124">
        <f t="shared" si="41"/>
        <v>0</v>
      </c>
      <c r="AP39" s="124">
        <f t="shared" si="42"/>
        <v>0</v>
      </c>
      <c r="AQ39" s="124">
        <f t="shared" si="43"/>
        <v>0</v>
      </c>
      <c r="AR39" s="124">
        <f t="shared" si="44"/>
        <v>0</v>
      </c>
      <c r="AS39" s="124">
        <f t="array" ref="AS39">_xlfn.IFS(S39=0,AL39,S39&lt;0,AL39/-S39,S39&gt;0,AL39/S39)</f>
        <v>0</v>
      </c>
      <c r="AT39" s="119">
        <f t="shared" si="45"/>
        <v>0</v>
      </c>
      <c r="AU39" s="119">
        <f t="shared" si="46"/>
        <v>0</v>
      </c>
      <c r="AV39" s="125"/>
      <c r="AW39" s="120">
        <f t="shared" si="47"/>
        <v>0</v>
      </c>
    </row>
    <row r="40" spans="1:49" hidden="1" outlineLevel="1">
      <c r="A40" s="114"/>
      <c r="B40" s="115"/>
      <c r="C40" s="115"/>
      <c r="D40" s="116"/>
      <c r="E40" s="117">
        <f t="shared" si="27"/>
        <v>0</v>
      </c>
      <c r="F40" s="117"/>
      <c r="G40" s="117"/>
      <c r="H40" s="117"/>
      <c r="I40" s="117"/>
      <c r="J40" s="117">
        <f t="shared" si="28"/>
        <v>0</v>
      </c>
      <c r="K40" s="114"/>
      <c r="L40" s="114"/>
      <c r="M40" s="114"/>
      <c r="N40" s="114"/>
      <c r="O40" s="117">
        <f t="shared" si="29"/>
        <v>0</v>
      </c>
      <c r="P40" s="117">
        <f t="shared" si="30"/>
        <v>0</v>
      </c>
      <c r="Q40" s="118"/>
      <c r="R40" s="118"/>
      <c r="S40" s="117">
        <f t="shared" si="31"/>
        <v>0</v>
      </c>
      <c r="T40" s="117"/>
      <c r="U40" s="117"/>
      <c r="V40" s="117">
        <f t="shared" si="32"/>
        <v>0</v>
      </c>
      <c r="W40" s="118"/>
      <c r="X40" s="118"/>
      <c r="Y40" s="117">
        <f t="shared" si="33"/>
        <v>0</v>
      </c>
      <c r="Z40" s="117">
        <f t="shared" si="34"/>
        <v>0</v>
      </c>
      <c r="AA40" s="119">
        <f t="shared" si="48"/>
        <v>0</v>
      </c>
      <c r="AB40" s="117">
        <f t="shared" si="35"/>
        <v>0</v>
      </c>
      <c r="AC40" s="118"/>
      <c r="AD40" s="119">
        <f t="shared" si="36"/>
        <v>0</v>
      </c>
      <c r="AE40" s="118"/>
      <c r="AF40" s="118"/>
      <c r="AG40" s="118"/>
      <c r="AH40" s="118"/>
      <c r="AI40" s="152">
        <f t="shared" si="37"/>
        <v>0</v>
      </c>
      <c r="AJ40" s="118"/>
      <c r="AK40" s="120">
        <f t="shared" si="38"/>
        <v>0</v>
      </c>
      <c r="AL40" s="121">
        <f t="shared" si="39"/>
        <v>0</v>
      </c>
      <c r="AM40" s="122"/>
      <c r="AN40" s="123">
        <f t="shared" si="40"/>
        <v>0</v>
      </c>
      <c r="AO40" s="124">
        <f t="shared" si="41"/>
        <v>0</v>
      </c>
      <c r="AP40" s="124">
        <f t="shared" si="42"/>
        <v>0</v>
      </c>
      <c r="AQ40" s="124">
        <f t="shared" si="43"/>
        <v>0</v>
      </c>
      <c r="AR40" s="124">
        <f t="shared" si="44"/>
        <v>0</v>
      </c>
      <c r="AS40" s="124">
        <f t="array" ref="AS40">_xlfn.IFS(S40=0,AL40,S40&lt;0,AL40/-S40,S40&gt;0,AL40/S40)</f>
        <v>0</v>
      </c>
      <c r="AT40" s="119">
        <f t="shared" si="45"/>
        <v>0</v>
      </c>
      <c r="AU40" s="119">
        <f t="shared" si="46"/>
        <v>0</v>
      </c>
      <c r="AV40" s="125"/>
      <c r="AW40" s="120">
        <f t="shared" si="47"/>
        <v>0</v>
      </c>
    </row>
    <row r="41" spans="1:49" hidden="1" outlineLevel="1">
      <c r="A41" s="114"/>
      <c r="B41" s="115"/>
      <c r="C41" s="115"/>
      <c r="D41" s="116"/>
      <c r="E41" s="117">
        <f t="shared" si="27"/>
        <v>0</v>
      </c>
      <c r="F41" s="117"/>
      <c r="G41" s="117"/>
      <c r="H41" s="117"/>
      <c r="I41" s="117"/>
      <c r="J41" s="117">
        <f t="shared" si="28"/>
        <v>0</v>
      </c>
      <c r="K41" s="114"/>
      <c r="L41" s="114"/>
      <c r="M41" s="114"/>
      <c r="N41" s="114"/>
      <c r="O41" s="117">
        <f t="shared" si="29"/>
        <v>0</v>
      </c>
      <c r="P41" s="117">
        <f t="shared" si="30"/>
        <v>0</v>
      </c>
      <c r="Q41" s="118"/>
      <c r="R41" s="118"/>
      <c r="S41" s="117">
        <f t="shared" si="31"/>
        <v>0</v>
      </c>
      <c r="T41" s="117"/>
      <c r="U41" s="117"/>
      <c r="V41" s="117">
        <f t="shared" si="32"/>
        <v>0</v>
      </c>
      <c r="W41" s="118"/>
      <c r="X41" s="118"/>
      <c r="Y41" s="117">
        <f t="shared" si="33"/>
        <v>0</v>
      </c>
      <c r="Z41" s="117">
        <f t="shared" si="34"/>
        <v>0</v>
      </c>
      <c r="AA41" s="119">
        <f t="shared" si="48"/>
        <v>0</v>
      </c>
      <c r="AB41" s="117">
        <f t="shared" si="35"/>
        <v>0</v>
      </c>
      <c r="AC41" s="118"/>
      <c r="AD41" s="119">
        <f t="shared" si="36"/>
        <v>0</v>
      </c>
      <c r="AE41" s="118"/>
      <c r="AF41" s="118"/>
      <c r="AG41" s="118"/>
      <c r="AH41" s="118"/>
      <c r="AI41" s="152">
        <f t="shared" si="37"/>
        <v>0</v>
      </c>
      <c r="AJ41" s="118"/>
      <c r="AK41" s="120">
        <f t="shared" si="38"/>
        <v>0</v>
      </c>
      <c r="AL41" s="121">
        <f t="shared" si="39"/>
        <v>0</v>
      </c>
      <c r="AM41" s="122"/>
      <c r="AN41" s="123">
        <f t="shared" si="40"/>
        <v>0</v>
      </c>
      <c r="AO41" s="124">
        <f t="shared" si="41"/>
        <v>0</v>
      </c>
      <c r="AP41" s="124">
        <f t="shared" si="42"/>
        <v>0</v>
      </c>
      <c r="AQ41" s="124">
        <f t="shared" si="43"/>
        <v>0</v>
      </c>
      <c r="AR41" s="124">
        <f t="shared" si="44"/>
        <v>0</v>
      </c>
      <c r="AS41" s="124">
        <f t="array" ref="AS41">_xlfn.IFS(S41=0,AL41,S41&lt;0,AL41/-S41,S41&gt;0,AL41/S41)</f>
        <v>0</v>
      </c>
      <c r="AT41" s="119">
        <f t="shared" si="45"/>
        <v>0</v>
      </c>
      <c r="AU41" s="119">
        <f t="shared" si="46"/>
        <v>0</v>
      </c>
      <c r="AV41" s="125"/>
      <c r="AW41" s="120">
        <f t="shared" si="47"/>
        <v>0</v>
      </c>
    </row>
    <row r="42" spans="1:49" hidden="1" outlineLevel="1">
      <c r="A42" s="114"/>
      <c r="B42" s="115"/>
      <c r="C42" s="115"/>
      <c r="D42" s="116"/>
      <c r="E42" s="117">
        <f t="shared" si="27"/>
        <v>0</v>
      </c>
      <c r="F42" s="117"/>
      <c r="G42" s="117"/>
      <c r="H42" s="117"/>
      <c r="I42" s="117"/>
      <c r="J42" s="117">
        <f t="shared" si="28"/>
        <v>0</v>
      </c>
      <c r="K42" s="114"/>
      <c r="L42" s="114"/>
      <c r="M42" s="114"/>
      <c r="N42" s="114"/>
      <c r="O42" s="117">
        <f t="shared" si="29"/>
        <v>0</v>
      </c>
      <c r="P42" s="117">
        <f t="shared" si="30"/>
        <v>0</v>
      </c>
      <c r="Q42" s="118"/>
      <c r="R42" s="118"/>
      <c r="S42" s="117">
        <f t="shared" si="31"/>
        <v>0</v>
      </c>
      <c r="T42" s="117"/>
      <c r="U42" s="117"/>
      <c r="V42" s="117">
        <f t="shared" si="32"/>
        <v>0</v>
      </c>
      <c r="W42" s="118"/>
      <c r="X42" s="118"/>
      <c r="Y42" s="117">
        <f t="shared" si="33"/>
        <v>0</v>
      </c>
      <c r="Z42" s="117">
        <f t="shared" si="34"/>
        <v>0</v>
      </c>
      <c r="AA42" s="119">
        <f t="shared" si="48"/>
        <v>0</v>
      </c>
      <c r="AB42" s="117">
        <f t="shared" si="35"/>
        <v>0</v>
      </c>
      <c r="AC42" s="118"/>
      <c r="AD42" s="119">
        <f t="shared" si="36"/>
        <v>0</v>
      </c>
      <c r="AE42" s="118"/>
      <c r="AF42" s="118"/>
      <c r="AG42" s="118"/>
      <c r="AH42" s="118"/>
      <c r="AI42" s="152">
        <f t="shared" si="37"/>
        <v>0</v>
      </c>
      <c r="AJ42" s="118"/>
      <c r="AK42" s="120">
        <f t="shared" si="38"/>
        <v>0</v>
      </c>
      <c r="AL42" s="121">
        <f t="shared" si="39"/>
        <v>0</v>
      </c>
      <c r="AM42" s="122"/>
      <c r="AN42" s="123">
        <f t="shared" si="40"/>
        <v>0</v>
      </c>
      <c r="AO42" s="124">
        <f t="shared" si="41"/>
        <v>0</v>
      </c>
      <c r="AP42" s="124">
        <f t="shared" si="42"/>
        <v>0</v>
      </c>
      <c r="AQ42" s="124">
        <f t="shared" si="43"/>
        <v>0</v>
      </c>
      <c r="AR42" s="124">
        <f t="shared" si="44"/>
        <v>0</v>
      </c>
      <c r="AS42" s="124">
        <f t="array" ref="AS42">_xlfn.IFS(S42=0,AL42,S42&lt;0,AL42/-S42,S42&gt;0,AL42/S42)</f>
        <v>0</v>
      </c>
      <c r="AT42" s="119">
        <f t="shared" si="45"/>
        <v>0</v>
      </c>
      <c r="AU42" s="119">
        <f t="shared" si="46"/>
        <v>0</v>
      </c>
      <c r="AV42" s="125"/>
      <c r="AW42" s="120">
        <f t="shared" si="47"/>
        <v>0</v>
      </c>
    </row>
    <row r="43" spans="1:49" hidden="1" outlineLevel="1">
      <c r="A43" s="114"/>
      <c r="B43" s="115"/>
      <c r="C43" s="115"/>
      <c r="D43" s="116"/>
      <c r="E43" s="117">
        <f t="shared" si="27"/>
        <v>0</v>
      </c>
      <c r="F43" s="117"/>
      <c r="G43" s="117"/>
      <c r="H43" s="117"/>
      <c r="I43" s="117"/>
      <c r="J43" s="117">
        <f t="shared" si="28"/>
        <v>0</v>
      </c>
      <c r="K43" s="114"/>
      <c r="L43" s="114"/>
      <c r="M43" s="114"/>
      <c r="N43" s="114"/>
      <c r="O43" s="117">
        <f t="shared" si="29"/>
        <v>0</v>
      </c>
      <c r="P43" s="117">
        <f t="shared" si="30"/>
        <v>0</v>
      </c>
      <c r="Q43" s="118"/>
      <c r="R43" s="118"/>
      <c r="S43" s="117">
        <f t="shared" si="31"/>
        <v>0</v>
      </c>
      <c r="T43" s="117"/>
      <c r="U43" s="117"/>
      <c r="V43" s="117">
        <f t="shared" si="32"/>
        <v>0</v>
      </c>
      <c r="W43" s="118"/>
      <c r="X43" s="118"/>
      <c r="Y43" s="117">
        <f t="shared" si="33"/>
        <v>0</v>
      </c>
      <c r="Z43" s="117">
        <f t="shared" si="34"/>
        <v>0</v>
      </c>
      <c r="AA43" s="119">
        <f t="shared" si="48"/>
        <v>0</v>
      </c>
      <c r="AB43" s="117">
        <f t="shared" si="35"/>
        <v>0</v>
      </c>
      <c r="AC43" s="118"/>
      <c r="AD43" s="119">
        <f t="shared" si="36"/>
        <v>0</v>
      </c>
      <c r="AE43" s="118"/>
      <c r="AF43" s="118"/>
      <c r="AG43" s="118"/>
      <c r="AH43" s="118"/>
      <c r="AI43" s="152">
        <f t="shared" si="37"/>
        <v>0</v>
      </c>
      <c r="AJ43" s="118"/>
      <c r="AK43" s="120">
        <f t="shared" si="38"/>
        <v>0</v>
      </c>
      <c r="AL43" s="121">
        <f t="shared" si="39"/>
        <v>0</v>
      </c>
      <c r="AM43" s="122"/>
      <c r="AN43" s="123">
        <f t="shared" si="40"/>
        <v>0</v>
      </c>
      <c r="AO43" s="124">
        <f t="shared" si="41"/>
        <v>0</v>
      </c>
      <c r="AP43" s="124">
        <f t="shared" si="42"/>
        <v>0</v>
      </c>
      <c r="AQ43" s="124">
        <f t="shared" si="43"/>
        <v>0</v>
      </c>
      <c r="AR43" s="124">
        <f t="shared" si="44"/>
        <v>0</v>
      </c>
      <c r="AS43" s="124">
        <f t="array" ref="AS43">_xlfn.IFS(S43=0,AL43,S43&lt;0,AL43/-S43,S43&gt;0,AL43/S43)</f>
        <v>0</v>
      </c>
      <c r="AT43" s="119">
        <f t="shared" si="45"/>
        <v>0</v>
      </c>
      <c r="AU43" s="119">
        <f t="shared" si="46"/>
        <v>0</v>
      </c>
      <c r="AV43" s="125"/>
      <c r="AW43" s="120">
        <f t="shared" si="47"/>
        <v>0</v>
      </c>
    </row>
    <row r="44" spans="1:49" hidden="1" outlineLevel="1">
      <c r="A44" s="114"/>
      <c r="B44" s="115"/>
      <c r="C44" s="115"/>
      <c r="D44" s="116"/>
      <c r="E44" s="117">
        <f t="shared" si="27"/>
        <v>0</v>
      </c>
      <c r="F44" s="117"/>
      <c r="G44" s="117"/>
      <c r="H44" s="117"/>
      <c r="I44" s="117"/>
      <c r="J44" s="117">
        <f t="shared" si="28"/>
        <v>0</v>
      </c>
      <c r="K44" s="114"/>
      <c r="L44" s="114"/>
      <c r="M44" s="114"/>
      <c r="N44" s="114"/>
      <c r="O44" s="117">
        <f t="shared" si="29"/>
        <v>0</v>
      </c>
      <c r="P44" s="117">
        <f t="shared" si="30"/>
        <v>0</v>
      </c>
      <c r="Q44" s="118"/>
      <c r="R44" s="118"/>
      <c r="S44" s="117">
        <f t="shared" si="31"/>
        <v>0</v>
      </c>
      <c r="T44" s="117"/>
      <c r="U44" s="117"/>
      <c r="V44" s="117">
        <f t="shared" si="32"/>
        <v>0</v>
      </c>
      <c r="W44" s="118"/>
      <c r="X44" s="118"/>
      <c r="Y44" s="117">
        <f t="shared" si="33"/>
        <v>0</v>
      </c>
      <c r="Z44" s="117">
        <f t="shared" si="34"/>
        <v>0</v>
      </c>
      <c r="AA44" s="119">
        <f t="shared" si="48"/>
        <v>0</v>
      </c>
      <c r="AB44" s="117">
        <f t="shared" si="35"/>
        <v>0</v>
      </c>
      <c r="AC44" s="118"/>
      <c r="AD44" s="119">
        <f t="shared" si="36"/>
        <v>0</v>
      </c>
      <c r="AE44" s="118"/>
      <c r="AF44" s="118"/>
      <c r="AG44" s="118"/>
      <c r="AH44" s="118"/>
      <c r="AI44" s="152">
        <f t="shared" si="37"/>
        <v>0</v>
      </c>
      <c r="AJ44" s="118"/>
      <c r="AK44" s="120">
        <f t="shared" si="38"/>
        <v>0</v>
      </c>
      <c r="AL44" s="121">
        <f t="shared" si="39"/>
        <v>0</v>
      </c>
      <c r="AM44" s="122"/>
      <c r="AN44" s="123">
        <f t="shared" si="40"/>
        <v>0</v>
      </c>
      <c r="AO44" s="124">
        <f t="shared" si="41"/>
        <v>0</v>
      </c>
      <c r="AP44" s="124">
        <f t="shared" si="42"/>
        <v>0</v>
      </c>
      <c r="AQ44" s="124">
        <f t="shared" si="43"/>
        <v>0</v>
      </c>
      <c r="AR44" s="124">
        <f t="shared" si="44"/>
        <v>0</v>
      </c>
      <c r="AS44" s="124">
        <f t="array" ref="AS44">_xlfn.IFS(S44=0,AL44,S44&lt;0,AL44/-S44,S44&gt;0,AL44/S44)</f>
        <v>0</v>
      </c>
      <c r="AT44" s="119">
        <f t="shared" si="45"/>
        <v>0</v>
      </c>
      <c r="AU44" s="119">
        <f t="shared" si="46"/>
        <v>0</v>
      </c>
      <c r="AV44" s="125"/>
      <c r="AW44" s="120">
        <f t="shared" si="47"/>
        <v>0</v>
      </c>
    </row>
    <row r="45" spans="1:49" hidden="1" outlineLevel="1">
      <c r="A45" s="114"/>
      <c r="B45" s="115"/>
      <c r="C45" s="115"/>
      <c r="D45" s="116"/>
      <c r="E45" s="117">
        <f t="shared" si="27"/>
        <v>0</v>
      </c>
      <c r="F45" s="117"/>
      <c r="G45" s="117"/>
      <c r="H45" s="117"/>
      <c r="I45" s="117"/>
      <c r="J45" s="117">
        <f t="shared" si="28"/>
        <v>0</v>
      </c>
      <c r="K45" s="114"/>
      <c r="L45" s="114"/>
      <c r="M45" s="114"/>
      <c r="N45" s="114"/>
      <c r="O45" s="117">
        <f t="shared" si="29"/>
        <v>0</v>
      </c>
      <c r="P45" s="117">
        <f t="shared" si="30"/>
        <v>0</v>
      </c>
      <c r="Q45" s="118"/>
      <c r="R45" s="118"/>
      <c r="S45" s="117">
        <f t="shared" si="31"/>
        <v>0</v>
      </c>
      <c r="T45" s="117"/>
      <c r="U45" s="117"/>
      <c r="V45" s="117">
        <f t="shared" si="32"/>
        <v>0</v>
      </c>
      <c r="W45" s="118"/>
      <c r="X45" s="118"/>
      <c r="Y45" s="117">
        <f t="shared" si="33"/>
        <v>0</v>
      </c>
      <c r="Z45" s="117">
        <f t="shared" si="34"/>
        <v>0</v>
      </c>
      <c r="AA45" s="119">
        <f t="shared" si="48"/>
        <v>0</v>
      </c>
      <c r="AB45" s="117">
        <f t="shared" si="35"/>
        <v>0</v>
      </c>
      <c r="AC45" s="118"/>
      <c r="AD45" s="119">
        <f t="shared" si="36"/>
        <v>0</v>
      </c>
      <c r="AE45" s="118"/>
      <c r="AF45" s="118"/>
      <c r="AG45" s="118"/>
      <c r="AH45" s="118"/>
      <c r="AI45" s="152">
        <f t="shared" si="37"/>
        <v>0</v>
      </c>
      <c r="AJ45" s="118"/>
      <c r="AK45" s="120">
        <f t="shared" si="38"/>
        <v>0</v>
      </c>
      <c r="AL45" s="121">
        <f t="shared" si="39"/>
        <v>0</v>
      </c>
      <c r="AM45" s="122"/>
      <c r="AN45" s="123">
        <f t="shared" si="40"/>
        <v>0</v>
      </c>
      <c r="AO45" s="124">
        <f t="shared" si="41"/>
        <v>0</v>
      </c>
      <c r="AP45" s="124">
        <f t="shared" si="42"/>
        <v>0</v>
      </c>
      <c r="AQ45" s="124">
        <f t="shared" si="43"/>
        <v>0</v>
      </c>
      <c r="AR45" s="124">
        <f t="shared" si="44"/>
        <v>0</v>
      </c>
      <c r="AS45" s="124">
        <f t="array" ref="AS45">_xlfn.IFS(S45=0,AL45,S45&lt;0,AL45/-S45,S45&gt;0,AL45/S45)</f>
        <v>0</v>
      </c>
      <c r="AT45" s="119">
        <f t="shared" si="45"/>
        <v>0</v>
      </c>
      <c r="AU45" s="119">
        <f t="shared" si="46"/>
        <v>0</v>
      </c>
      <c r="AV45" s="125"/>
      <c r="AW45" s="120">
        <f t="shared" si="47"/>
        <v>0</v>
      </c>
    </row>
    <row r="46" spans="1:49" hidden="1" outlineLevel="1">
      <c r="A46" s="114"/>
      <c r="B46" s="115"/>
      <c r="C46" s="115"/>
      <c r="D46" s="116"/>
      <c r="E46" s="117">
        <f t="shared" si="27"/>
        <v>0</v>
      </c>
      <c r="F46" s="117"/>
      <c r="G46" s="117"/>
      <c r="H46" s="117"/>
      <c r="I46" s="117"/>
      <c r="J46" s="117">
        <f t="shared" si="28"/>
        <v>0</v>
      </c>
      <c r="K46" s="114"/>
      <c r="L46" s="114"/>
      <c r="M46" s="114"/>
      <c r="N46" s="114"/>
      <c r="O46" s="117">
        <f t="shared" si="29"/>
        <v>0</v>
      </c>
      <c r="P46" s="117">
        <f t="shared" si="30"/>
        <v>0</v>
      </c>
      <c r="Q46" s="118"/>
      <c r="R46" s="118"/>
      <c r="S46" s="117">
        <f t="shared" si="31"/>
        <v>0</v>
      </c>
      <c r="T46" s="117"/>
      <c r="U46" s="117"/>
      <c r="V46" s="117">
        <f t="shared" si="32"/>
        <v>0</v>
      </c>
      <c r="W46" s="118"/>
      <c r="X46" s="118"/>
      <c r="Y46" s="117">
        <f t="shared" si="33"/>
        <v>0</v>
      </c>
      <c r="Z46" s="117">
        <f t="shared" si="34"/>
        <v>0</v>
      </c>
      <c r="AA46" s="119">
        <f t="shared" si="48"/>
        <v>0</v>
      </c>
      <c r="AB46" s="117">
        <f t="shared" si="35"/>
        <v>0</v>
      </c>
      <c r="AC46" s="118"/>
      <c r="AD46" s="119">
        <f t="shared" si="36"/>
        <v>0</v>
      </c>
      <c r="AE46" s="118"/>
      <c r="AF46" s="118"/>
      <c r="AG46" s="118"/>
      <c r="AH46" s="118"/>
      <c r="AI46" s="152">
        <f t="shared" si="37"/>
        <v>0</v>
      </c>
      <c r="AJ46" s="118"/>
      <c r="AK46" s="120">
        <f t="shared" si="38"/>
        <v>0</v>
      </c>
      <c r="AL46" s="121">
        <f t="shared" si="39"/>
        <v>0</v>
      </c>
      <c r="AM46" s="122"/>
      <c r="AN46" s="123">
        <f t="shared" si="40"/>
        <v>0</v>
      </c>
      <c r="AO46" s="124">
        <f t="shared" si="41"/>
        <v>0</v>
      </c>
      <c r="AP46" s="124">
        <f t="shared" si="42"/>
        <v>0</v>
      </c>
      <c r="AQ46" s="124">
        <f t="shared" si="43"/>
        <v>0</v>
      </c>
      <c r="AR46" s="124">
        <f t="shared" si="44"/>
        <v>0</v>
      </c>
      <c r="AS46" s="124">
        <f t="array" ref="AS46">_xlfn.IFS(S46=0,AL46,S46&lt;0,AL46/-S46,S46&gt;0,AL46/S46)</f>
        <v>0</v>
      </c>
      <c r="AT46" s="119">
        <f t="shared" si="45"/>
        <v>0</v>
      </c>
      <c r="AU46" s="119">
        <f t="shared" si="46"/>
        <v>0</v>
      </c>
      <c r="AV46" s="125"/>
      <c r="AW46" s="120">
        <f t="shared" si="47"/>
        <v>0</v>
      </c>
    </row>
    <row r="47" spans="1:49" hidden="1" outlineLevel="1">
      <c r="A47" s="114"/>
      <c r="B47" s="115"/>
      <c r="C47" s="115"/>
      <c r="D47" s="116"/>
      <c r="E47" s="117">
        <f t="shared" si="27"/>
        <v>0</v>
      </c>
      <c r="F47" s="117"/>
      <c r="G47" s="117"/>
      <c r="H47" s="117"/>
      <c r="I47" s="117"/>
      <c r="J47" s="117">
        <f t="shared" si="28"/>
        <v>0</v>
      </c>
      <c r="K47" s="114"/>
      <c r="L47" s="114"/>
      <c r="M47" s="114"/>
      <c r="N47" s="114"/>
      <c r="O47" s="117">
        <f t="shared" si="29"/>
        <v>0</v>
      </c>
      <c r="P47" s="117">
        <f t="shared" si="30"/>
        <v>0</v>
      </c>
      <c r="Q47" s="118"/>
      <c r="R47" s="118"/>
      <c r="S47" s="117">
        <f t="shared" si="31"/>
        <v>0</v>
      </c>
      <c r="T47" s="117"/>
      <c r="U47" s="117"/>
      <c r="V47" s="117">
        <f t="shared" si="32"/>
        <v>0</v>
      </c>
      <c r="W47" s="118"/>
      <c r="X47" s="118"/>
      <c r="Y47" s="117">
        <f t="shared" si="33"/>
        <v>0</v>
      </c>
      <c r="Z47" s="117">
        <f t="shared" si="34"/>
        <v>0</v>
      </c>
      <c r="AA47" s="119">
        <f t="shared" si="48"/>
        <v>0</v>
      </c>
      <c r="AB47" s="117">
        <f t="shared" si="35"/>
        <v>0</v>
      </c>
      <c r="AC47" s="118"/>
      <c r="AD47" s="119">
        <f t="shared" si="36"/>
        <v>0</v>
      </c>
      <c r="AE47" s="118"/>
      <c r="AF47" s="118"/>
      <c r="AG47" s="118"/>
      <c r="AH47" s="118"/>
      <c r="AI47" s="152">
        <f t="shared" si="37"/>
        <v>0</v>
      </c>
      <c r="AJ47" s="118"/>
      <c r="AK47" s="120">
        <f t="shared" si="38"/>
        <v>0</v>
      </c>
      <c r="AL47" s="121">
        <f t="shared" si="39"/>
        <v>0</v>
      </c>
      <c r="AM47" s="122"/>
      <c r="AN47" s="123">
        <f t="shared" si="40"/>
        <v>0</v>
      </c>
      <c r="AO47" s="124">
        <f t="shared" si="41"/>
        <v>0</v>
      </c>
      <c r="AP47" s="124">
        <f t="shared" si="42"/>
        <v>0</v>
      </c>
      <c r="AQ47" s="124">
        <f t="shared" si="43"/>
        <v>0</v>
      </c>
      <c r="AR47" s="124">
        <f t="shared" si="44"/>
        <v>0</v>
      </c>
      <c r="AS47" s="124">
        <f t="array" ref="AS47">_xlfn.IFS(S47=0,AL47,S47&lt;0,AL47/-S47,S47&gt;0,AL47/S47)</f>
        <v>0</v>
      </c>
      <c r="AT47" s="119">
        <f t="shared" si="45"/>
        <v>0</v>
      </c>
      <c r="AU47" s="119">
        <f t="shared" si="46"/>
        <v>0</v>
      </c>
      <c r="AV47" s="125"/>
      <c r="AW47" s="120">
        <f t="shared" si="47"/>
        <v>0</v>
      </c>
    </row>
    <row r="48" spans="1:49" hidden="1" outlineLevel="1">
      <c r="A48" s="114"/>
      <c r="B48" s="115"/>
      <c r="C48" s="115"/>
      <c r="D48" s="116"/>
      <c r="E48" s="117">
        <f t="shared" si="27"/>
        <v>0</v>
      </c>
      <c r="F48" s="117"/>
      <c r="G48" s="117"/>
      <c r="H48" s="117"/>
      <c r="I48" s="117"/>
      <c r="J48" s="117">
        <f t="shared" si="28"/>
        <v>0</v>
      </c>
      <c r="K48" s="114"/>
      <c r="L48" s="114"/>
      <c r="M48" s="114"/>
      <c r="N48" s="114"/>
      <c r="O48" s="117">
        <f t="shared" si="29"/>
        <v>0</v>
      </c>
      <c r="P48" s="117">
        <f t="shared" si="30"/>
        <v>0</v>
      </c>
      <c r="Q48" s="118"/>
      <c r="R48" s="118"/>
      <c r="S48" s="117">
        <f t="shared" si="31"/>
        <v>0</v>
      </c>
      <c r="T48" s="117"/>
      <c r="U48" s="117"/>
      <c r="V48" s="117">
        <f t="shared" si="32"/>
        <v>0</v>
      </c>
      <c r="W48" s="118"/>
      <c r="X48" s="118"/>
      <c r="Y48" s="117">
        <f t="shared" si="33"/>
        <v>0</v>
      </c>
      <c r="Z48" s="117">
        <f t="shared" si="34"/>
        <v>0</v>
      </c>
      <c r="AA48" s="119">
        <f t="shared" si="48"/>
        <v>0</v>
      </c>
      <c r="AB48" s="117">
        <f t="shared" si="35"/>
        <v>0</v>
      </c>
      <c r="AC48" s="118"/>
      <c r="AD48" s="119">
        <f t="shared" si="36"/>
        <v>0</v>
      </c>
      <c r="AE48" s="118"/>
      <c r="AF48" s="118"/>
      <c r="AG48" s="118"/>
      <c r="AH48" s="118"/>
      <c r="AI48" s="152">
        <f t="shared" si="37"/>
        <v>0</v>
      </c>
      <c r="AJ48" s="118"/>
      <c r="AK48" s="120">
        <f t="shared" si="38"/>
        <v>0</v>
      </c>
      <c r="AL48" s="121">
        <f t="shared" si="39"/>
        <v>0</v>
      </c>
      <c r="AM48" s="122"/>
      <c r="AN48" s="123">
        <f t="shared" si="40"/>
        <v>0</v>
      </c>
      <c r="AO48" s="124">
        <f t="shared" si="41"/>
        <v>0</v>
      </c>
      <c r="AP48" s="124">
        <f t="shared" si="42"/>
        <v>0</v>
      </c>
      <c r="AQ48" s="124">
        <f t="shared" si="43"/>
        <v>0</v>
      </c>
      <c r="AR48" s="124">
        <f t="shared" si="44"/>
        <v>0</v>
      </c>
      <c r="AS48" s="124">
        <f t="array" ref="AS48">_xlfn.IFS(S48=0,AL48,S48&lt;0,AL48/-S48,S48&gt;0,AL48/S48)</f>
        <v>0</v>
      </c>
      <c r="AT48" s="119">
        <f t="shared" si="45"/>
        <v>0</v>
      </c>
      <c r="AU48" s="119">
        <f t="shared" si="46"/>
        <v>0</v>
      </c>
      <c r="AV48" s="125"/>
      <c r="AW48" s="120">
        <f t="shared" si="47"/>
        <v>0</v>
      </c>
    </row>
    <row r="49" spans="1:49" hidden="1" outlineLevel="1">
      <c r="A49" s="114"/>
      <c r="B49" s="115"/>
      <c r="C49" s="115"/>
      <c r="D49" s="116"/>
      <c r="E49" s="117">
        <f t="shared" si="27"/>
        <v>0</v>
      </c>
      <c r="F49" s="117"/>
      <c r="G49" s="117"/>
      <c r="H49" s="117"/>
      <c r="I49" s="117"/>
      <c r="J49" s="117">
        <f t="shared" si="28"/>
        <v>0</v>
      </c>
      <c r="K49" s="114"/>
      <c r="L49" s="114"/>
      <c r="M49" s="114"/>
      <c r="N49" s="114"/>
      <c r="O49" s="117">
        <f t="shared" si="29"/>
        <v>0</v>
      </c>
      <c r="P49" s="117">
        <f t="shared" si="30"/>
        <v>0</v>
      </c>
      <c r="Q49" s="118"/>
      <c r="R49" s="118"/>
      <c r="S49" s="117">
        <f t="shared" si="31"/>
        <v>0</v>
      </c>
      <c r="T49" s="117"/>
      <c r="U49" s="117"/>
      <c r="V49" s="117">
        <f t="shared" si="32"/>
        <v>0</v>
      </c>
      <c r="W49" s="118"/>
      <c r="X49" s="118"/>
      <c r="Y49" s="117">
        <f t="shared" si="33"/>
        <v>0</v>
      </c>
      <c r="Z49" s="117">
        <f t="shared" si="34"/>
        <v>0</v>
      </c>
      <c r="AA49" s="119">
        <f t="shared" si="48"/>
        <v>0</v>
      </c>
      <c r="AB49" s="117">
        <f t="shared" si="35"/>
        <v>0</v>
      </c>
      <c r="AC49" s="118"/>
      <c r="AD49" s="119">
        <f t="shared" si="36"/>
        <v>0</v>
      </c>
      <c r="AE49" s="118"/>
      <c r="AF49" s="118"/>
      <c r="AG49" s="118"/>
      <c r="AH49" s="118"/>
      <c r="AI49" s="152">
        <f t="shared" si="37"/>
        <v>0</v>
      </c>
      <c r="AJ49" s="118"/>
      <c r="AK49" s="120">
        <f t="shared" si="38"/>
        <v>0</v>
      </c>
      <c r="AL49" s="121">
        <f t="shared" si="39"/>
        <v>0</v>
      </c>
      <c r="AM49" s="122"/>
      <c r="AN49" s="123">
        <f t="shared" si="40"/>
        <v>0</v>
      </c>
      <c r="AO49" s="124">
        <f t="shared" si="41"/>
        <v>0</v>
      </c>
      <c r="AP49" s="124">
        <f t="shared" si="42"/>
        <v>0</v>
      </c>
      <c r="AQ49" s="124">
        <f t="shared" si="43"/>
        <v>0</v>
      </c>
      <c r="AR49" s="124">
        <f t="shared" si="44"/>
        <v>0</v>
      </c>
      <c r="AS49" s="124">
        <f t="array" ref="AS49">_xlfn.IFS(S49=0,AL49,S49&lt;0,AL49/-S49,S49&gt;0,AL49/S49)</f>
        <v>0</v>
      </c>
      <c r="AT49" s="119">
        <f t="shared" si="45"/>
        <v>0</v>
      </c>
      <c r="AU49" s="119">
        <f t="shared" si="46"/>
        <v>0</v>
      </c>
      <c r="AV49" s="125"/>
      <c r="AW49" s="120">
        <f t="shared" si="47"/>
        <v>0</v>
      </c>
    </row>
    <row r="50" spans="1:49" hidden="1" outlineLevel="1">
      <c r="A50" s="114"/>
      <c r="B50" s="115"/>
      <c r="C50" s="115"/>
      <c r="D50" s="116"/>
      <c r="E50" s="117">
        <f t="shared" si="27"/>
        <v>0</v>
      </c>
      <c r="F50" s="117"/>
      <c r="G50" s="117"/>
      <c r="H50" s="117"/>
      <c r="I50" s="117"/>
      <c r="J50" s="117">
        <f t="shared" si="28"/>
        <v>0</v>
      </c>
      <c r="K50" s="114"/>
      <c r="L50" s="114"/>
      <c r="M50" s="114"/>
      <c r="N50" s="114"/>
      <c r="O50" s="117">
        <f t="shared" si="29"/>
        <v>0</v>
      </c>
      <c r="P50" s="117">
        <f t="shared" si="30"/>
        <v>0</v>
      </c>
      <c r="Q50" s="118"/>
      <c r="R50" s="118"/>
      <c r="S50" s="117">
        <f t="shared" si="31"/>
        <v>0</v>
      </c>
      <c r="T50" s="117"/>
      <c r="U50" s="117"/>
      <c r="V50" s="117">
        <f t="shared" si="32"/>
        <v>0</v>
      </c>
      <c r="W50" s="118"/>
      <c r="X50" s="118"/>
      <c r="Y50" s="117">
        <f t="shared" si="33"/>
        <v>0</v>
      </c>
      <c r="Z50" s="117">
        <f t="shared" si="34"/>
        <v>0</v>
      </c>
      <c r="AA50" s="119">
        <f t="shared" si="48"/>
        <v>0</v>
      </c>
      <c r="AB50" s="117">
        <f t="shared" si="35"/>
        <v>0</v>
      </c>
      <c r="AC50" s="118"/>
      <c r="AD50" s="119">
        <f t="shared" si="36"/>
        <v>0</v>
      </c>
      <c r="AE50" s="118"/>
      <c r="AF50" s="118"/>
      <c r="AG50" s="118"/>
      <c r="AH50" s="118"/>
      <c r="AI50" s="152">
        <f t="shared" si="37"/>
        <v>0</v>
      </c>
      <c r="AJ50" s="118"/>
      <c r="AK50" s="120">
        <f t="shared" si="38"/>
        <v>0</v>
      </c>
      <c r="AL50" s="121">
        <f t="shared" si="39"/>
        <v>0</v>
      </c>
      <c r="AM50" s="122"/>
      <c r="AN50" s="123">
        <f t="shared" si="40"/>
        <v>0</v>
      </c>
      <c r="AO50" s="124">
        <f t="shared" si="41"/>
        <v>0</v>
      </c>
      <c r="AP50" s="124">
        <f t="shared" si="42"/>
        <v>0</v>
      </c>
      <c r="AQ50" s="124">
        <f t="shared" si="43"/>
        <v>0</v>
      </c>
      <c r="AR50" s="124">
        <f t="shared" si="44"/>
        <v>0</v>
      </c>
      <c r="AS50" s="124">
        <f t="array" ref="AS50">_xlfn.IFS(S50=0,AL50,S50&lt;0,AL50/-S50,S50&gt;0,AL50/S50)</f>
        <v>0</v>
      </c>
      <c r="AT50" s="119">
        <f t="shared" si="45"/>
        <v>0</v>
      </c>
      <c r="AU50" s="119">
        <f t="shared" si="46"/>
        <v>0</v>
      </c>
      <c r="AV50" s="125"/>
      <c r="AW50" s="120">
        <f t="shared" si="47"/>
        <v>0</v>
      </c>
    </row>
    <row r="51" spans="1:49" hidden="1" outlineLevel="1">
      <c r="A51" s="114"/>
      <c r="B51" s="115"/>
      <c r="C51" s="115"/>
      <c r="D51" s="116"/>
      <c r="E51" s="117">
        <f t="shared" si="27"/>
        <v>0</v>
      </c>
      <c r="F51" s="117"/>
      <c r="G51" s="117"/>
      <c r="H51" s="117"/>
      <c r="I51" s="117"/>
      <c r="J51" s="117">
        <f t="shared" si="28"/>
        <v>0</v>
      </c>
      <c r="K51" s="114"/>
      <c r="L51" s="114"/>
      <c r="M51" s="114"/>
      <c r="N51" s="114"/>
      <c r="O51" s="117">
        <f t="shared" si="29"/>
        <v>0</v>
      </c>
      <c r="P51" s="117">
        <f t="shared" si="30"/>
        <v>0</v>
      </c>
      <c r="Q51" s="118"/>
      <c r="R51" s="118"/>
      <c r="S51" s="117">
        <f t="shared" si="31"/>
        <v>0</v>
      </c>
      <c r="T51" s="117"/>
      <c r="U51" s="117"/>
      <c r="V51" s="117">
        <f t="shared" si="32"/>
        <v>0</v>
      </c>
      <c r="W51" s="118"/>
      <c r="X51" s="118"/>
      <c r="Y51" s="117">
        <f t="shared" si="33"/>
        <v>0</v>
      </c>
      <c r="Z51" s="117">
        <f t="shared" si="34"/>
        <v>0</v>
      </c>
      <c r="AA51" s="119">
        <f t="shared" si="48"/>
        <v>0</v>
      </c>
      <c r="AB51" s="117">
        <f t="shared" si="35"/>
        <v>0</v>
      </c>
      <c r="AC51" s="118"/>
      <c r="AD51" s="119">
        <f t="shared" si="36"/>
        <v>0</v>
      </c>
      <c r="AE51" s="118"/>
      <c r="AF51" s="118"/>
      <c r="AG51" s="118"/>
      <c r="AH51" s="118"/>
      <c r="AI51" s="152">
        <f t="shared" si="37"/>
        <v>0</v>
      </c>
      <c r="AJ51" s="118"/>
      <c r="AK51" s="120">
        <f t="shared" si="38"/>
        <v>0</v>
      </c>
      <c r="AL51" s="121">
        <f t="shared" si="39"/>
        <v>0</v>
      </c>
      <c r="AM51" s="122"/>
      <c r="AN51" s="123">
        <f t="shared" si="40"/>
        <v>0</v>
      </c>
      <c r="AO51" s="124">
        <f t="shared" si="41"/>
        <v>0</v>
      </c>
      <c r="AP51" s="124">
        <f t="shared" si="42"/>
        <v>0</v>
      </c>
      <c r="AQ51" s="124">
        <f t="shared" si="43"/>
        <v>0</v>
      </c>
      <c r="AR51" s="124">
        <f t="shared" si="44"/>
        <v>0</v>
      </c>
      <c r="AS51" s="124">
        <f t="array" ref="AS51">_xlfn.IFS(S51=0,AL51,S51&lt;0,AL51/-S51,S51&gt;0,AL51/S51)</f>
        <v>0</v>
      </c>
      <c r="AT51" s="119">
        <f t="shared" si="45"/>
        <v>0</v>
      </c>
      <c r="AU51" s="119">
        <f t="shared" si="46"/>
        <v>0</v>
      </c>
      <c r="AV51" s="125"/>
      <c r="AW51" s="120">
        <f t="shared" si="47"/>
        <v>0</v>
      </c>
    </row>
    <row r="52" spans="1:49" hidden="1" outlineLevel="1">
      <c r="A52" s="114"/>
      <c r="B52" s="115"/>
      <c r="C52" s="115"/>
      <c r="D52" s="116"/>
      <c r="E52" s="117">
        <f t="shared" si="27"/>
        <v>0</v>
      </c>
      <c r="F52" s="117"/>
      <c r="G52" s="117"/>
      <c r="H52" s="117"/>
      <c r="I52" s="117"/>
      <c r="J52" s="117">
        <f t="shared" si="28"/>
        <v>0</v>
      </c>
      <c r="K52" s="114"/>
      <c r="L52" s="114"/>
      <c r="M52" s="114"/>
      <c r="N52" s="114"/>
      <c r="O52" s="117">
        <f t="shared" si="29"/>
        <v>0</v>
      </c>
      <c r="P52" s="117">
        <f t="shared" si="30"/>
        <v>0</v>
      </c>
      <c r="Q52" s="118"/>
      <c r="R52" s="118"/>
      <c r="S52" s="117">
        <f t="shared" si="31"/>
        <v>0</v>
      </c>
      <c r="T52" s="117"/>
      <c r="U52" s="117"/>
      <c r="V52" s="117">
        <f t="shared" si="32"/>
        <v>0</v>
      </c>
      <c r="W52" s="118"/>
      <c r="X52" s="118"/>
      <c r="Y52" s="117">
        <f t="shared" si="33"/>
        <v>0</v>
      </c>
      <c r="Z52" s="117">
        <f t="shared" si="34"/>
        <v>0</v>
      </c>
      <c r="AA52" s="119">
        <f t="shared" si="48"/>
        <v>0</v>
      </c>
      <c r="AB52" s="117">
        <f t="shared" si="35"/>
        <v>0</v>
      </c>
      <c r="AC52" s="118"/>
      <c r="AD52" s="119">
        <f t="shared" si="36"/>
        <v>0</v>
      </c>
      <c r="AE52" s="118"/>
      <c r="AF52" s="118"/>
      <c r="AG52" s="118"/>
      <c r="AH52" s="118"/>
      <c r="AI52" s="152">
        <f t="shared" si="37"/>
        <v>0</v>
      </c>
      <c r="AJ52" s="118"/>
      <c r="AK52" s="120">
        <f t="shared" si="38"/>
        <v>0</v>
      </c>
      <c r="AL52" s="121">
        <f t="shared" si="39"/>
        <v>0</v>
      </c>
      <c r="AM52" s="122"/>
      <c r="AN52" s="123">
        <f t="shared" si="40"/>
        <v>0</v>
      </c>
      <c r="AO52" s="124">
        <f t="shared" si="41"/>
        <v>0</v>
      </c>
      <c r="AP52" s="124">
        <f t="shared" si="42"/>
        <v>0</v>
      </c>
      <c r="AQ52" s="124">
        <f t="shared" si="43"/>
        <v>0</v>
      </c>
      <c r="AR52" s="124">
        <f t="shared" si="44"/>
        <v>0</v>
      </c>
      <c r="AS52" s="124">
        <f t="array" ref="AS52">_xlfn.IFS(S52=0,AL52,S52&lt;0,AL52/-S52,S52&gt;0,AL52/S52)</f>
        <v>0</v>
      </c>
      <c r="AT52" s="119">
        <f t="shared" si="45"/>
        <v>0</v>
      </c>
      <c r="AU52" s="119">
        <f t="shared" si="46"/>
        <v>0</v>
      </c>
      <c r="AV52" s="125"/>
      <c r="AW52" s="120">
        <f t="shared" si="47"/>
        <v>0</v>
      </c>
    </row>
    <row r="53" spans="1:49" hidden="1" outlineLevel="1">
      <c r="A53" s="114"/>
      <c r="B53" s="115"/>
      <c r="C53" s="115"/>
      <c r="D53" s="116"/>
      <c r="E53" s="117">
        <f t="shared" si="27"/>
        <v>0</v>
      </c>
      <c r="F53" s="117"/>
      <c r="G53" s="117"/>
      <c r="H53" s="117"/>
      <c r="I53" s="117"/>
      <c r="J53" s="117">
        <f t="shared" si="28"/>
        <v>0</v>
      </c>
      <c r="K53" s="114"/>
      <c r="L53" s="114"/>
      <c r="M53" s="114"/>
      <c r="N53" s="114"/>
      <c r="O53" s="117">
        <f t="shared" si="29"/>
        <v>0</v>
      </c>
      <c r="P53" s="117">
        <f t="shared" si="30"/>
        <v>0</v>
      </c>
      <c r="Q53" s="118"/>
      <c r="R53" s="118"/>
      <c r="S53" s="117">
        <f t="shared" si="31"/>
        <v>0</v>
      </c>
      <c r="T53" s="117"/>
      <c r="U53" s="117"/>
      <c r="V53" s="117">
        <f t="shared" si="32"/>
        <v>0</v>
      </c>
      <c r="W53" s="118"/>
      <c r="X53" s="118"/>
      <c r="Y53" s="117">
        <f t="shared" si="33"/>
        <v>0</v>
      </c>
      <c r="Z53" s="117">
        <f t="shared" si="34"/>
        <v>0</v>
      </c>
      <c r="AA53" s="119">
        <f t="shared" si="48"/>
        <v>0</v>
      </c>
      <c r="AB53" s="117">
        <f t="shared" si="35"/>
        <v>0</v>
      </c>
      <c r="AC53" s="118"/>
      <c r="AD53" s="119">
        <f t="shared" si="36"/>
        <v>0</v>
      </c>
      <c r="AE53" s="118"/>
      <c r="AF53" s="118"/>
      <c r="AG53" s="118"/>
      <c r="AH53" s="118"/>
      <c r="AI53" s="152">
        <f t="shared" si="37"/>
        <v>0</v>
      </c>
      <c r="AJ53" s="118"/>
      <c r="AK53" s="120">
        <f t="shared" si="38"/>
        <v>0</v>
      </c>
      <c r="AL53" s="121">
        <f t="shared" si="39"/>
        <v>0</v>
      </c>
      <c r="AM53" s="122"/>
      <c r="AN53" s="123">
        <f t="shared" si="40"/>
        <v>0</v>
      </c>
      <c r="AO53" s="124">
        <f t="shared" si="41"/>
        <v>0</v>
      </c>
      <c r="AP53" s="124">
        <f t="shared" si="42"/>
        <v>0</v>
      </c>
      <c r="AQ53" s="124">
        <f t="shared" si="43"/>
        <v>0</v>
      </c>
      <c r="AR53" s="124">
        <f t="shared" si="44"/>
        <v>0</v>
      </c>
      <c r="AS53" s="124">
        <f t="array" ref="AS53">_xlfn.IFS(S53=0,AL53,S53&lt;0,AL53/-S53,S53&gt;0,AL53/S53)</f>
        <v>0</v>
      </c>
      <c r="AT53" s="119">
        <f t="shared" si="45"/>
        <v>0</v>
      </c>
      <c r="AU53" s="119">
        <f t="shared" si="46"/>
        <v>0</v>
      </c>
      <c r="AV53" s="125"/>
      <c r="AW53" s="120">
        <f t="shared" si="47"/>
        <v>0</v>
      </c>
    </row>
    <row r="54" spans="1:49" hidden="1" outlineLevel="1">
      <c r="A54" s="114"/>
      <c r="B54" s="115"/>
      <c r="C54" s="115"/>
      <c r="D54" s="116"/>
      <c r="E54" s="117">
        <f t="shared" si="27"/>
        <v>0</v>
      </c>
      <c r="F54" s="117"/>
      <c r="G54" s="117"/>
      <c r="H54" s="117"/>
      <c r="I54" s="117"/>
      <c r="J54" s="117">
        <f t="shared" si="28"/>
        <v>0</v>
      </c>
      <c r="K54" s="114"/>
      <c r="L54" s="114"/>
      <c r="M54" s="114"/>
      <c r="N54" s="114"/>
      <c r="O54" s="117">
        <f t="shared" si="29"/>
        <v>0</v>
      </c>
      <c r="P54" s="117">
        <f t="shared" si="30"/>
        <v>0</v>
      </c>
      <c r="Q54" s="118"/>
      <c r="R54" s="118"/>
      <c r="S54" s="117">
        <f t="shared" si="31"/>
        <v>0</v>
      </c>
      <c r="T54" s="117"/>
      <c r="U54" s="117"/>
      <c r="V54" s="117">
        <f t="shared" si="32"/>
        <v>0</v>
      </c>
      <c r="W54" s="118"/>
      <c r="X54" s="118"/>
      <c r="Y54" s="117">
        <f t="shared" si="33"/>
        <v>0</v>
      </c>
      <c r="Z54" s="117">
        <f t="shared" si="34"/>
        <v>0</v>
      </c>
      <c r="AA54" s="119">
        <f t="shared" si="48"/>
        <v>0</v>
      </c>
      <c r="AB54" s="117">
        <f t="shared" si="35"/>
        <v>0</v>
      </c>
      <c r="AC54" s="118"/>
      <c r="AD54" s="119">
        <f t="shared" si="36"/>
        <v>0</v>
      </c>
      <c r="AE54" s="118"/>
      <c r="AF54" s="118"/>
      <c r="AG54" s="118"/>
      <c r="AH54" s="118"/>
      <c r="AI54" s="152">
        <f t="shared" si="37"/>
        <v>0</v>
      </c>
      <c r="AJ54" s="118"/>
      <c r="AK54" s="120">
        <f t="shared" si="38"/>
        <v>0</v>
      </c>
      <c r="AL54" s="121">
        <f t="shared" si="39"/>
        <v>0</v>
      </c>
      <c r="AM54" s="122"/>
      <c r="AN54" s="123">
        <f t="shared" si="40"/>
        <v>0</v>
      </c>
      <c r="AO54" s="124">
        <f t="shared" si="41"/>
        <v>0</v>
      </c>
      <c r="AP54" s="124">
        <f t="shared" si="42"/>
        <v>0</v>
      </c>
      <c r="AQ54" s="124">
        <f t="shared" si="43"/>
        <v>0</v>
      </c>
      <c r="AR54" s="124">
        <f t="shared" si="44"/>
        <v>0</v>
      </c>
      <c r="AS54" s="124">
        <f t="array" ref="AS54">_xlfn.IFS(S54=0,AL54,S54&lt;0,AL54/-S54,S54&gt;0,AL54/S54)</f>
        <v>0</v>
      </c>
      <c r="AT54" s="119">
        <f t="shared" si="45"/>
        <v>0</v>
      </c>
      <c r="AU54" s="119">
        <f t="shared" si="46"/>
        <v>0</v>
      </c>
      <c r="AV54" s="125"/>
      <c r="AW54" s="120">
        <f t="shared" si="47"/>
        <v>0</v>
      </c>
    </row>
    <row r="55" spans="1:49" hidden="1" outlineLevel="1">
      <c r="A55" s="114"/>
      <c r="B55" s="115"/>
      <c r="C55" s="115"/>
      <c r="D55" s="116"/>
      <c r="E55" s="117">
        <f t="shared" si="27"/>
        <v>0</v>
      </c>
      <c r="F55" s="117"/>
      <c r="G55" s="117"/>
      <c r="H55" s="117"/>
      <c r="I55" s="117"/>
      <c r="J55" s="117">
        <f t="shared" si="28"/>
        <v>0</v>
      </c>
      <c r="K55" s="114"/>
      <c r="L55" s="114"/>
      <c r="M55" s="114"/>
      <c r="N55" s="114"/>
      <c r="O55" s="117">
        <f t="shared" si="29"/>
        <v>0</v>
      </c>
      <c r="P55" s="117">
        <f t="shared" si="30"/>
        <v>0</v>
      </c>
      <c r="Q55" s="118"/>
      <c r="R55" s="118"/>
      <c r="S55" s="117">
        <f t="shared" si="31"/>
        <v>0</v>
      </c>
      <c r="T55" s="117"/>
      <c r="U55" s="117"/>
      <c r="V55" s="117">
        <f t="shared" si="32"/>
        <v>0</v>
      </c>
      <c r="W55" s="118"/>
      <c r="X55" s="118"/>
      <c r="Y55" s="117">
        <f t="shared" si="33"/>
        <v>0</v>
      </c>
      <c r="Z55" s="117">
        <f t="shared" si="34"/>
        <v>0</v>
      </c>
      <c r="AA55" s="119">
        <f t="shared" si="48"/>
        <v>0</v>
      </c>
      <c r="AB55" s="117">
        <f t="shared" si="35"/>
        <v>0</v>
      </c>
      <c r="AC55" s="118"/>
      <c r="AD55" s="119">
        <f t="shared" si="36"/>
        <v>0</v>
      </c>
      <c r="AE55" s="118"/>
      <c r="AF55" s="118"/>
      <c r="AG55" s="118"/>
      <c r="AH55" s="118"/>
      <c r="AI55" s="152">
        <f t="shared" si="37"/>
        <v>0</v>
      </c>
      <c r="AJ55" s="118"/>
      <c r="AK55" s="120">
        <f t="shared" si="38"/>
        <v>0</v>
      </c>
      <c r="AL55" s="121">
        <f t="shared" si="39"/>
        <v>0</v>
      </c>
      <c r="AM55" s="122"/>
      <c r="AN55" s="123">
        <f t="shared" si="40"/>
        <v>0</v>
      </c>
      <c r="AO55" s="124">
        <f t="shared" si="41"/>
        <v>0</v>
      </c>
      <c r="AP55" s="124">
        <f t="shared" si="42"/>
        <v>0</v>
      </c>
      <c r="AQ55" s="124">
        <f t="shared" si="43"/>
        <v>0</v>
      </c>
      <c r="AR55" s="124">
        <f t="shared" si="44"/>
        <v>0</v>
      </c>
      <c r="AS55" s="124">
        <f t="array" ref="AS55">_xlfn.IFS(S55=0,AL55,S55&lt;0,AL55/-S55,S55&gt;0,AL55/S55)</f>
        <v>0</v>
      </c>
      <c r="AT55" s="119">
        <f t="shared" si="45"/>
        <v>0</v>
      </c>
      <c r="AU55" s="119">
        <f t="shared" si="46"/>
        <v>0</v>
      </c>
      <c r="AV55" s="125"/>
      <c r="AW55" s="120">
        <f t="shared" si="47"/>
        <v>0</v>
      </c>
    </row>
    <row r="56" spans="1:49" hidden="1" outlineLevel="1">
      <c r="A56" s="114"/>
      <c r="B56" s="115"/>
      <c r="C56" s="115"/>
      <c r="D56" s="116"/>
      <c r="E56" s="117">
        <f t="shared" si="27"/>
        <v>0</v>
      </c>
      <c r="F56" s="117"/>
      <c r="G56" s="117"/>
      <c r="H56" s="117"/>
      <c r="I56" s="117"/>
      <c r="J56" s="117">
        <f t="shared" si="28"/>
        <v>0</v>
      </c>
      <c r="K56" s="114"/>
      <c r="L56" s="114"/>
      <c r="M56" s="114"/>
      <c r="N56" s="114"/>
      <c r="O56" s="117">
        <f t="shared" si="29"/>
        <v>0</v>
      </c>
      <c r="P56" s="117">
        <f t="shared" si="30"/>
        <v>0</v>
      </c>
      <c r="Q56" s="118"/>
      <c r="R56" s="118"/>
      <c r="S56" s="117">
        <f t="shared" si="31"/>
        <v>0</v>
      </c>
      <c r="T56" s="117"/>
      <c r="U56" s="117"/>
      <c r="V56" s="117">
        <f t="shared" si="32"/>
        <v>0</v>
      </c>
      <c r="W56" s="118"/>
      <c r="X56" s="118"/>
      <c r="Y56" s="117">
        <f t="shared" si="33"/>
        <v>0</v>
      </c>
      <c r="Z56" s="117">
        <f t="shared" si="34"/>
        <v>0</v>
      </c>
      <c r="AA56" s="119">
        <f t="shared" si="48"/>
        <v>0</v>
      </c>
      <c r="AB56" s="117">
        <f t="shared" si="35"/>
        <v>0</v>
      </c>
      <c r="AC56" s="118"/>
      <c r="AD56" s="119">
        <f t="shared" si="36"/>
        <v>0</v>
      </c>
      <c r="AE56" s="118"/>
      <c r="AF56" s="118"/>
      <c r="AG56" s="118"/>
      <c r="AH56" s="118"/>
      <c r="AI56" s="152">
        <f t="shared" si="37"/>
        <v>0</v>
      </c>
      <c r="AJ56" s="118"/>
      <c r="AK56" s="120">
        <f t="shared" si="38"/>
        <v>0</v>
      </c>
      <c r="AL56" s="121">
        <f t="shared" si="39"/>
        <v>0</v>
      </c>
      <c r="AM56" s="122"/>
      <c r="AN56" s="123">
        <f t="shared" si="40"/>
        <v>0</v>
      </c>
      <c r="AO56" s="124">
        <f t="shared" si="41"/>
        <v>0</v>
      </c>
      <c r="AP56" s="124">
        <f t="shared" si="42"/>
        <v>0</v>
      </c>
      <c r="AQ56" s="124">
        <f t="shared" si="43"/>
        <v>0</v>
      </c>
      <c r="AR56" s="124">
        <f t="shared" si="44"/>
        <v>0</v>
      </c>
      <c r="AS56" s="124">
        <f t="array" ref="AS56">_xlfn.IFS(S56=0,AL56,S56&lt;0,AL56/-S56,S56&gt;0,AL56/S56)</f>
        <v>0</v>
      </c>
      <c r="AT56" s="119">
        <f t="shared" si="45"/>
        <v>0</v>
      </c>
      <c r="AU56" s="119">
        <f t="shared" si="46"/>
        <v>0</v>
      </c>
      <c r="AV56" s="125"/>
      <c r="AW56" s="120">
        <f t="shared" si="47"/>
        <v>0</v>
      </c>
    </row>
    <row r="57" spans="1:49" hidden="1" outlineLevel="1">
      <c r="A57" s="114"/>
      <c r="B57" s="115"/>
      <c r="C57" s="115"/>
      <c r="D57" s="116"/>
      <c r="E57" s="117">
        <f t="shared" si="27"/>
        <v>0</v>
      </c>
      <c r="F57" s="117"/>
      <c r="G57" s="117"/>
      <c r="H57" s="117"/>
      <c r="I57" s="117"/>
      <c r="J57" s="117">
        <f t="shared" si="28"/>
        <v>0</v>
      </c>
      <c r="K57" s="114"/>
      <c r="L57" s="114"/>
      <c r="M57" s="114"/>
      <c r="N57" s="114"/>
      <c r="O57" s="117">
        <f t="shared" si="29"/>
        <v>0</v>
      </c>
      <c r="P57" s="117">
        <f t="shared" si="30"/>
        <v>0</v>
      </c>
      <c r="Q57" s="118"/>
      <c r="R57" s="118"/>
      <c r="S57" s="117">
        <f t="shared" si="31"/>
        <v>0</v>
      </c>
      <c r="T57" s="117"/>
      <c r="U57" s="117"/>
      <c r="V57" s="117">
        <f t="shared" si="32"/>
        <v>0</v>
      </c>
      <c r="W57" s="118"/>
      <c r="X57" s="118"/>
      <c r="Y57" s="117">
        <f t="shared" si="33"/>
        <v>0</v>
      </c>
      <c r="Z57" s="117">
        <f t="shared" si="34"/>
        <v>0</v>
      </c>
      <c r="AA57" s="119">
        <f t="shared" si="48"/>
        <v>0</v>
      </c>
      <c r="AB57" s="117">
        <f t="shared" si="35"/>
        <v>0</v>
      </c>
      <c r="AC57" s="118"/>
      <c r="AD57" s="119">
        <f t="shared" si="36"/>
        <v>0</v>
      </c>
      <c r="AE57" s="118"/>
      <c r="AF57" s="118"/>
      <c r="AG57" s="118"/>
      <c r="AH57" s="118"/>
      <c r="AI57" s="152">
        <f t="shared" si="37"/>
        <v>0</v>
      </c>
      <c r="AJ57" s="118"/>
      <c r="AK57" s="120">
        <f t="shared" si="38"/>
        <v>0</v>
      </c>
      <c r="AL57" s="121">
        <f t="shared" si="39"/>
        <v>0</v>
      </c>
      <c r="AM57" s="122"/>
      <c r="AN57" s="123">
        <f t="shared" si="40"/>
        <v>0</v>
      </c>
      <c r="AO57" s="124">
        <f t="shared" si="41"/>
        <v>0</v>
      </c>
      <c r="AP57" s="124">
        <f t="shared" si="42"/>
        <v>0</v>
      </c>
      <c r="AQ57" s="124">
        <f t="shared" si="43"/>
        <v>0</v>
      </c>
      <c r="AR57" s="124">
        <f t="shared" si="44"/>
        <v>0</v>
      </c>
      <c r="AS57" s="124">
        <f t="array" ref="AS57">_xlfn.IFS(S57=0,AL57,S57&lt;0,AL57/-S57,S57&gt;0,AL57/S57)</f>
        <v>0</v>
      </c>
      <c r="AT57" s="119">
        <f t="shared" si="45"/>
        <v>0</v>
      </c>
      <c r="AU57" s="119">
        <f t="shared" si="46"/>
        <v>0</v>
      </c>
      <c r="AV57" s="125"/>
      <c r="AW57" s="120">
        <f t="shared" si="47"/>
        <v>0</v>
      </c>
    </row>
    <row r="58" spans="1:49" hidden="1" outlineLevel="1">
      <c r="A58" s="114"/>
      <c r="B58" s="115"/>
      <c r="C58" s="115"/>
      <c r="D58" s="116"/>
      <c r="E58" s="117">
        <f t="shared" si="27"/>
        <v>0</v>
      </c>
      <c r="F58" s="117"/>
      <c r="G58" s="117"/>
      <c r="H58" s="117"/>
      <c r="I58" s="117"/>
      <c r="J58" s="117">
        <f t="shared" si="28"/>
        <v>0</v>
      </c>
      <c r="K58" s="114"/>
      <c r="L58" s="114"/>
      <c r="M58" s="114"/>
      <c r="N58" s="114"/>
      <c r="O58" s="117">
        <f t="shared" si="29"/>
        <v>0</v>
      </c>
      <c r="P58" s="117">
        <f t="shared" si="30"/>
        <v>0</v>
      </c>
      <c r="Q58" s="118"/>
      <c r="R58" s="118"/>
      <c r="S58" s="117">
        <f t="shared" si="31"/>
        <v>0</v>
      </c>
      <c r="T58" s="117"/>
      <c r="U58" s="117"/>
      <c r="V58" s="117">
        <f t="shared" si="32"/>
        <v>0</v>
      </c>
      <c r="W58" s="118"/>
      <c r="X58" s="118"/>
      <c r="Y58" s="117">
        <f t="shared" si="33"/>
        <v>0</v>
      </c>
      <c r="Z58" s="117">
        <f t="shared" si="34"/>
        <v>0</v>
      </c>
      <c r="AA58" s="119">
        <f t="shared" si="48"/>
        <v>0</v>
      </c>
      <c r="AB58" s="117">
        <f t="shared" si="35"/>
        <v>0</v>
      </c>
      <c r="AC58" s="118"/>
      <c r="AD58" s="119">
        <f t="shared" si="36"/>
        <v>0</v>
      </c>
      <c r="AE58" s="118"/>
      <c r="AF58" s="118"/>
      <c r="AG58" s="118"/>
      <c r="AH58" s="118"/>
      <c r="AI58" s="152">
        <f t="shared" si="37"/>
        <v>0</v>
      </c>
      <c r="AJ58" s="118"/>
      <c r="AK58" s="120">
        <f t="shared" si="38"/>
        <v>0</v>
      </c>
      <c r="AL58" s="121">
        <f t="shared" si="39"/>
        <v>0</v>
      </c>
      <c r="AM58" s="122"/>
      <c r="AN58" s="123">
        <f t="shared" si="40"/>
        <v>0</v>
      </c>
      <c r="AO58" s="124">
        <f t="shared" si="41"/>
        <v>0</v>
      </c>
      <c r="AP58" s="124">
        <f t="shared" si="42"/>
        <v>0</v>
      </c>
      <c r="AQ58" s="124">
        <f t="shared" si="43"/>
        <v>0</v>
      </c>
      <c r="AR58" s="124">
        <f t="shared" si="44"/>
        <v>0</v>
      </c>
      <c r="AS58" s="124">
        <f t="array" ref="AS58">_xlfn.IFS(S58=0,AL58,S58&lt;0,AL58/-S58,S58&gt;0,AL58/S58)</f>
        <v>0</v>
      </c>
      <c r="AT58" s="119">
        <f t="shared" si="45"/>
        <v>0</v>
      </c>
      <c r="AU58" s="119">
        <f t="shared" si="46"/>
        <v>0</v>
      </c>
      <c r="AV58" s="125"/>
      <c r="AW58" s="120">
        <f t="shared" si="47"/>
        <v>0</v>
      </c>
    </row>
    <row r="59" spans="1:49" hidden="1" outlineLevel="1">
      <c r="A59" s="114"/>
      <c r="B59" s="115"/>
      <c r="C59" s="115"/>
      <c r="D59" s="116"/>
      <c r="E59" s="117">
        <f t="shared" si="27"/>
        <v>0</v>
      </c>
      <c r="F59" s="117"/>
      <c r="G59" s="117"/>
      <c r="H59" s="117"/>
      <c r="I59" s="117"/>
      <c r="J59" s="117">
        <f t="shared" si="28"/>
        <v>0</v>
      </c>
      <c r="K59" s="114"/>
      <c r="L59" s="114"/>
      <c r="M59" s="114"/>
      <c r="N59" s="114"/>
      <c r="O59" s="117">
        <f t="shared" si="29"/>
        <v>0</v>
      </c>
      <c r="P59" s="117">
        <f t="shared" si="30"/>
        <v>0</v>
      </c>
      <c r="Q59" s="118"/>
      <c r="R59" s="118"/>
      <c r="S59" s="117">
        <f t="shared" si="31"/>
        <v>0</v>
      </c>
      <c r="T59" s="117"/>
      <c r="U59" s="117"/>
      <c r="V59" s="117">
        <f t="shared" si="32"/>
        <v>0</v>
      </c>
      <c r="W59" s="118"/>
      <c r="X59" s="118"/>
      <c r="Y59" s="117">
        <f t="shared" si="33"/>
        <v>0</v>
      </c>
      <c r="Z59" s="117">
        <f t="shared" si="34"/>
        <v>0</v>
      </c>
      <c r="AA59" s="119">
        <f t="shared" si="48"/>
        <v>0</v>
      </c>
      <c r="AB59" s="117">
        <f t="shared" si="35"/>
        <v>0</v>
      </c>
      <c r="AC59" s="118"/>
      <c r="AD59" s="119">
        <f t="shared" si="36"/>
        <v>0</v>
      </c>
      <c r="AE59" s="118"/>
      <c r="AF59" s="118"/>
      <c r="AG59" s="118"/>
      <c r="AH59" s="118"/>
      <c r="AI59" s="152">
        <f t="shared" si="37"/>
        <v>0</v>
      </c>
      <c r="AJ59" s="118"/>
      <c r="AK59" s="120">
        <f t="shared" si="38"/>
        <v>0</v>
      </c>
      <c r="AL59" s="121">
        <f t="shared" si="39"/>
        <v>0</v>
      </c>
      <c r="AM59" s="122"/>
      <c r="AN59" s="123">
        <f t="shared" si="40"/>
        <v>0</v>
      </c>
      <c r="AO59" s="124">
        <f t="shared" si="41"/>
        <v>0</v>
      </c>
      <c r="AP59" s="124">
        <f t="shared" si="42"/>
        <v>0</v>
      </c>
      <c r="AQ59" s="124">
        <f t="shared" si="43"/>
        <v>0</v>
      </c>
      <c r="AR59" s="124">
        <f t="shared" si="44"/>
        <v>0</v>
      </c>
      <c r="AS59" s="124">
        <f t="array" ref="AS59">_xlfn.IFS(S59=0,AL59,S59&lt;0,AL59/-S59,S59&gt;0,AL59/S59)</f>
        <v>0</v>
      </c>
      <c r="AT59" s="119">
        <f t="shared" si="45"/>
        <v>0</v>
      </c>
      <c r="AU59" s="119">
        <f t="shared" si="46"/>
        <v>0</v>
      </c>
      <c r="AV59" s="125"/>
      <c r="AW59" s="120">
        <f t="shared" si="47"/>
        <v>0</v>
      </c>
    </row>
    <row r="60" spans="1:49" hidden="1" outlineLevel="1">
      <c r="A60" s="114"/>
      <c r="B60" s="115"/>
      <c r="C60" s="115"/>
      <c r="D60" s="116"/>
      <c r="E60" s="117">
        <f t="shared" si="27"/>
        <v>0</v>
      </c>
      <c r="F60" s="117"/>
      <c r="G60" s="117"/>
      <c r="H60" s="117"/>
      <c r="I60" s="117"/>
      <c r="J60" s="117">
        <f t="shared" si="28"/>
        <v>0</v>
      </c>
      <c r="K60" s="114"/>
      <c r="L60" s="114"/>
      <c r="M60" s="114"/>
      <c r="N60" s="114"/>
      <c r="O60" s="117">
        <f t="shared" si="29"/>
        <v>0</v>
      </c>
      <c r="P60" s="117">
        <f t="shared" si="30"/>
        <v>0</v>
      </c>
      <c r="Q60" s="118"/>
      <c r="R60" s="118"/>
      <c r="S60" s="117">
        <f t="shared" si="31"/>
        <v>0</v>
      </c>
      <c r="T60" s="117"/>
      <c r="U60" s="117"/>
      <c r="V60" s="117">
        <f t="shared" si="32"/>
        <v>0</v>
      </c>
      <c r="W60" s="118"/>
      <c r="X60" s="118"/>
      <c r="Y60" s="117">
        <f t="shared" si="33"/>
        <v>0</v>
      </c>
      <c r="Z60" s="117">
        <f t="shared" si="34"/>
        <v>0</v>
      </c>
      <c r="AA60" s="119">
        <f t="shared" si="48"/>
        <v>0</v>
      </c>
      <c r="AB60" s="117">
        <f t="shared" si="35"/>
        <v>0</v>
      </c>
      <c r="AC60" s="118"/>
      <c r="AD60" s="119">
        <f t="shared" si="36"/>
        <v>0</v>
      </c>
      <c r="AE60" s="118"/>
      <c r="AF60" s="118"/>
      <c r="AG60" s="118"/>
      <c r="AH60" s="118"/>
      <c r="AI60" s="152">
        <f t="shared" si="37"/>
        <v>0</v>
      </c>
      <c r="AJ60" s="118"/>
      <c r="AK60" s="120">
        <f t="shared" si="38"/>
        <v>0</v>
      </c>
      <c r="AL60" s="121">
        <f t="shared" si="39"/>
        <v>0</v>
      </c>
      <c r="AM60" s="122"/>
      <c r="AN60" s="123">
        <f t="shared" si="40"/>
        <v>0</v>
      </c>
      <c r="AO60" s="124">
        <f t="shared" si="41"/>
        <v>0</v>
      </c>
      <c r="AP60" s="124">
        <f t="shared" si="42"/>
        <v>0</v>
      </c>
      <c r="AQ60" s="124">
        <f t="shared" si="43"/>
        <v>0</v>
      </c>
      <c r="AR60" s="124">
        <f t="shared" si="44"/>
        <v>0</v>
      </c>
      <c r="AS60" s="124">
        <f t="array" ref="AS60">_xlfn.IFS(S60=0,AL60,S60&lt;0,AL60/-S60,S60&gt;0,AL60/S60)</f>
        <v>0</v>
      </c>
      <c r="AT60" s="119">
        <f t="shared" si="45"/>
        <v>0</v>
      </c>
      <c r="AU60" s="119">
        <f t="shared" si="46"/>
        <v>0</v>
      </c>
      <c r="AV60" s="125"/>
      <c r="AW60" s="120">
        <f t="shared" si="47"/>
        <v>0</v>
      </c>
    </row>
    <row r="61" spans="1:49" hidden="1" outlineLevel="1">
      <c r="A61" s="114"/>
      <c r="B61" s="115"/>
      <c r="C61" s="115"/>
      <c r="D61" s="116"/>
      <c r="E61" s="117">
        <f t="shared" si="27"/>
        <v>0</v>
      </c>
      <c r="F61" s="117"/>
      <c r="G61" s="117"/>
      <c r="H61" s="117"/>
      <c r="I61" s="117"/>
      <c r="J61" s="117">
        <f t="shared" si="28"/>
        <v>0</v>
      </c>
      <c r="K61" s="114"/>
      <c r="L61" s="114"/>
      <c r="M61" s="114"/>
      <c r="N61" s="114"/>
      <c r="O61" s="117">
        <f t="shared" si="29"/>
        <v>0</v>
      </c>
      <c r="P61" s="117">
        <f t="shared" si="30"/>
        <v>0</v>
      </c>
      <c r="Q61" s="118"/>
      <c r="R61" s="118"/>
      <c r="S61" s="117">
        <f t="shared" si="31"/>
        <v>0</v>
      </c>
      <c r="T61" s="117"/>
      <c r="U61" s="117"/>
      <c r="V61" s="117">
        <f t="shared" si="32"/>
        <v>0</v>
      </c>
      <c r="W61" s="118"/>
      <c r="X61" s="118"/>
      <c r="Y61" s="117">
        <f t="shared" si="33"/>
        <v>0</v>
      </c>
      <c r="Z61" s="117">
        <f t="shared" si="34"/>
        <v>0</v>
      </c>
      <c r="AA61" s="119">
        <f t="shared" si="48"/>
        <v>0</v>
      </c>
      <c r="AB61" s="117">
        <f t="shared" si="35"/>
        <v>0</v>
      </c>
      <c r="AC61" s="118"/>
      <c r="AD61" s="119">
        <f t="shared" si="36"/>
        <v>0</v>
      </c>
      <c r="AE61" s="118"/>
      <c r="AF61" s="118"/>
      <c r="AG61" s="118"/>
      <c r="AH61" s="118"/>
      <c r="AI61" s="152">
        <f t="shared" si="37"/>
        <v>0</v>
      </c>
      <c r="AJ61" s="118"/>
      <c r="AK61" s="120">
        <f t="shared" si="38"/>
        <v>0</v>
      </c>
      <c r="AL61" s="121">
        <f t="shared" si="39"/>
        <v>0</v>
      </c>
      <c r="AM61" s="122"/>
      <c r="AN61" s="123">
        <f t="shared" si="40"/>
        <v>0</v>
      </c>
      <c r="AO61" s="124">
        <f t="shared" si="41"/>
        <v>0</v>
      </c>
      <c r="AP61" s="124">
        <f t="shared" si="42"/>
        <v>0</v>
      </c>
      <c r="AQ61" s="124">
        <f t="shared" si="43"/>
        <v>0</v>
      </c>
      <c r="AR61" s="124">
        <f t="shared" si="44"/>
        <v>0</v>
      </c>
      <c r="AS61" s="124">
        <f t="array" ref="AS61">_xlfn.IFS(S61=0,AL61,S61&lt;0,AL61/-S61,S61&gt;0,AL61/S61)</f>
        <v>0</v>
      </c>
      <c r="AT61" s="119">
        <f t="shared" si="45"/>
        <v>0</v>
      </c>
      <c r="AU61" s="119">
        <f t="shared" si="46"/>
        <v>0</v>
      </c>
      <c r="AV61" s="125"/>
      <c r="AW61" s="120">
        <f t="shared" si="47"/>
        <v>0</v>
      </c>
    </row>
    <row r="62" spans="1:49" hidden="1" outlineLevel="1">
      <c r="A62" s="114"/>
      <c r="B62" s="115"/>
      <c r="C62" s="115"/>
      <c r="D62" s="116"/>
      <c r="E62" s="117">
        <f t="shared" si="27"/>
        <v>0</v>
      </c>
      <c r="F62" s="117"/>
      <c r="G62" s="117"/>
      <c r="H62" s="117"/>
      <c r="I62" s="117"/>
      <c r="J62" s="117">
        <f t="shared" si="28"/>
        <v>0</v>
      </c>
      <c r="K62" s="114"/>
      <c r="L62" s="114"/>
      <c r="M62" s="114"/>
      <c r="N62" s="114"/>
      <c r="O62" s="117">
        <f t="shared" si="29"/>
        <v>0</v>
      </c>
      <c r="P62" s="117">
        <f t="shared" si="30"/>
        <v>0</v>
      </c>
      <c r="Q62" s="118"/>
      <c r="R62" s="118"/>
      <c r="S62" s="117">
        <f t="shared" si="31"/>
        <v>0</v>
      </c>
      <c r="T62" s="117"/>
      <c r="U62" s="117"/>
      <c r="V62" s="117">
        <f t="shared" si="32"/>
        <v>0</v>
      </c>
      <c r="W62" s="118"/>
      <c r="X62" s="118"/>
      <c r="Y62" s="117">
        <f t="shared" si="33"/>
        <v>0</v>
      </c>
      <c r="Z62" s="117">
        <f t="shared" si="34"/>
        <v>0</v>
      </c>
      <c r="AA62" s="119">
        <f t="shared" si="48"/>
        <v>0</v>
      </c>
      <c r="AB62" s="117">
        <f t="shared" si="35"/>
        <v>0</v>
      </c>
      <c r="AC62" s="118"/>
      <c r="AD62" s="119">
        <f t="shared" si="36"/>
        <v>0</v>
      </c>
      <c r="AE62" s="118"/>
      <c r="AF62" s="118"/>
      <c r="AG62" s="118"/>
      <c r="AH62" s="118"/>
      <c r="AI62" s="152">
        <f t="shared" si="37"/>
        <v>0</v>
      </c>
      <c r="AJ62" s="118"/>
      <c r="AK62" s="120">
        <f t="shared" si="38"/>
        <v>0</v>
      </c>
      <c r="AL62" s="121">
        <f t="shared" si="39"/>
        <v>0</v>
      </c>
      <c r="AM62" s="122"/>
      <c r="AN62" s="123">
        <f t="shared" si="40"/>
        <v>0</v>
      </c>
      <c r="AO62" s="124">
        <f t="shared" si="41"/>
        <v>0</v>
      </c>
      <c r="AP62" s="124">
        <f t="shared" si="42"/>
        <v>0</v>
      </c>
      <c r="AQ62" s="124">
        <f t="shared" si="43"/>
        <v>0</v>
      </c>
      <c r="AR62" s="124">
        <f t="shared" si="44"/>
        <v>0</v>
      </c>
      <c r="AS62" s="124">
        <f t="array" ref="AS62">_xlfn.IFS(S62=0,AL62,S62&lt;0,AL62/-S62,S62&gt;0,AL62/S62)</f>
        <v>0</v>
      </c>
      <c r="AT62" s="119">
        <f t="shared" si="45"/>
        <v>0</v>
      </c>
      <c r="AU62" s="119">
        <f t="shared" si="46"/>
        <v>0</v>
      </c>
      <c r="AV62" s="125"/>
      <c r="AW62" s="120">
        <f t="shared" si="47"/>
        <v>0</v>
      </c>
    </row>
    <row r="63" spans="1:49" hidden="1" outlineLevel="1">
      <c r="A63" s="114"/>
      <c r="B63" s="115"/>
      <c r="C63" s="115"/>
      <c r="D63" s="149"/>
      <c r="E63" s="118">
        <f t="shared" si="27"/>
        <v>0</v>
      </c>
      <c r="F63" s="117"/>
      <c r="G63" s="117"/>
      <c r="H63" s="117"/>
      <c r="I63" s="117"/>
      <c r="J63" s="117">
        <f t="shared" si="28"/>
        <v>0</v>
      </c>
      <c r="K63" s="114"/>
      <c r="L63" s="114"/>
      <c r="M63" s="114"/>
      <c r="N63" s="114"/>
      <c r="O63" s="117">
        <f t="shared" si="29"/>
        <v>0</v>
      </c>
      <c r="P63" s="117">
        <f t="shared" si="30"/>
        <v>0</v>
      </c>
      <c r="Q63" s="118"/>
      <c r="R63" s="118"/>
      <c r="S63" s="117">
        <f t="shared" si="31"/>
        <v>0</v>
      </c>
      <c r="T63" s="117"/>
      <c r="U63" s="117"/>
      <c r="V63" s="117">
        <f t="shared" si="32"/>
        <v>0</v>
      </c>
      <c r="W63" s="118"/>
      <c r="X63" s="118"/>
      <c r="Y63" s="117">
        <f t="shared" si="33"/>
        <v>0</v>
      </c>
      <c r="Z63" s="117">
        <f t="shared" si="34"/>
        <v>0</v>
      </c>
      <c r="AA63" s="119">
        <f t="shared" si="48"/>
        <v>0</v>
      </c>
      <c r="AB63" s="117">
        <f t="shared" si="35"/>
        <v>0</v>
      </c>
      <c r="AC63" s="118"/>
      <c r="AD63" s="119">
        <f t="shared" si="36"/>
        <v>0</v>
      </c>
      <c r="AE63" s="118"/>
      <c r="AF63" s="118"/>
      <c r="AG63" s="118"/>
      <c r="AH63" s="118"/>
      <c r="AI63" s="152">
        <f t="shared" si="37"/>
        <v>0</v>
      </c>
      <c r="AJ63" s="118"/>
      <c r="AK63" s="120">
        <f t="shared" si="38"/>
        <v>0</v>
      </c>
      <c r="AL63" s="121">
        <f t="shared" si="39"/>
        <v>0</v>
      </c>
      <c r="AM63" s="122"/>
      <c r="AN63" s="123">
        <f t="shared" si="40"/>
        <v>0</v>
      </c>
      <c r="AO63" s="124">
        <f t="shared" si="41"/>
        <v>0</v>
      </c>
      <c r="AP63" s="124">
        <f t="shared" si="42"/>
        <v>0</v>
      </c>
      <c r="AQ63" s="124">
        <f t="shared" si="43"/>
        <v>0</v>
      </c>
      <c r="AR63" s="124">
        <f t="shared" si="44"/>
        <v>0</v>
      </c>
      <c r="AS63" s="124">
        <f t="array" ref="AS63">_xlfn.IFS(S63=0,AL63,S63&lt;0,AL63/-S63,S63&gt;0,AL63/S63)</f>
        <v>0</v>
      </c>
      <c r="AT63" s="119">
        <f t="shared" si="45"/>
        <v>0</v>
      </c>
      <c r="AU63" s="119">
        <f t="shared" si="46"/>
        <v>0</v>
      </c>
      <c r="AV63" s="125"/>
      <c r="AW63" s="120">
        <f t="shared" si="47"/>
        <v>0</v>
      </c>
    </row>
    <row r="64" spans="1:49" hidden="1" outlineLevel="1">
      <c r="A64" s="114"/>
      <c r="B64" s="115"/>
      <c r="C64" s="115"/>
      <c r="D64" s="149"/>
      <c r="E64" s="118">
        <f t="shared" si="27"/>
        <v>0</v>
      </c>
      <c r="F64" s="117"/>
      <c r="G64" s="117"/>
      <c r="H64" s="117"/>
      <c r="I64" s="117"/>
      <c r="J64" s="117">
        <f t="shared" si="28"/>
        <v>0</v>
      </c>
      <c r="K64" s="114"/>
      <c r="L64" s="114"/>
      <c r="M64" s="114"/>
      <c r="N64" s="114"/>
      <c r="O64" s="117">
        <f t="shared" si="29"/>
        <v>0</v>
      </c>
      <c r="P64" s="117">
        <f t="shared" si="30"/>
        <v>0</v>
      </c>
      <c r="Q64" s="118"/>
      <c r="R64" s="118"/>
      <c r="S64" s="117">
        <f t="shared" si="31"/>
        <v>0</v>
      </c>
      <c r="T64" s="117"/>
      <c r="U64" s="117"/>
      <c r="V64" s="117">
        <f t="shared" si="32"/>
        <v>0</v>
      </c>
      <c r="W64" s="118"/>
      <c r="X64" s="118"/>
      <c r="Y64" s="117">
        <f t="shared" si="33"/>
        <v>0</v>
      </c>
      <c r="Z64" s="117">
        <f t="shared" si="34"/>
        <v>0</v>
      </c>
      <c r="AA64" s="119">
        <f t="shared" si="48"/>
        <v>0</v>
      </c>
      <c r="AB64" s="117">
        <f t="shared" si="35"/>
        <v>0</v>
      </c>
      <c r="AC64" s="118"/>
      <c r="AD64" s="119">
        <f t="shared" si="36"/>
        <v>0</v>
      </c>
      <c r="AE64" s="118"/>
      <c r="AF64" s="118"/>
      <c r="AG64" s="118"/>
      <c r="AH64" s="118"/>
      <c r="AI64" s="152">
        <f t="shared" si="37"/>
        <v>0</v>
      </c>
      <c r="AJ64" s="118"/>
      <c r="AK64" s="120">
        <f t="shared" si="38"/>
        <v>0</v>
      </c>
      <c r="AL64" s="121">
        <f t="shared" si="39"/>
        <v>0</v>
      </c>
      <c r="AM64" s="122"/>
      <c r="AN64" s="123">
        <f t="shared" si="40"/>
        <v>0</v>
      </c>
      <c r="AO64" s="124">
        <f t="shared" si="41"/>
        <v>0</v>
      </c>
      <c r="AP64" s="124">
        <f t="shared" si="42"/>
        <v>0</v>
      </c>
      <c r="AQ64" s="124">
        <f t="shared" si="43"/>
        <v>0</v>
      </c>
      <c r="AR64" s="124">
        <f t="shared" si="44"/>
        <v>0</v>
      </c>
      <c r="AS64" s="124">
        <f t="array" ref="AS64">_xlfn.IFS(S64=0,AL64,S64&lt;0,AL64/-S64,S64&gt;0,AL64/S64)</f>
        <v>0</v>
      </c>
      <c r="AT64" s="119">
        <f t="shared" si="45"/>
        <v>0</v>
      </c>
      <c r="AU64" s="119">
        <f t="shared" si="46"/>
        <v>0</v>
      </c>
      <c r="AV64" s="125"/>
      <c r="AW64" s="120">
        <f t="shared" si="47"/>
        <v>0</v>
      </c>
    </row>
    <row r="65" spans="1:49" hidden="1" outlineLevel="1">
      <c r="A65" s="114"/>
      <c r="B65" s="115"/>
      <c r="C65" s="115"/>
      <c r="D65" s="149"/>
      <c r="E65" s="118">
        <f t="shared" si="27"/>
        <v>0</v>
      </c>
      <c r="F65" s="117"/>
      <c r="G65" s="117"/>
      <c r="H65" s="117"/>
      <c r="I65" s="117"/>
      <c r="J65" s="117">
        <f t="shared" si="28"/>
        <v>0</v>
      </c>
      <c r="K65" s="114"/>
      <c r="L65" s="114"/>
      <c r="M65" s="114"/>
      <c r="N65" s="114"/>
      <c r="O65" s="117">
        <f t="shared" si="29"/>
        <v>0</v>
      </c>
      <c r="P65" s="117">
        <f t="shared" si="30"/>
        <v>0</v>
      </c>
      <c r="Q65" s="118"/>
      <c r="R65" s="118"/>
      <c r="S65" s="117">
        <f t="shared" si="31"/>
        <v>0</v>
      </c>
      <c r="T65" s="117"/>
      <c r="U65" s="117"/>
      <c r="V65" s="117">
        <f t="shared" si="32"/>
        <v>0</v>
      </c>
      <c r="W65" s="118"/>
      <c r="X65" s="118"/>
      <c r="Y65" s="117">
        <f t="shared" si="33"/>
        <v>0</v>
      </c>
      <c r="Z65" s="117">
        <f t="shared" si="34"/>
        <v>0</v>
      </c>
      <c r="AA65" s="119">
        <f t="shared" si="48"/>
        <v>0</v>
      </c>
      <c r="AB65" s="117">
        <f t="shared" si="35"/>
        <v>0</v>
      </c>
      <c r="AC65" s="118"/>
      <c r="AD65" s="119">
        <f t="shared" si="36"/>
        <v>0</v>
      </c>
      <c r="AE65" s="118"/>
      <c r="AF65" s="118"/>
      <c r="AG65" s="118"/>
      <c r="AH65" s="118"/>
      <c r="AI65" s="152">
        <f t="shared" si="37"/>
        <v>0</v>
      </c>
      <c r="AJ65" s="118"/>
      <c r="AK65" s="120">
        <f t="shared" si="38"/>
        <v>0</v>
      </c>
      <c r="AL65" s="121">
        <f t="shared" si="39"/>
        <v>0</v>
      </c>
      <c r="AM65" s="122"/>
      <c r="AN65" s="123">
        <f t="shared" si="40"/>
        <v>0</v>
      </c>
      <c r="AO65" s="124">
        <f t="shared" si="41"/>
        <v>0</v>
      </c>
      <c r="AP65" s="124">
        <f t="shared" si="42"/>
        <v>0</v>
      </c>
      <c r="AQ65" s="124">
        <f t="shared" si="43"/>
        <v>0</v>
      </c>
      <c r="AR65" s="124">
        <f t="shared" si="44"/>
        <v>0</v>
      </c>
      <c r="AS65" s="124">
        <f t="array" ref="AS65">_xlfn.IFS(S65=0,AL65,S65&lt;0,AL65/-S65,S65&gt;0,AL65/S65)</f>
        <v>0</v>
      </c>
      <c r="AT65" s="119">
        <f t="shared" si="45"/>
        <v>0</v>
      </c>
      <c r="AU65" s="119">
        <f t="shared" si="46"/>
        <v>0</v>
      </c>
      <c r="AV65" s="125"/>
      <c r="AW65" s="120">
        <f t="shared" si="47"/>
        <v>0</v>
      </c>
    </row>
    <row r="66" spans="1:49" hidden="1" outlineLevel="1">
      <c r="A66" s="114"/>
      <c r="B66" s="115"/>
      <c r="C66" s="115"/>
      <c r="D66" s="116"/>
      <c r="E66" s="117">
        <f t="shared" si="27"/>
        <v>0</v>
      </c>
      <c r="F66" s="117"/>
      <c r="G66" s="117"/>
      <c r="H66" s="117"/>
      <c r="I66" s="117"/>
      <c r="J66" s="117">
        <f t="shared" si="28"/>
        <v>0</v>
      </c>
      <c r="K66" s="114"/>
      <c r="L66" s="114"/>
      <c r="M66" s="114"/>
      <c r="N66" s="114"/>
      <c r="O66" s="117">
        <f t="shared" si="29"/>
        <v>0</v>
      </c>
      <c r="P66" s="117">
        <f t="shared" si="30"/>
        <v>0</v>
      </c>
      <c r="Q66" s="118"/>
      <c r="R66" s="118"/>
      <c r="S66" s="117">
        <f t="shared" si="31"/>
        <v>0</v>
      </c>
      <c r="T66" s="117"/>
      <c r="U66" s="117"/>
      <c r="V66" s="117">
        <f t="shared" si="32"/>
        <v>0</v>
      </c>
      <c r="W66" s="118"/>
      <c r="X66" s="118"/>
      <c r="Y66" s="117">
        <f t="shared" si="33"/>
        <v>0</v>
      </c>
      <c r="Z66" s="117">
        <f t="shared" si="34"/>
        <v>0</v>
      </c>
      <c r="AA66" s="119">
        <f t="shared" si="48"/>
        <v>0</v>
      </c>
      <c r="AB66" s="117">
        <f t="shared" si="35"/>
        <v>0</v>
      </c>
      <c r="AC66" s="118"/>
      <c r="AD66" s="119">
        <f t="shared" si="36"/>
        <v>0</v>
      </c>
      <c r="AE66" s="118"/>
      <c r="AF66" s="118"/>
      <c r="AG66" s="118"/>
      <c r="AH66" s="118"/>
      <c r="AI66" s="152">
        <f t="shared" si="37"/>
        <v>0</v>
      </c>
      <c r="AJ66" s="118"/>
      <c r="AK66" s="120">
        <f t="shared" si="38"/>
        <v>0</v>
      </c>
      <c r="AL66" s="121">
        <f t="shared" si="39"/>
        <v>0</v>
      </c>
      <c r="AM66" s="122"/>
      <c r="AN66" s="123">
        <f t="shared" si="40"/>
        <v>0</v>
      </c>
      <c r="AO66" s="124">
        <f t="shared" si="41"/>
        <v>0</v>
      </c>
      <c r="AP66" s="124">
        <f t="shared" si="42"/>
        <v>0</v>
      </c>
      <c r="AQ66" s="124">
        <f t="shared" si="43"/>
        <v>0</v>
      </c>
      <c r="AR66" s="124">
        <f t="shared" si="44"/>
        <v>0</v>
      </c>
      <c r="AS66" s="124">
        <f t="array" ref="AS66">_xlfn.IFS(S66=0,AL66,S66&lt;0,AL66/-S66,S66&gt;0,AL66/S66)</f>
        <v>0</v>
      </c>
      <c r="AT66" s="119">
        <f t="shared" si="45"/>
        <v>0</v>
      </c>
      <c r="AU66" s="119">
        <f t="shared" si="46"/>
        <v>0</v>
      </c>
      <c r="AV66" s="125"/>
      <c r="AW66" s="120">
        <f t="shared" si="47"/>
        <v>0</v>
      </c>
    </row>
    <row r="67" spans="1:49" hidden="1" outlineLevel="1">
      <c r="A67" s="114"/>
      <c r="B67" s="115"/>
      <c r="C67" s="115"/>
      <c r="D67" s="116"/>
      <c r="E67" s="117">
        <f t="shared" si="27"/>
        <v>0</v>
      </c>
      <c r="F67" s="117"/>
      <c r="G67" s="117"/>
      <c r="H67" s="117"/>
      <c r="I67" s="117"/>
      <c r="J67" s="117">
        <f t="shared" si="28"/>
        <v>0</v>
      </c>
      <c r="K67" s="114"/>
      <c r="L67" s="114"/>
      <c r="M67" s="114"/>
      <c r="N67" s="114"/>
      <c r="O67" s="117">
        <f t="shared" si="29"/>
        <v>0</v>
      </c>
      <c r="P67" s="117">
        <f t="shared" si="30"/>
        <v>0</v>
      </c>
      <c r="Q67" s="118"/>
      <c r="R67" s="118"/>
      <c r="S67" s="117">
        <f t="shared" si="31"/>
        <v>0</v>
      </c>
      <c r="T67" s="117"/>
      <c r="U67" s="117"/>
      <c r="V67" s="117">
        <f t="shared" si="32"/>
        <v>0</v>
      </c>
      <c r="W67" s="118"/>
      <c r="X67" s="118"/>
      <c r="Y67" s="117">
        <f t="shared" si="33"/>
        <v>0</v>
      </c>
      <c r="Z67" s="117">
        <f t="shared" si="34"/>
        <v>0</v>
      </c>
      <c r="AA67" s="119">
        <f t="shared" si="48"/>
        <v>0</v>
      </c>
      <c r="AB67" s="117">
        <f t="shared" si="35"/>
        <v>0</v>
      </c>
      <c r="AC67" s="118"/>
      <c r="AD67" s="119">
        <f t="shared" si="36"/>
        <v>0</v>
      </c>
      <c r="AE67" s="118"/>
      <c r="AF67" s="118"/>
      <c r="AG67" s="118"/>
      <c r="AH67" s="118"/>
      <c r="AI67" s="152">
        <f t="shared" si="37"/>
        <v>0</v>
      </c>
      <c r="AJ67" s="118"/>
      <c r="AK67" s="120">
        <f t="shared" si="38"/>
        <v>0</v>
      </c>
      <c r="AL67" s="121">
        <f t="shared" si="39"/>
        <v>0</v>
      </c>
      <c r="AM67" s="122"/>
      <c r="AN67" s="123">
        <f t="shared" si="40"/>
        <v>0</v>
      </c>
      <c r="AO67" s="124">
        <f t="shared" si="41"/>
        <v>0</v>
      </c>
      <c r="AP67" s="124">
        <f t="shared" si="42"/>
        <v>0</v>
      </c>
      <c r="AQ67" s="124">
        <f t="shared" si="43"/>
        <v>0</v>
      </c>
      <c r="AR67" s="124">
        <f t="shared" si="44"/>
        <v>0</v>
      </c>
      <c r="AS67" s="124">
        <f t="array" ref="AS67">_xlfn.IFS(S67=0,AL67,S67&lt;0,AL67/-S67,S67&gt;0,AL67/S67)</f>
        <v>0</v>
      </c>
      <c r="AT67" s="119">
        <f t="shared" si="45"/>
        <v>0</v>
      </c>
      <c r="AU67" s="119">
        <f t="shared" si="46"/>
        <v>0</v>
      </c>
      <c r="AV67" s="125"/>
      <c r="AW67" s="120">
        <f t="shared" si="47"/>
        <v>0</v>
      </c>
    </row>
    <row r="68" spans="1:49" hidden="1" outlineLevel="1">
      <c r="A68" s="114"/>
      <c r="B68" s="115"/>
      <c r="C68" s="115"/>
      <c r="D68" s="116"/>
      <c r="E68" s="117">
        <f t="shared" si="27"/>
        <v>0</v>
      </c>
      <c r="F68" s="117"/>
      <c r="G68" s="117"/>
      <c r="H68" s="117"/>
      <c r="I68" s="117"/>
      <c r="J68" s="117">
        <f t="shared" si="28"/>
        <v>0</v>
      </c>
      <c r="K68" s="114"/>
      <c r="L68" s="114"/>
      <c r="M68" s="114"/>
      <c r="N68" s="114"/>
      <c r="O68" s="117">
        <f t="shared" si="29"/>
        <v>0</v>
      </c>
      <c r="P68" s="117">
        <f t="shared" si="30"/>
        <v>0</v>
      </c>
      <c r="Q68" s="118"/>
      <c r="R68" s="118"/>
      <c r="S68" s="117">
        <f t="shared" si="31"/>
        <v>0</v>
      </c>
      <c r="T68" s="117"/>
      <c r="U68" s="117"/>
      <c r="V68" s="117">
        <f t="shared" si="32"/>
        <v>0</v>
      </c>
      <c r="W68" s="118"/>
      <c r="X68" s="118"/>
      <c r="Y68" s="117">
        <f t="shared" si="33"/>
        <v>0</v>
      </c>
      <c r="Z68" s="117">
        <f t="shared" si="34"/>
        <v>0</v>
      </c>
      <c r="AA68" s="119">
        <f t="shared" si="48"/>
        <v>0</v>
      </c>
      <c r="AB68" s="117">
        <f t="shared" si="35"/>
        <v>0</v>
      </c>
      <c r="AC68" s="118"/>
      <c r="AD68" s="119">
        <f t="shared" si="36"/>
        <v>0</v>
      </c>
      <c r="AE68" s="118"/>
      <c r="AF68" s="118"/>
      <c r="AG68" s="118"/>
      <c r="AH68" s="118"/>
      <c r="AI68" s="152">
        <f t="shared" si="37"/>
        <v>0</v>
      </c>
      <c r="AJ68" s="118"/>
      <c r="AK68" s="120">
        <f t="shared" si="38"/>
        <v>0</v>
      </c>
      <c r="AL68" s="121">
        <f t="shared" si="39"/>
        <v>0</v>
      </c>
      <c r="AM68" s="122"/>
      <c r="AN68" s="123">
        <f t="shared" si="40"/>
        <v>0</v>
      </c>
      <c r="AO68" s="124">
        <f t="shared" si="41"/>
        <v>0</v>
      </c>
      <c r="AP68" s="124">
        <f t="shared" si="42"/>
        <v>0</v>
      </c>
      <c r="AQ68" s="124">
        <f t="shared" si="43"/>
        <v>0</v>
      </c>
      <c r="AR68" s="124">
        <f t="shared" si="44"/>
        <v>0</v>
      </c>
      <c r="AS68" s="124">
        <f t="array" ref="AS68">_xlfn.IFS(S68=0,AL68,S68&lt;0,AL68/-S68,S68&gt;0,AL68/S68)</f>
        <v>0</v>
      </c>
      <c r="AT68" s="119">
        <f t="shared" si="45"/>
        <v>0</v>
      </c>
      <c r="AU68" s="119">
        <f t="shared" si="46"/>
        <v>0</v>
      </c>
      <c r="AV68" s="125"/>
      <c r="AW68" s="120">
        <f t="shared" si="47"/>
        <v>0</v>
      </c>
    </row>
    <row r="69" spans="1:49" hidden="1" outlineLevel="1">
      <c r="A69" s="114"/>
      <c r="B69" s="115"/>
      <c r="C69" s="115"/>
      <c r="D69" s="116"/>
      <c r="E69" s="117">
        <f t="shared" si="27"/>
        <v>0</v>
      </c>
      <c r="F69" s="117"/>
      <c r="G69" s="117"/>
      <c r="H69" s="117"/>
      <c r="I69" s="117"/>
      <c r="J69" s="117">
        <f t="shared" si="28"/>
        <v>0</v>
      </c>
      <c r="K69" s="114"/>
      <c r="L69" s="114"/>
      <c r="M69" s="114"/>
      <c r="N69" s="114"/>
      <c r="O69" s="117">
        <f t="shared" si="29"/>
        <v>0</v>
      </c>
      <c r="P69" s="117">
        <f t="shared" si="30"/>
        <v>0</v>
      </c>
      <c r="Q69" s="118"/>
      <c r="R69" s="118"/>
      <c r="S69" s="117">
        <f t="shared" si="31"/>
        <v>0</v>
      </c>
      <c r="T69" s="117"/>
      <c r="U69" s="117"/>
      <c r="V69" s="117">
        <f t="shared" si="32"/>
        <v>0</v>
      </c>
      <c r="W69" s="118"/>
      <c r="X69" s="118"/>
      <c r="Y69" s="117">
        <f t="shared" si="33"/>
        <v>0</v>
      </c>
      <c r="Z69" s="117">
        <f t="shared" si="34"/>
        <v>0</v>
      </c>
      <c r="AA69" s="119">
        <f t="shared" si="48"/>
        <v>0</v>
      </c>
      <c r="AB69" s="117">
        <f t="shared" si="35"/>
        <v>0</v>
      </c>
      <c r="AC69" s="118"/>
      <c r="AD69" s="119">
        <f t="shared" si="36"/>
        <v>0</v>
      </c>
      <c r="AE69" s="118"/>
      <c r="AF69" s="118"/>
      <c r="AG69" s="118"/>
      <c r="AH69" s="118"/>
      <c r="AI69" s="152">
        <f t="shared" si="37"/>
        <v>0</v>
      </c>
      <c r="AJ69" s="118"/>
      <c r="AK69" s="120">
        <f t="shared" si="38"/>
        <v>0</v>
      </c>
      <c r="AL69" s="121">
        <f t="shared" si="39"/>
        <v>0</v>
      </c>
      <c r="AM69" s="122"/>
      <c r="AN69" s="123">
        <f t="shared" si="40"/>
        <v>0</v>
      </c>
      <c r="AO69" s="124">
        <f t="shared" si="41"/>
        <v>0</v>
      </c>
      <c r="AP69" s="124">
        <f t="shared" si="42"/>
        <v>0</v>
      </c>
      <c r="AQ69" s="124">
        <f t="shared" si="43"/>
        <v>0</v>
      </c>
      <c r="AR69" s="124">
        <f t="shared" si="44"/>
        <v>0</v>
      </c>
      <c r="AS69" s="124">
        <f t="array" ref="AS69">_xlfn.IFS(S69=0,AL69,S69&lt;0,AL69/-S69,S69&gt;0,AL69/S69)</f>
        <v>0</v>
      </c>
      <c r="AT69" s="119">
        <f t="shared" si="45"/>
        <v>0</v>
      </c>
      <c r="AU69" s="119">
        <f t="shared" si="46"/>
        <v>0</v>
      </c>
      <c r="AV69" s="125"/>
      <c r="AW69" s="120">
        <f t="shared" si="47"/>
        <v>0</v>
      </c>
    </row>
    <row r="70" spans="1:49" hidden="1" outlineLevel="1">
      <c r="A70" s="114"/>
      <c r="B70" s="115"/>
      <c r="C70" s="115"/>
      <c r="D70" s="116"/>
      <c r="E70" s="117">
        <f t="shared" ref="E70:E89" si="49">SUM(F70:H70)</f>
        <v>0</v>
      </c>
      <c r="F70" s="117"/>
      <c r="G70" s="117"/>
      <c r="H70" s="117"/>
      <c r="I70" s="117"/>
      <c r="J70" s="117">
        <f t="shared" si="28"/>
        <v>0</v>
      </c>
      <c r="K70" s="114"/>
      <c r="L70" s="114"/>
      <c r="M70" s="114"/>
      <c r="N70" s="114"/>
      <c r="O70" s="117">
        <f t="shared" si="29"/>
        <v>0</v>
      </c>
      <c r="P70" s="117">
        <f t="shared" si="30"/>
        <v>0</v>
      </c>
      <c r="Q70" s="118"/>
      <c r="R70" s="118"/>
      <c r="S70" s="117">
        <f t="shared" si="31"/>
        <v>0</v>
      </c>
      <c r="T70" s="117"/>
      <c r="U70" s="117"/>
      <c r="V70" s="117">
        <f t="shared" si="32"/>
        <v>0</v>
      </c>
      <c r="W70" s="118"/>
      <c r="X70" s="118"/>
      <c r="Y70" s="117">
        <f t="shared" si="33"/>
        <v>0</v>
      </c>
      <c r="Z70" s="117">
        <f t="shared" si="34"/>
        <v>0</v>
      </c>
      <c r="AA70" s="119">
        <f t="shared" si="48"/>
        <v>0</v>
      </c>
      <c r="AB70" s="117">
        <f t="shared" si="35"/>
        <v>0</v>
      </c>
      <c r="AC70" s="118"/>
      <c r="AD70" s="119">
        <f t="shared" si="36"/>
        <v>0</v>
      </c>
      <c r="AE70" s="118"/>
      <c r="AF70" s="118"/>
      <c r="AG70" s="118"/>
      <c r="AH70" s="118"/>
      <c r="AI70" s="152">
        <f t="shared" si="37"/>
        <v>0</v>
      </c>
      <c r="AJ70" s="118"/>
      <c r="AK70" s="120">
        <f t="shared" si="38"/>
        <v>0</v>
      </c>
      <c r="AL70" s="121">
        <f t="shared" si="39"/>
        <v>0</v>
      </c>
      <c r="AM70" s="122"/>
      <c r="AN70" s="123">
        <f t="shared" si="40"/>
        <v>0</v>
      </c>
      <c r="AO70" s="124">
        <f t="shared" si="41"/>
        <v>0</v>
      </c>
      <c r="AP70" s="124">
        <f t="shared" si="42"/>
        <v>0</v>
      </c>
      <c r="AQ70" s="124">
        <f t="shared" si="43"/>
        <v>0</v>
      </c>
      <c r="AR70" s="124">
        <f t="shared" si="44"/>
        <v>0</v>
      </c>
      <c r="AS70" s="124">
        <f t="array" ref="AS70">_xlfn.IFS(S70=0,AL70,S70&lt;0,AL70/-S70,S70&gt;0,AL70/S70)</f>
        <v>0</v>
      </c>
      <c r="AT70" s="119">
        <f t="shared" si="45"/>
        <v>0</v>
      </c>
      <c r="AU70" s="119">
        <f t="shared" si="46"/>
        <v>0</v>
      </c>
      <c r="AV70" s="125"/>
      <c r="AW70" s="120">
        <f t="shared" si="47"/>
        <v>0</v>
      </c>
    </row>
    <row r="71" spans="1:49" hidden="1" outlineLevel="1">
      <c r="A71" s="114"/>
      <c r="B71" s="115"/>
      <c r="C71" s="115"/>
      <c r="D71" s="116"/>
      <c r="E71" s="117">
        <f t="shared" si="49"/>
        <v>0</v>
      </c>
      <c r="F71" s="117"/>
      <c r="G71" s="117"/>
      <c r="H71" s="117"/>
      <c r="I71" s="117"/>
      <c r="J71" s="117">
        <f t="shared" si="28"/>
        <v>0</v>
      </c>
      <c r="K71" s="114"/>
      <c r="L71" s="114"/>
      <c r="M71" s="114"/>
      <c r="N71" s="114"/>
      <c r="O71" s="117">
        <f t="shared" si="29"/>
        <v>0</v>
      </c>
      <c r="P71" s="117">
        <f t="shared" si="30"/>
        <v>0</v>
      </c>
      <c r="Q71" s="118"/>
      <c r="R71" s="118"/>
      <c r="S71" s="117">
        <f t="shared" si="31"/>
        <v>0</v>
      </c>
      <c r="T71" s="117"/>
      <c r="U71" s="117"/>
      <c r="V71" s="117">
        <f t="shared" si="32"/>
        <v>0</v>
      </c>
      <c r="W71" s="118"/>
      <c r="X71" s="118"/>
      <c r="Y71" s="117">
        <f t="shared" si="33"/>
        <v>0</v>
      </c>
      <c r="Z71" s="117">
        <f t="shared" si="34"/>
        <v>0</v>
      </c>
      <c r="AA71" s="119">
        <f t="shared" si="48"/>
        <v>0</v>
      </c>
      <c r="AB71" s="117">
        <f t="shared" si="35"/>
        <v>0</v>
      </c>
      <c r="AC71" s="118"/>
      <c r="AD71" s="119">
        <f t="shared" si="36"/>
        <v>0</v>
      </c>
      <c r="AE71" s="118"/>
      <c r="AF71" s="118"/>
      <c r="AG71" s="118"/>
      <c r="AH71" s="118"/>
      <c r="AI71" s="152">
        <f t="shared" si="37"/>
        <v>0</v>
      </c>
      <c r="AJ71" s="118"/>
      <c r="AK71" s="120">
        <f t="shared" si="38"/>
        <v>0</v>
      </c>
      <c r="AL71" s="121">
        <f t="shared" si="39"/>
        <v>0</v>
      </c>
      <c r="AM71" s="122"/>
      <c r="AN71" s="123">
        <f t="shared" si="40"/>
        <v>0</v>
      </c>
      <c r="AO71" s="124">
        <f t="shared" si="41"/>
        <v>0</v>
      </c>
      <c r="AP71" s="124">
        <f t="shared" si="42"/>
        <v>0</v>
      </c>
      <c r="AQ71" s="124">
        <f t="shared" si="43"/>
        <v>0</v>
      </c>
      <c r="AR71" s="124">
        <f t="shared" si="44"/>
        <v>0</v>
      </c>
      <c r="AS71" s="124">
        <f t="array" ref="AS71">_xlfn.IFS(S71=0,AL71,S71&lt;0,AL71/-S71,S71&gt;0,AL71/S71)</f>
        <v>0</v>
      </c>
      <c r="AT71" s="119">
        <f t="shared" si="45"/>
        <v>0</v>
      </c>
      <c r="AU71" s="119">
        <f t="shared" si="46"/>
        <v>0</v>
      </c>
      <c r="AV71" s="125"/>
      <c r="AW71" s="120">
        <f t="shared" si="47"/>
        <v>0</v>
      </c>
    </row>
    <row r="72" spans="1:49" hidden="1" outlineLevel="1">
      <c r="A72" s="114"/>
      <c r="B72" s="115"/>
      <c r="C72" s="115"/>
      <c r="D72" s="116"/>
      <c r="E72" s="117">
        <f t="shared" si="49"/>
        <v>0</v>
      </c>
      <c r="F72" s="117"/>
      <c r="G72" s="117"/>
      <c r="H72" s="117"/>
      <c r="I72" s="117"/>
      <c r="J72" s="117">
        <f t="shared" si="28"/>
        <v>0</v>
      </c>
      <c r="K72" s="114"/>
      <c r="L72" s="114"/>
      <c r="M72" s="114"/>
      <c r="N72" s="114"/>
      <c r="O72" s="117">
        <f t="shared" si="29"/>
        <v>0</v>
      </c>
      <c r="P72" s="117">
        <f t="shared" si="30"/>
        <v>0</v>
      </c>
      <c r="Q72" s="118"/>
      <c r="R72" s="118"/>
      <c r="S72" s="117">
        <f t="shared" si="31"/>
        <v>0</v>
      </c>
      <c r="T72" s="117"/>
      <c r="U72" s="117"/>
      <c r="V72" s="117">
        <f t="shared" si="32"/>
        <v>0</v>
      </c>
      <c r="W72" s="118"/>
      <c r="X72" s="118"/>
      <c r="Y72" s="117">
        <f t="shared" si="33"/>
        <v>0</v>
      </c>
      <c r="Z72" s="117">
        <f t="shared" si="34"/>
        <v>0</v>
      </c>
      <c r="AA72" s="119">
        <f t="shared" si="48"/>
        <v>0</v>
      </c>
      <c r="AB72" s="117">
        <f t="shared" si="35"/>
        <v>0</v>
      </c>
      <c r="AC72" s="118"/>
      <c r="AD72" s="119">
        <f t="shared" si="36"/>
        <v>0</v>
      </c>
      <c r="AE72" s="118"/>
      <c r="AF72" s="118"/>
      <c r="AG72" s="118"/>
      <c r="AH72" s="118"/>
      <c r="AI72" s="152">
        <f t="shared" si="37"/>
        <v>0</v>
      </c>
      <c r="AJ72" s="118"/>
      <c r="AK72" s="120">
        <f t="shared" si="38"/>
        <v>0</v>
      </c>
      <c r="AL72" s="121">
        <f t="shared" si="39"/>
        <v>0</v>
      </c>
      <c r="AM72" s="122"/>
      <c r="AN72" s="123">
        <f t="shared" si="40"/>
        <v>0</v>
      </c>
      <c r="AO72" s="124">
        <f t="shared" si="41"/>
        <v>0</v>
      </c>
      <c r="AP72" s="124">
        <f t="shared" si="42"/>
        <v>0</v>
      </c>
      <c r="AQ72" s="124">
        <f t="shared" si="43"/>
        <v>0</v>
      </c>
      <c r="AR72" s="124">
        <f t="shared" si="44"/>
        <v>0</v>
      </c>
      <c r="AS72" s="124">
        <f t="array" ref="AS72">_xlfn.IFS(S72=0,AL72,S72&lt;0,AL72/-S72,S72&gt;0,AL72/S72)</f>
        <v>0</v>
      </c>
      <c r="AT72" s="119">
        <f t="shared" si="45"/>
        <v>0</v>
      </c>
      <c r="AU72" s="119">
        <f t="shared" si="46"/>
        <v>0</v>
      </c>
      <c r="AV72" s="125"/>
      <c r="AW72" s="120">
        <f t="shared" si="47"/>
        <v>0</v>
      </c>
    </row>
    <row r="73" spans="1:49" hidden="1" outlineLevel="1">
      <c r="A73" s="114"/>
      <c r="B73" s="115"/>
      <c r="C73" s="115"/>
      <c r="D73" s="116"/>
      <c r="E73" s="117">
        <f t="shared" si="49"/>
        <v>0</v>
      </c>
      <c r="F73" s="117"/>
      <c r="G73" s="117"/>
      <c r="H73" s="117"/>
      <c r="I73" s="117"/>
      <c r="J73" s="117">
        <f t="shared" si="28"/>
        <v>0</v>
      </c>
      <c r="K73" s="114"/>
      <c r="L73" s="114"/>
      <c r="M73" s="114"/>
      <c r="N73" s="114"/>
      <c r="O73" s="117">
        <f t="shared" si="29"/>
        <v>0</v>
      </c>
      <c r="P73" s="117">
        <f t="shared" si="30"/>
        <v>0</v>
      </c>
      <c r="Q73" s="118"/>
      <c r="R73" s="118"/>
      <c r="S73" s="117">
        <f t="shared" si="31"/>
        <v>0</v>
      </c>
      <c r="T73" s="117"/>
      <c r="U73" s="117"/>
      <c r="V73" s="117">
        <f t="shared" si="32"/>
        <v>0</v>
      </c>
      <c r="W73" s="118"/>
      <c r="X73" s="118"/>
      <c r="Y73" s="117">
        <f t="shared" si="33"/>
        <v>0</v>
      </c>
      <c r="Z73" s="117">
        <f t="shared" si="34"/>
        <v>0</v>
      </c>
      <c r="AA73" s="119">
        <f t="shared" si="48"/>
        <v>0</v>
      </c>
      <c r="AB73" s="117">
        <f t="shared" si="35"/>
        <v>0</v>
      </c>
      <c r="AC73" s="118"/>
      <c r="AD73" s="119">
        <f t="shared" si="36"/>
        <v>0</v>
      </c>
      <c r="AE73" s="118"/>
      <c r="AF73" s="118"/>
      <c r="AG73" s="118"/>
      <c r="AH73" s="118"/>
      <c r="AI73" s="152">
        <f t="shared" si="37"/>
        <v>0</v>
      </c>
      <c r="AJ73" s="118"/>
      <c r="AK73" s="120">
        <f t="shared" si="38"/>
        <v>0</v>
      </c>
      <c r="AL73" s="121">
        <f t="shared" si="39"/>
        <v>0</v>
      </c>
      <c r="AM73" s="122"/>
      <c r="AN73" s="123">
        <f t="shared" si="40"/>
        <v>0</v>
      </c>
      <c r="AO73" s="124">
        <f t="shared" si="41"/>
        <v>0</v>
      </c>
      <c r="AP73" s="124">
        <f t="shared" si="42"/>
        <v>0</v>
      </c>
      <c r="AQ73" s="124">
        <f t="shared" si="43"/>
        <v>0</v>
      </c>
      <c r="AR73" s="124">
        <f t="shared" si="44"/>
        <v>0</v>
      </c>
      <c r="AS73" s="124">
        <f t="array" ref="AS73">_xlfn.IFS(S73=0,AL73,S73&lt;0,AL73/-S73,S73&gt;0,AL73/S73)</f>
        <v>0</v>
      </c>
      <c r="AT73" s="119">
        <f t="shared" si="45"/>
        <v>0</v>
      </c>
      <c r="AU73" s="119">
        <f t="shared" si="46"/>
        <v>0</v>
      </c>
      <c r="AV73" s="125"/>
      <c r="AW73" s="120">
        <f t="shared" si="47"/>
        <v>0</v>
      </c>
    </row>
    <row r="74" spans="1:49" hidden="1" outlineLevel="1">
      <c r="A74" s="114"/>
      <c r="B74" s="115"/>
      <c r="C74" s="115"/>
      <c r="D74" s="116"/>
      <c r="E74" s="117">
        <f t="shared" si="49"/>
        <v>0</v>
      </c>
      <c r="F74" s="117"/>
      <c r="G74" s="117"/>
      <c r="H74" s="117"/>
      <c r="I74" s="117"/>
      <c r="J74" s="117">
        <f t="shared" si="28"/>
        <v>0</v>
      </c>
      <c r="K74" s="114"/>
      <c r="L74" s="114"/>
      <c r="M74" s="114"/>
      <c r="N74" s="114"/>
      <c r="O74" s="117">
        <f t="shared" si="29"/>
        <v>0</v>
      </c>
      <c r="P74" s="117">
        <f t="shared" si="30"/>
        <v>0</v>
      </c>
      <c r="Q74" s="118"/>
      <c r="R74" s="118"/>
      <c r="S74" s="117">
        <f t="shared" si="31"/>
        <v>0</v>
      </c>
      <c r="T74" s="117"/>
      <c r="U74" s="117"/>
      <c r="V74" s="117">
        <f t="shared" si="32"/>
        <v>0</v>
      </c>
      <c r="W74" s="118"/>
      <c r="X74" s="118"/>
      <c r="Y74" s="117">
        <f t="shared" si="33"/>
        <v>0</v>
      </c>
      <c r="Z74" s="117">
        <f t="shared" si="34"/>
        <v>0</v>
      </c>
      <c r="AA74" s="119">
        <f t="shared" si="48"/>
        <v>0</v>
      </c>
      <c r="AB74" s="117">
        <f t="shared" si="35"/>
        <v>0</v>
      </c>
      <c r="AC74" s="118"/>
      <c r="AD74" s="119">
        <f t="shared" si="36"/>
        <v>0</v>
      </c>
      <c r="AE74" s="118"/>
      <c r="AF74" s="118"/>
      <c r="AG74" s="118"/>
      <c r="AH74" s="118"/>
      <c r="AI74" s="152">
        <f t="shared" si="37"/>
        <v>0</v>
      </c>
      <c r="AJ74" s="118"/>
      <c r="AK74" s="120">
        <f t="shared" si="38"/>
        <v>0</v>
      </c>
      <c r="AL74" s="121">
        <f t="shared" si="39"/>
        <v>0</v>
      </c>
      <c r="AM74" s="122"/>
      <c r="AN74" s="123">
        <f t="shared" si="40"/>
        <v>0</v>
      </c>
      <c r="AO74" s="124">
        <f t="shared" si="41"/>
        <v>0</v>
      </c>
      <c r="AP74" s="124">
        <f t="shared" si="42"/>
        <v>0</v>
      </c>
      <c r="AQ74" s="124">
        <f t="shared" si="43"/>
        <v>0</v>
      </c>
      <c r="AR74" s="124">
        <f t="shared" si="44"/>
        <v>0</v>
      </c>
      <c r="AS74" s="124">
        <f t="array" ref="AS74">_xlfn.IFS(S74=0,AL74,S74&lt;0,AL74/-S74,S74&gt;0,AL74/S74)</f>
        <v>0</v>
      </c>
      <c r="AT74" s="119">
        <f t="shared" si="45"/>
        <v>0</v>
      </c>
      <c r="AU74" s="119">
        <f t="shared" si="46"/>
        <v>0</v>
      </c>
      <c r="AV74" s="125"/>
      <c r="AW74" s="120">
        <f t="shared" si="47"/>
        <v>0</v>
      </c>
    </row>
    <row r="75" spans="1:49" hidden="1" outlineLevel="1">
      <c r="A75" s="114"/>
      <c r="B75" s="115"/>
      <c r="C75" s="115"/>
      <c r="D75" s="116"/>
      <c r="E75" s="117">
        <f t="shared" si="49"/>
        <v>0</v>
      </c>
      <c r="F75" s="117"/>
      <c r="G75" s="117"/>
      <c r="H75" s="117"/>
      <c r="I75" s="117"/>
      <c r="J75" s="117">
        <f t="shared" si="28"/>
        <v>0</v>
      </c>
      <c r="K75" s="114"/>
      <c r="L75" s="114"/>
      <c r="M75" s="114"/>
      <c r="N75" s="114"/>
      <c r="O75" s="117">
        <f t="shared" si="29"/>
        <v>0</v>
      </c>
      <c r="P75" s="117">
        <f t="shared" si="30"/>
        <v>0</v>
      </c>
      <c r="Q75" s="118"/>
      <c r="R75" s="118"/>
      <c r="S75" s="117">
        <f t="shared" si="31"/>
        <v>0</v>
      </c>
      <c r="T75" s="117"/>
      <c r="U75" s="117"/>
      <c r="V75" s="117">
        <f t="shared" si="32"/>
        <v>0</v>
      </c>
      <c r="W75" s="118"/>
      <c r="X75" s="118"/>
      <c r="Y75" s="117">
        <f t="shared" si="33"/>
        <v>0</v>
      </c>
      <c r="Z75" s="117">
        <f t="shared" si="34"/>
        <v>0</v>
      </c>
      <c r="AA75" s="119">
        <f t="shared" si="48"/>
        <v>0</v>
      </c>
      <c r="AB75" s="117">
        <f t="shared" si="35"/>
        <v>0</v>
      </c>
      <c r="AC75" s="118"/>
      <c r="AD75" s="119">
        <f t="shared" si="36"/>
        <v>0</v>
      </c>
      <c r="AE75" s="118"/>
      <c r="AF75" s="118"/>
      <c r="AG75" s="118"/>
      <c r="AH75" s="118"/>
      <c r="AI75" s="152">
        <f t="shared" si="37"/>
        <v>0</v>
      </c>
      <c r="AJ75" s="118"/>
      <c r="AK75" s="120">
        <f t="shared" si="38"/>
        <v>0</v>
      </c>
      <c r="AL75" s="121">
        <f t="shared" si="39"/>
        <v>0</v>
      </c>
      <c r="AM75" s="122"/>
      <c r="AN75" s="123">
        <f t="shared" si="40"/>
        <v>0</v>
      </c>
      <c r="AO75" s="124">
        <f t="shared" si="41"/>
        <v>0</v>
      </c>
      <c r="AP75" s="124">
        <f t="shared" si="42"/>
        <v>0</v>
      </c>
      <c r="AQ75" s="124">
        <f t="shared" si="43"/>
        <v>0</v>
      </c>
      <c r="AR75" s="124">
        <f t="shared" si="44"/>
        <v>0</v>
      </c>
      <c r="AS75" s="124">
        <f t="array" ref="AS75">_xlfn.IFS(S75=0,AL75,S75&lt;0,AL75/-S75,S75&gt;0,AL75/S75)</f>
        <v>0</v>
      </c>
      <c r="AT75" s="119">
        <f t="shared" si="45"/>
        <v>0</v>
      </c>
      <c r="AU75" s="119">
        <f t="shared" si="46"/>
        <v>0</v>
      </c>
      <c r="AV75" s="125"/>
      <c r="AW75" s="120">
        <f t="shared" si="47"/>
        <v>0</v>
      </c>
    </row>
    <row r="76" spans="1:49" hidden="1" outlineLevel="1">
      <c r="A76" s="114"/>
      <c r="B76" s="115"/>
      <c r="C76" s="115"/>
      <c r="D76" s="116"/>
      <c r="E76" s="117">
        <f t="shared" si="49"/>
        <v>0</v>
      </c>
      <c r="F76" s="117"/>
      <c r="G76" s="117"/>
      <c r="H76" s="117"/>
      <c r="I76" s="117"/>
      <c r="J76" s="117">
        <f t="shared" si="28"/>
        <v>0</v>
      </c>
      <c r="K76" s="114"/>
      <c r="L76" s="114"/>
      <c r="M76" s="114"/>
      <c r="N76" s="114"/>
      <c r="O76" s="117">
        <f t="shared" si="29"/>
        <v>0</v>
      </c>
      <c r="P76" s="117">
        <f t="shared" si="30"/>
        <v>0</v>
      </c>
      <c r="Q76" s="118"/>
      <c r="R76" s="118"/>
      <c r="S76" s="117">
        <f t="shared" si="31"/>
        <v>0</v>
      </c>
      <c r="T76" s="117"/>
      <c r="U76" s="117"/>
      <c r="V76" s="117">
        <f t="shared" si="32"/>
        <v>0</v>
      </c>
      <c r="W76" s="118"/>
      <c r="X76" s="118"/>
      <c r="Y76" s="117">
        <f t="shared" si="33"/>
        <v>0</v>
      </c>
      <c r="Z76" s="117">
        <f t="shared" si="34"/>
        <v>0</v>
      </c>
      <c r="AA76" s="119">
        <f t="shared" si="48"/>
        <v>0</v>
      </c>
      <c r="AB76" s="117">
        <f t="shared" si="35"/>
        <v>0</v>
      </c>
      <c r="AC76" s="118"/>
      <c r="AD76" s="119">
        <f t="shared" si="36"/>
        <v>0</v>
      </c>
      <c r="AE76" s="118"/>
      <c r="AF76" s="118"/>
      <c r="AG76" s="118"/>
      <c r="AH76" s="118"/>
      <c r="AI76" s="152">
        <f t="shared" si="37"/>
        <v>0</v>
      </c>
      <c r="AJ76" s="118"/>
      <c r="AK76" s="120">
        <f t="shared" si="38"/>
        <v>0</v>
      </c>
      <c r="AL76" s="121">
        <f t="shared" si="39"/>
        <v>0</v>
      </c>
      <c r="AM76" s="122"/>
      <c r="AN76" s="123">
        <f t="shared" si="40"/>
        <v>0</v>
      </c>
      <c r="AO76" s="124">
        <f t="shared" si="41"/>
        <v>0</v>
      </c>
      <c r="AP76" s="124">
        <f t="shared" si="42"/>
        <v>0</v>
      </c>
      <c r="AQ76" s="124">
        <f t="shared" si="43"/>
        <v>0</v>
      </c>
      <c r="AR76" s="124">
        <f t="shared" si="44"/>
        <v>0</v>
      </c>
      <c r="AS76" s="124">
        <f t="array" ref="AS76">_xlfn.IFS(S76=0,AL76,S76&lt;0,AL76/-S76,S76&gt;0,AL76/S76)</f>
        <v>0</v>
      </c>
      <c r="AT76" s="119">
        <f t="shared" si="45"/>
        <v>0</v>
      </c>
      <c r="AU76" s="119">
        <f t="shared" si="46"/>
        <v>0</v>
      </c>
      <c r="AV76" s="125"/>
      <c r="AW76" s="120">
        <f t="shared" si="47"/>
        <v>0</v>
      </c>
    </row>
    <row r="77" spans="1:49" hidden="1" outlineLevel="1">
      <c r="A77" s="114"/>
      <c r="B77" s="115"/>
      <c r="C77" s="115"/>
      <c r="D77" s="116"/>
      <c r="E77" s="117">
        <f t="shared" si="49"/>
        <v>0</v>
      </c>
      <c r="F77" s="117"/>
      <c r="G77" s="117"/>
      <c r="H77" s="117"/>
      <c r="I77" s="117"/>
      <c r="J77" s="117">
        <f t="shared" si="28"/>
        <v>0</v>
      </c>
      <c r="K77" s="114"/>
      <c r="L77" s="114"/>
      <c r="M77" s="114"/>
      <c r="N77" s="114"/>
      <c r="O77" s="117">
        <f t="shared" si="29"/>
        <v>0</v>
      </c>
      <c r="P77" s="117">
        <f t="shared" si="30"/>
        <v>0</v>
      </c>
      <c r="Q77" s="118"/>
      <c r="R77" s="118"/>
      <c r="S77" s="117">
        <f t="shared" si="31"/>
        <v>0</v>
      </c>
      <c r="T77" s="117"/>
      <c r="U77" s="117"/>
      <c r="V77" s="117">
        <f t="shared" si="32"/>
        <v>0</v>
      </c>
      <c r="W77" s="118"/>
      <c r="X77" s="118"/>
      <c r="Y77" s="117">
        <f t="shared" si="33"/>
        <v>0</v>
      </c>
      <c r="Z77" s="117">
        <f t="shared" si="34"/>
        <v>0</v>
      </c>
      <c r="AA77" s="119">
        <f t="shared" si="48"/>
        <v>0</v>
      </c>
      <c r="AB77" s="117">
        <f t="shared" si="35"/>
        <v>0</v>
      </c>
      <c r="AC77" s="118"/>
      <c r="AD77" s="119">
        <f t="shared" si="36"/>
        <v>0</v>
      </c>
      <c r="AE77" s="118"/>
      <c r="AF77" s="118"/>
      <c r="AG77" s="118"/>
      <c r="AH77" s="118"/>
      <c r="AI77" s="152">
        <f t="shared" si="37"/>
        <v>0</v>
      </c>
      <c r="AJ77" s="118"/>
      <c r="AK77" s="120">
        <f t="shared" si="38"/>
        <v>0</v>
      </c>
      <c r="AL77" s="121">
        <f t="shared" si="39"/>
        <v>0</v>
      </c>
      <c r="AM77" s="122"/>
      <c r="AN77" s="123">
        <f t="shared" si="40"/>
        <v>0</v>
      </c>
      <c r="AO77" s="124">
        <f t="shared" si="41"/>
        <v>0</v>
      </c>
      <c r="AP77" s="124">
        <f t="shared" si="42"/>
        <v>0</v>
      </c>
      <c r="AQ77" s="124">
        <f t="shared" si="43"/>
        <v>0</v>
      </c>
      <c r="AR77" s="124">
        <f t="shared" si="44"/>
        <v>0</v>
      </c>
      <c r="AS77" s="124">
        <f t="array" ref="AS77">_xlfn.IFS(S77=0,AL77,S77&lt;0,AL77/-S77,S77&gt;0,AL77/S77)</f>
        <v>0</v>
      </c>
      <c r="AT77" s="119">
        <f t="shared" si="45"/>
        <v>0</v>
      </c>
      <c r="AU77" s="119">
        <f t="shared" si="46"/>
        <v>0</v>
      </c>
      <c r="AV77" s="125"/>
      <c r="AW77" s="120">
        <f t="shared" si="47"/>
        <v>0</v>
      </c>
    </row>
    <row r="78" spans="1:49" hidden="1" outlineLevel="1">
      <c r="A78" s="114"/>
      <c r="B78" s="115"/>
      <c r="C78" s="115"/>
      <c r="D78" s="116"/>
      <c r="E78" s="117">
        <f t="shared" si="49"/>
        <v>0</v>
      </c>
      <c r="F78" s="117"/>
      <c r="G78" s="117"/>
      <c r="H78" s="117"/>
      <c r="I78" s="117"/>
      <c r="J78" s="117">
        <f t="shared" si="28"/>
        <v>0</v>
      </c>
      <c r="K78" s="114"/>
      <c r="L78" s="114"/>
      <c r="M78" s="114"/>
      <c r="N78" s="114"/>
      <c r="O78" s="117">
        <f t="shared" si="29"/>
        <v>0</v>
      </c>
      <c r="P78" s="117">
        <f t="shared" si="30"/>
        <v>0</v>
      </c>
      <c r="Q78" s="118"/>
      <c r="R78" s="118"/>
      <c r="S78" s="117">
        <f t="shared" si="31"/>
        <v>0</v>
      </c>
      <c r="T78" s="117"/>
      <c r="U78" s="117"/>
      <c r="V78" s="117">
        <f t="shared" si="32"/>
        <v>0</v>
      </c>
      <c r="W78" s="118"/>
      <c r="X78" s="118"/>
      <c r="Y78" s="117">
        <f t="shared" si="33"/>
        <v>0</v>
      </c>
      <c r="Z78" s="117">
        <f t="shared" si="34"/>
        <v>0</v>
      </c>
      <c r="AA78" s="119">
        <f t="shared" si="48"/>
        <v>0</v>
      </c>
      <c r="AB78" s="117">
        <f t="shared" si="35"/>
        <v>0</v>
      </c>
      <c r="AC78" s="118"/>
      <c r="AD78" s="119">
        <f t="shared" si="36"/>
        <v>0</v>
      </c>
      <c r="AE78" s="118"/>
      <c r="AF78" s="118"/>
      <c r="AG78" s="118"/>
      <c r="AH78" s="118"/>
      <c r="AI78" s="152">
        <f t="shared" si="37"/>
        <v>0</v>
      </c>
      <c r="AJ78" s="118"/>
      <c r="AK78" s="120">
        <f t="shared" si="38"/>
        <v>0</v>
      </c>
      <c r="AL78" s="121">
        <f t="shared" si="39"/>
        <v>0</v>
      </c>
      <c r="AM78" s="122"/>
      <c r="AN78" s="123">
        <f t="shared" si="40"/>
        <v>0</v>
      </c>
      <c r="AO78" s="124">
        <f t="shared" si="41"/>
        <v>0</v>
      </c>
      <c r="AP78" s="124">
        <f t="shared" si="42"/>
        <v>0</v>
      </c>
      <c r="AQ78" s="124">
        <f t="shared" si="43"/>
        <v>0</v>
      </c>
      <c r="AR78" s="124">
        <f t="shared" si="44"/>
        <v>0</v>
      </c>
      <c r="AS78" s="124">
        <f t="array" ref="AS78">_xlfn.IFS(S78=0,AL78,S78&lt;0,AL78/-S78,S78&gt;0,AL78/S78)</f>
        <v>0</v>
      </c>
      <c r="AT78" s="119">
        <f t="shared" si="45"/>
        <v>0</v>
      </c>
      <c r="AU78" s="119">
        <f t="shared" si="46"/>
        <v>0</v>
      </c>
      <c r="AV78" s="125"/>
      <c r="AW78" s="120">
        <f t="shared" si="47"/>
        <v>0</v>
      </c>
    </row>
    <row r="79" spans="1:49" hidden="1" outlineLevel="1">
      <c r="A79" s="114"/>
      <c r="B79" s="115"/>
      <c r="C79" s="115"/>
      <c r="D79" s="116"/>
      <c r="E79" s="117">
        <f t="shared" si="49"/>
        <v>0</v>
      </c>
      <c r="F79" s="117"/>
      <c r="G79" s="117"/>
      <c r="H79" s="117"/>
      <c r="I79" s="117"/>
      <c r="J79" s="117">
        <f t="shared" si="28"/>
        <v>0</v>
      </c>
      <c r="K79" s="114"/>
      <c r="L79" s="114"/>
      <c r="M79" s="114"/>
      <c r="N79" s="114"/>
      <c r="O79" s="117">
        <f t="shared" si="29"/>
        <v>0</v>
      </c>
      <c r="P79" s="117">
        <f t="shared" si="30"/>
        <v>0</v>
      </c>
      <c r="Q79" s="118"/>
      <c r="R79" s="118"/>
      <c r="S79" s="117">
        <f t="shared" si="31"/>
        <v>0</v>
      </c>
      <c r="T79" s="117"/>
      <c r="U79" s="117"/>
      <c r="V79" s="117">
        <f t="shared" si="32"/>
        <v>0</v>
      </c>
      <c r="W79" s="118"/>
      <c r="X79" s="118"/>
      <c r="Y79" s="117">
        <f t="shared" si="33"/>
        <v>0</v>
      </c>
      <c r="Z79" s="117">
        <f t="shared" si="34"/>
        <v>0</v>
      </c>
      <c r="AA79" s="119">
        <f t="shared" si="48"/>
        <v>0</v>
      </c>
      <c r="AB79" s="117">
        <f t="shared" si="35"/>
        <v>0</v>
      </c>
      <c r="AC79" s="118"/>
      <c r="AD79" s="119">
        <f t="shared" si="36"/>
        <v>0</v>
      </c>
      <c r="AE79" s="118"/>
      <c r="AF79" s="118"/>
      <c r="AG79" s="118"/>
      <c r="AH79" s="118"/>
      <c r="AI79" s="152">
        <f t="shared" si="37"/>
        <v>0</v>
      </c>
      <c r="AJ79" s="118"/>
      <c r="AK79" s="120">
        <f t="shared" si="38"/>
        <v>0</v>
      </c>
      <c r="AL79" s="121">
        <f t="shared" si="39"/>
        <v>0</v>
      </c>
      <c r="AM79" s="122"/>
      <c r="AN79" s="123">
        <f t="shared" si="40"/>
        <v>0</v>
      </c>
      <c r="AO79" s="124">
        <f t="shared" si="41"/>
        <v>0</v>
      </c>
      <c r="AP79" s="124">
        <f t="shared" si="42"/>
        <v>0</v>
      </c>
      <c r="AQ79" s="124">
        <f t="shared" si="43"/>
        <v>0</v>
      </c>
      <c r="AR79" s="124">
        <f t="shared" si="44"/>
        <v>0</v>
      </c>
      <c r="AS79" s="124">
        <f t="array" ref="AS79">_xlfn.IFS(S79=0,AL79,S79&lt;0,AL79/-S79,S79&gt;0,AL79/S79)</f>
        <v>0</v>
      </c>
      <c r="AT79" s="119">
        <f t="shared" si="45"/>
        <v>0</v>
      </c>
      <c r="AU79" s="119">
        <f t="shared" si="46"/>
        <v>0</v>
      </c>
      <c r="AV79" s="125"/>
      <c r="AW79" s="120">
        <f t="shared" si="47"/>
        <v>0</v>
      </c>
    </row>
    <row r="80" spans="1:49" hidden="1" outlineLevel="1">
      <c r="A80" s="114"/>
      <c r="B80" s="115"/>
      <c r="C80" s="115"/>
      <c r="D80" s="116"/>
      <c r="E80" s="117">
        <f t="shared" si="49"/>
        <v>0</v>
      </c>
      <c r="F80" s="117"/>
      <c r="G80" s="117"/>
      <c r="H80" s="117"/>
      <c r="I80" s="117"/>
      <c r="J80" s="117">
        <f t="shared" si="28"/>
        <v>0</v>
      </c>
      <c r="K80" s="114"/>
      <c r="L80" s="114"/>
      <c r="M80" s="114"/>
      <c r="N80" s="114"/>
      <c r="O80" s="117">
        <f t="shared" si="29"/>
        <v>0</v>
      </c>
      <c r="P80" s="117">
        <f t="shared" si="30"/>
        <v>0</v>
      </c>
      <c r="Q80" s="118"/>
      <c r="R80" s="118"/>
      <c r="S80" s="117">
        <f t="shared" si="31"/>
        <v>0</v>
      </c>
      <c r="T80" s="117"/>
      <c r="U80" s="117"/>
      <c r="V80" s="117">
        <f t="shared" si="32"/>
        <v>0</v>
      </c>
      <c r="W80" s="118"/>
      <c r="X80" s="118"/>
      <c r="Y80" s="117">
        <f t="shared" si="33"/>
        <v>0</v>
      </c>
      <c r="Z80" s="117">
        <f t="shared" si="34"/>
        <v>0</v>
      </c>
      <c r="AA80" s="119">
        <f t="shared" si="48"/>
        <v>0</v>
      </c>
      <c r="AB80" s="117">
        <f t="shared" si="35"/>
        <v>0</v>
      </c>
      <c r="AC80" s="118"/>
      <c r="AD80" s="119">
        <f t="shared" si="36"/>
        <v>0</v>
      </c>
      <c r="AE80" s="118"/>
      <c r="AF80" s="118"/>
      <c r="AG80" s="118"/>
      <c r="AH80" s="118"/>
      <c r="AI80" s="152">
        <f t="shared" si="37"/>
        <v>0</v>
      </c>
      <c r="AJ80" s="118"/>
      <c r="AK80" s="120">
        <f t="shared" si="38"/>
        <v>0</v>
      </c>
      <c r="AL80" s="121">
        <f t="shared" si="39"/>
        <v>0</v>
      </c>
      <c r="AM80" s="122"/>
      <c r="AN80" s="123">
        <f t="shared" si="40"/>
        <v>0</v>
      </c>
      <c r="AO80" s="124">
        <f t="shared" si="41"/>
        <v>0</v>
      </c>
      <c r="AP80" s="124">
        <f t="shared" si="42"/>
        <v>0</v>
      </c>
      <c r="AQ80" s="124">
        <f t="shared" si="43"/>
        <v>0</v>
      </c>
      <c r="AR80" s="124">
        <f t="shared" si="44"/>
        <v>0</v>
      </c>
      <c r="AS80" s="124">
        <f t="array" ref="AS80">_xlfn.IFS(S80=0,AL80,S80&lt;0,AL80/-S80,S80&gt;0,AL80/S80)</f>
        <v>0</v>
      </c>
      <c r="AT80" s="119">
        <f t="shared" si="45"/>
        <v>0</v>
      </c>
      <c r="AU80" s="119">
        <f t="shared" si="46"/>
        <v>0</v>
      </c>
      <c r="AV80" s="125"/>
      <c r="AW80" s="120">
        <f t="shared" si="47"/>
        <v>0</v>
      </c>
    </row>
    <row r="81" spans="1:49" hidden="1" outlineLevel="1">
      <c r="A81" s="114"/>
      <c r="B81" s="115"/>
      <c r="C81" s="115"/>
      <c r="D81" s="116"/>
      <c r="E81" s="117">
        <f t="shared" si="49"/>
        <v>0</v>
      </c>
      <c r="F81" s="117"/>
      <c r="G81" s="117"/>
      <c r="H81" s="117"/>
      <c r="I81" s="117"/>
      <c r="J81" s="117">
        <f t="shared" si="28"/>
        <v>0</v>
      </c>
      <c r="K81" s="114"/>
      <c r="L81" s="114"/>
      <c r="M81" s="114"/>
      <c r="N81" s="114"/>
      <c r="O81" s="117">
        <f t="shared" si="29"/>
        <v>0</v>
      </c>
      <c r="P81" s="117">
        <f t="shared" si="30"/>
        <v>0</v>
      </c>
      <c r="Q81" s="118"/>
      <c r="R81" s="118"/>
      <c r="S81" s="117">
        <f t="shared" si="31"/>
        <v>0</v>
      </c>
      <c r="T81" s="117"/>
      <c r="U81" s="117"/>
      <c r="V81" s="117">
        <f t="shared" si="32"/>
        <v>0</v>
      </c>
      <c r="W81" s="118"/>
      <c r="X81" s="118"/>
      <c r="Y81" s="117">
        <f t="shared" si="33"/>
        <v>0</v>
      </c>
      <c r="Z81" s="117">
        <f t="shared" si="34"/>
        <v>0</v>
      </c>
      <c r="AA81" s="119">
        <f t="shared" si="48"/>
        <v>0</v>
      </c>
      <c r="AB81" s="117">
        <f t="shared" si="35"/>
        <v>0</v>
      </c>
      <c r="AC81" s="118"/>
      <c r="AD81" s="119">
        <f t="shared" si="36"/>
        <v>0</v>
      </c>
      <c r="AE81" s="118"/>
      <c r="AF81" s="118"/>
      <c r="AG81" s="118"/>
      <c r="AH81" s="118"/>
      <c r="AI81" s="152">
        <f t="shared" si="37"/>
        <v>0</v>
      </c>
      <c r="AJ81" s="118"/>
      <c r="AK81" s="120">
        <f t="shared" si="38"/>
        <v>0</v>
      </c>
      <c r="AL81" s="121">
        <f t="shared" si="39"/>
        <v>0</v>
      </c>
      <c r="AM81" s="122"/>
      <c r="AN81" s="123">
        <f t="shared" si="40"/>
        <v>0</v>
      </c>
      <c r="AO81" s="124">
        <f t="shared" si="41"/>
        <v>0</v>
      </c>
      <c r="AP81" s="124">
        <f t="shared" si="42"/>
        <v>0</v>
      </c>
      <c r="AQ81" s="124">
        <f t="shared" si="43"/>
        <v>0</v>
      </c>
      <c r="AR81" s="124">
        <f t="shared" si="44"/>
        <v>0</v>
      </c>
      <c r="AS81" s="124">
        <f t="array" ref="AS81">_xlfn.IFS(S81=0,AL81,S81&lt;0,AL81/-S81,S81&gt;0,AL81/S81)</f>
        <v>0</v>
      </c>
      <c r="AT81" s="119">
        <f t="shared" si="45"/>
        <v>0</v>
      </c>
      <c r="AU81" s="119">
        <f t="shared" si="46"/>
        <v>0</v>
      </c>
      <c r="AV81" s="125"/>
      <c r="AW81" s="120">
        <f t="shared" si="47"/>
        <v>0</v>
      </c>
    </row>
    <row r="82" spans="1:49" hidden="1" outlineLevel="1">
      <c r="A82" s="114"/>
      <c r="B82" s="115"/>
      <c r="C82" s="115"/>
      <c r="D82" s="149"/>
      <c r="E82" s="118">
        <f t="shared" si="49"/>
        <v>0</v>
      </c>
      <c r="F82" s="117"/>
      <c r="G82" s="117"/>
      <c r="H82" s="117"/>
      <c r="I82" s="117"/>
      <c r="J82" s="117">
        <f t="shared" si="28"/>
        <v>0</v>
      </c>
      <c r="K82" s="114"/>
      <c r="L82" s="114"/>
      <c r="M82" s="114"/>
      <c r="N82" s="114"/>
      <c r="O82" s="117">
        <f t="shared" si="29"/>
        <v>0</v>
      </c>
      <c r="P82" s="117">
        <f t="shared" si="30"/>
        <v>0</v>
      </c>
      <c r="Q82" s="118"/>
      <c r="R82" s="118"/>
      <c r="S82" s="117">
        <f t="shared" si="31"/>
        <v>0</v>
      </c>
      <c r="T82" s="117"/>
      <c r="U82" s="117"/>
      <c r="V82" s="117">
        <f t="shared" si="32"/>
        <v>0</v>
      </c>
      <c r="W82" s="118"/>
      <c r="X82" s="118"/>
      <c r="Y82" s="117">
        <f t="shared" si="33"/>
        <v>0</v>
      </c>
      <c r="Z82" s="117">
        <f t="shared" si="34"/>
        <v>0</v>
      </c>
      <c r="AA82" s="119">
        <f t="shared" si="48"/>
        <v>0</v>
      </c>
      <c r="AB82" s="117">
        <f t="shared" si="35"/>
        <v>0</v>
      </c>
      <c r="AC82" s="118"/>
      <c r="AD82" s="119">
        <f t="shared" si="36"/>
        <v>0</v>
      </c>
      <c r="AE82" s="118"/>
      <c r="AF82" s="118"/>
      <c r="AG82" s="118"/>
      <c r="AH82" s="118"/>
      <c r="AI82" s="152">
        <f t="shared" si="37"/>
        <v>0</v>
      </c>
      <c r="AJ82" s="118"/>
      <c r="AK82" s="120">
        <f t="shared" si="38"/>
        <v>0</v>
      </c>
      <c r="AL82" s="121">
        <f t="shared" si="39"/>
        <v>0</v>
      </c>
      <c r="AM82" s="122"/>
      <c r="AN82" s="123">
        <f t="shared" si="40"/>
        <v>0</v>
      </c>
      <c r="AO82" s="124">
        <f t="shared" si="41"/>
        <v>0</v>
      </c>
      <c r="AP82" s="124">
        <f t="shared" si="42"/>
        <v>0</v>
      </c>
      <c r="AQ82" s="124">
        <f t="shared" si="43"/>
        <v>0</v>
      </c>
      <c r="AR82" s="124">
        <f t="shared" si="44"/>
        <v>0</v>
      </c>
      <c r="AS82" s="124">
        <f t="array" ref="AS82">_xlfn.IFS(S82=0,AL82,S82&lt;0,AL82/-S82,S82&gt;0,AL82/S82)</f>
        <v>0</v>
      </c>
      <c r="AT82" s="119">
        <f t="shared" si="45"/>
        <v>0</v>
      </c>
      <c r="AU82" s="119">
        <f t="shared" si="46"/>
        <v>0</v>
      </c>
      <c r="AV82" s="125"/>
      <c r="AW82" s="120">
        <f t="shared" si="47"/>
        <v>0</v>
      </c>
    </row>
    <row r="83" spans="1:49" hidden="1" outlineLevel="1">
      <c r="A83" s="114"/>
      <c r="B83" s="115"/>
      <c r="C83" s="115"/>
      <c r="D83" s="149"/>
      <c r="E83" s="118">
        <f t="shared" si="49"/>
        <v>0</v>
      </c>
      <c r="F83" s="117"/>
      <c r="G83" s="117"/>
      <c r="H83" s="117"/>
      <c r="I83" s="117"/>
      <c r="J83" s="117">
        <f t="shared" si="28"/>
        <v>0</v>
      </c>
      <c r="K83" s="114"/>
      <c r="L83" s="114"/>
      <c r="M83" s="114"/>
      <c r="N83" s="114"/>
      <c r="O83" s="117">
        <f t="shared" si="29"/>
        <v>0</v>
      </c>
      <c r="P83" s="117">
        <f t="shared" si="30"/>
        <v>0</v>
      </c>
      <c r="Q83" s="118"/>
      <c r="R83" s="118"/>
      <c r="S83" s="117">
        <f t="shared" si="31"/>
        <v>0</v>
      </c>
      <c r="T83" s="117"/>
      <c r="U83" s="117"/>
      <c r="V83" s="117">
        <f t="shared" si="32"/>
        <v>0</v>
      </c>
      <c r="W83" s="118"/>
      <c r="X83" s="118"/>
      <c r="Y83" s="117">
        <f t="shared" si="33"/>
        <v>0</v>
      </c>
      <c r="Z83" s="117">
        <f t="shared" si="34"/>
        <v>0</v>
      </c>
      <c r="AA83" s="119">
        <f t="shared" si="48"/>
        <v>0</v>
      </c>
      <c r="AB83" s="117">
        <f t="shared" si="35"/>
        <v>0</v>
      </c>
      <c r="AC83" s="118"/>
      <c r="AD83" s="119">
        <f t="shared" si="36"/>
        <v>0</v>
      </c>
      <c r="AE83" s="118"/>
      <c r="AF83" s="118"/>
      <c r="AG83" s="118"/>
      <c r="AH83" s="118"/>
      <c r="AI83" s="152">
        <f t="shared" si="37"/>
        <v>0</v>
      </c>
      <c r="AJ83" s="118"/>
      <c r="AK83" s="120">
        <f t="shared" si="38"/>
        <v>0</v>
      </c>
      <c r="AL83" s="121">
        <f t="shared" si="39"/>
        <v>0</v>
      </c>
      <c r="AM83" s="122"/>
      <c r="AN83" s="123">
        <f t="shared" si="40"/>
        <v>0</v>
      </c>
      <c r="AO83" s="124">
        <f t="shared" si="41"/>
        <v>0</v>
      </c>
      <c r="AP83" s="124">
        <f t="shared" si="42"/>
        <v>0</v>
      </c>
      <c r="AQ83" s="124">
        <f t="shared" si="43"/>
        <v>0</v>
      </c>
      <c r="AR83" s="124">
        <f t="shared" si="44"/>
        <v>0</v>
      </c>
      <c r="AS83" s="124">
        <f t="array" ref="AS83">_xlfn.IFS(S83=0,AL83,S83&lt;0,AL83/-S83,S83&gt;0,AL83/S83)</f>
        <v>0</v>
      </c>
      <c r="AT83" s="119">
        <f t="shared" si="45"/>
        <v>0</v>
      </c>
      <c r="AU83" s="119">
        <f t="shared" si="46"/>
        <v>0</v>
      </c>
      <c r="AV83" s="125"/>
      <c r="AW83" s="120">
        <f t="shared" si="47"/>
        <v>0</v>
      </c>
    </row>
    <row r="84" spans="1:49" hidden="1" outlineLevel="1">
      <c r="A84" s="114"/>
      <c r="B84" s="115"/>
      <c r="C84" s="115"/>
      <c r="D84" s="149"/>
      <c r="E84" s="118">
        <f t="shared" si="49"/>
        <v>0</v>
      </c>
      <c r="F84" s="117"/>
      <c r="G84" s="117"/>
      <c r="H84" s="117"/>
      <c r="I84" s="117"/>
      <c r="J84" s="117">
        <f t="shared" si="28"/>
        <v>0</v>
      </c>
      <c r="K84" s="114"/>
      <c r="L84" s="114"/>
      <c r="M84" s="114"/>
      <c r="N84" s="114"/>
      <c r="O84" s="117">
        <f t="shared" si="29"/>
        <v>0</v>
      </c>
      <c r="P84" s="117">
        <f t="shared" si="30"/>
        <v>0</v>
      </c>
      <c r="Q84" s="118"/>
      <c r="R84" s="118"/>
      <c r="S84" s="117">
        <f t="shared" si="31"/>
        <v>0</v>
      </c>
      <c r="T84" s="117"/>
      <c r="U84" s="117"/>
      <c r="V84" s="117">
        <f t="shared" si="32"/>
        <v>0</v>
      </c>
      <c r="W84" s="118"/>
      <c r="X84" s="118"/>
      <c r="Y84" s="117">
        <f t="shared" si="33"/>
        <v>0</v>
      </c>
      <c r="Z84" s="117">
        <f t="shared" si="34"/>
        <v>0</v>
      </c>
      <c r="AA84" s="119">
        <f t="shared" si="48"/>
        <v>0</v>
      </c>
      <c r="AB84" s="117">
        <f t="shared" si="35"/>
        <v>0</v>
      </c>
      <c r="AC84" s="118"/>
      <c r="AD84" s="119">
        <f t="shared" si="36"/>
        <v>0</v>
      </c>
      <c r="AE84" s="118"/>
      <c r="AF84" s="118"/>
      <c r="AG84" s="118"/>
      <c r="AH84" s="118"/>
      <c r="AI84" s="152">
        <f t="shared" si="37"/>
        <v>0</v>
      </c>
      <c r="AJ84" s="118"/>
      <c r="AK84" s="120">
        <f t="shared" si="38"/>
        <v>0</v>
      </c>
      <c r="AL84" s="121">
        <f t="shared" si="39"/>
        <v>0</v>
      </c>
      <c r="AM84" s="122"/>
      <c r="AN84" s="123">
        <f t="shared" si="40"/>
        <v>0</v>
      </c>
      <c r="AO84" s="124">
        <f t="shared" si="41"/>
        <v>0</v>
      </c>
      <c r="AP84" s="124">
        <f t="shared" si="42"/>
        <v>0</v>
      </c>
      <c r="AQ84" s="124">
        <f t="shared" si="43"/>
        <v>0</v>
      </c>
      <c r="AR84" s="124">
        <f t="shared" si="44"/>
        <v>0</v>
      </c>
      <c r="AS84" s="124">
        <f t="array" ref="AS84">_xlfn.IFS(S84=0,AL84,S84&lt;0,AL84/-S84,S84&gt;0,AL84/S84)</f>
        <v>0</v>
      </c>
      <c r="AT84" s="119">
        <f t="shared" si="45"/>
        <v>0</v>
      </c>
      <c r="AU84" s="119">
        <f t="shared" si="46"/>
        <v>0</v>
      </c>
      <c r="AV84" s="125"/>
      <c r="AW84" s="120">
        <f t="shared" si="47"/>
        <v>0</v>
      </c>
    </row>
    <row r="85" spans="1:49" hidden="1" outlineLevel="1">
      <c r="A85" s="114"/>
      <c r="B85" s="115"/>
      <c r="C85" s="115"/>
      <c r="D85" s="149"/>
      <c r="E85" s="118">
        <f t="shared" si="49"/>
        <v>0</v>
      </c>
      <c r="F85" s="117"/>
      <c r="G85" s="117"/>
      <c r="H85" s="117"/>
      <c r="I85" s="117"/>
      <c r="J85" s="117">
        <f t="shared" si="28"/>
        <v>0</v>
      </c>
      <c r="K85" s="114"/>
      <c r="L85" s="114"/>
      <c r="M85" s="114"/>
      <c r="N85" s="114"/>
      <c r="O85" s="117">
        <f t="shared" si="29"/>
        <v>0</v>
      </c>
      <c r="P85" s="117">
        <f t="shared" si="30"/>
        <v>0</v>
      </c>
      <c r="Q85" s="118"/>
      <c r="R85" s="118"/>
      <c r="S85" s="117">
        <f t="shared" si="31"/>
        <v>0</v>
      </c>
      <c r="T85" s="117"/>
      <c r="U85" s="117"/>
      <c r="V85" s="117">
        <f t="shared" si="32"/>
        <v>0</v>
      </c>
      <c r="W85" s="118"/>
      <c r="X85" s="118"/>
      <c r="Y85" s="117">
        <f t="shared" si="33"/>
        <v>0</v>
      </c>
      <c r="Z85" s="117">
        <f>L85*M85*N85/100</f>
        <v>0</v>
      </c>
      <c r="AA85" s="119">
        <f t="shared" si="48"/>
        <v>0</v>
      </c>
      <c r="AB85" s="117">
        <f t="shared" si="35"/>
        <v>0</v>
      </c>
      <c r="AC85" s="118"/>
      <c r="AD85" s="119">
        <f t="shared" si="36"/>
        <v>0</v>
      </c>
      <c r="AE85" s="118"/>
      <c r="AF85" s="118"/>
      <c r="AG85" s="118"/>
      <c r="AH85" s="118"/>
      <c r="AI85" s="152">
        <f t="shared" si="37"/>
        <v>0</v>
      </c>
      <c r="AJ85" s="118"/>
      <c r="AK85" s="120">
        <f t="shared" si="38"/>
        <v>0</v>
      </c>
      <c r="AL85" s="121">
        <f t="shared" si="39"/>
        <v>0</v>
      </c>
      <c r="AM85" s="122"/>
      <c r="AN85" s="123">
        <f t="shared" si="40"/>
        <v>0</v>
      </c>
      <c r="AO85" s="124">
        <f t="shared" si="41"/>
        <v>0</v>
      </c>
      <c r="AP85" s="124">
        <f t="shared" si="42"/>
        <v>0</v>
      </c>
      <c r="AQ85" s="124">
        <f t="shared" si="43"/>
        <v>0</v>
      </c>
      <c r="AR85" s="124">
        <f t="shared" si="44"/>
        <v>0</v>
      </c>
      <c r="AS85" s="124">
        <f t="array" ref="AS85">_xlfn.IFS(S85=0,AL85,S85&lt;0,AL85/-S85,S85&gt;0,AL85/S85)</f>
        <v>0</v>
      </c>
      <c r="AT85" s="119">
        <f t="shared" si="45"/>
        <v>0</v>
      </c>
      <c r="AU85" s="119">
        <f t="shared" si="46"/>
        <v>0</v>
      </c>
      <c r="AV85" s="125"/>
      <c r="AW85" s="120">
        <f t="shared" si="47"/>
        <v>0</v>
      </c>
    </row>
    <row r="86" spans="1:49" hidden="1" outlineLevel="1">
      <c r="A86" s="114"/>
      <c r="B86" s="115"/>
      <c r="C86" s="115"/>
      <c r="D86" s="149"/>
      <c r="E86" s="118">
        <f t="shared" si="49"/>
        <v>0</v>
      </c>
      <c r="F86" s="117"/>
      <c r="G86" s="117"/>
      <c r="H86" s="117"/>
      <c r="I86" s="117"/>
      <c r="J86" s="117">
        <f t="shared" si="28"/>
        <v>0</v>
      </c>
      <c r="K86" s="114"/>
      <c r="L86" s="114"/>
      <c r="M86" s="114"/>
      <c r="N86" s="114"/>
      <c r="O86" s="117">
        <f t="shared" si="29"/>
        <v>0</v>
      </c>
      <c r="P86" s="117">
        <f t="shared" si="30"/>
        <v>0</v>
      </c>
      <c r="Q86" s="118"/>
      <c r="R86" s="118"/>
      <c r="S86" s="117">
        <f t="shared" si="31"/>
        <v>0</v>
      </c>
      <c r="T86" s="117"/>
      <c r="U86" s="117"/>
      <c r="V86" s="117">
        <f t="shared" si="32"/>
        <v>0</v>
      </c>
      <c r="W86" s="118"/>
      <c r="X86" s="118"/>
      <c r="Y86" s="117">
        <f t="shared" si="33"/>
        <v>0</v>
      </c>
      <c r="Z86" s="117">
        <f t="shared" ref="Z86:Z89" si="50">L86*M86*N86/100</f>
        <v>0</v>
      </c>
      <c r="AA86" s="119">
        <f t="shared" si="48"/>
        <v>0</v>
      </c>
      <c r="AB86" s="117">
        <f t="shared" si="35"/>
        <v>0</v>
      </c>
      <c r="AC86" s="118"/>
      <c r="AD86" s="119">
        <f t="shared" si="36"/>
        <v>0</v>
      </c>
      <c r="AE86" s="118"/>
      <c r="AF86" s="118"/>
      <c r="AG86" s="118"/>
      <c r="AH86" s="118"/>
      <c r="AI86" s="152">
        <f t="shared" si="37"/>
        <v>0</v>
      </c>
      <c r="AJ86" s="118"/>
      <c r="AK86" s="120">
        <f t="shared" si="38"/>
        <v>0</v>
      </c>
      <c r="AL86" s="121">
        <f t="shared" si="39"/>
        <v>0</v>
      </c>
      <c r="AM86" s="122"/>
      <c r="AN86" s="123">
        <f t="shared" si="40"/>
        <v>0</v>
      </c>
      <c r="AO86" s="124">
        <f t="shared" si="41"/>
        <v>0</v>
      </c>
      <c r="AP86" s="124">
        <f t="shared" si="42"/>
        <v>0</v>
      </c>
      <c r="AQ86" s="124">
        <f t="shared" si="43"/>
        <v>0</v>
      </c>
      <c r="AR86" s="124">
        <f t="shared" si="44"/>
        <v>0</v>
      </c>
      <c r="AS86" s="124">
        <f t="array" ref="AS86">_xlfn.IFS(S86=0,AL86,S86&lt;0,AL86/-S86,S86&gt;0,AL86/S86)</f>
        <v>0</v>
      </c>
      <c r="AT86" s="119">
        <f t="shared" si="45"/>
        <v>0</v>
      </c>
      <c r="AU86" s="119">
        <f t="shared" si="46"/>
        <v>0</v>
      </c>
      <c r="AV86" s="125"/>
      <c r="AW86" s="120">
        <f t="shared" si="47"/>
        <v>0</v>
      </c>
    </row>
    <row r="87" spans="1:49" hidden="1" outlineLevel="1">
      <c r="A87" s="114"/>
      <c r="B87" s="115"/>
      <c r="C87" s="115"/>
      <c r="D87" s="116"/>
      <c r="E87" s="117">
        <f t="shared" si="49"/>
        <v>0</v>
      </c>
      <c r="F87" s="117"/>
      <c r="G87" s="117"/>
      <c r="H87" s="117"/>
      <c r="I87" s="117"/>
      <c r="J87" s="117">
        <f t="shared" si="28"/>
        <v>0</v>
      </c>
      <c r="K87" s="114"/>
      <c r="L87" s="114"/>
      <c r="M87" s="114"/>
      <c r="N87" s="114"/>
      <c r="O87" s="117">
        <f t="shared" si="29"/>
        <v>0</v>
      </c>
      <c r="P87" s="117">
        <f t="shared" si="30"/>
        <v>0</v>
      </c>
      <c r="Q87" s="118"/>
      <c r="R87" s="118"/>
      <c r="S87" s="117">
        <f t="shared" si="31"/>
        <v>0</v>
      </c>
      <c r="T87" s="117"/>
      <c r="U87" s="117"/>
      <c r="V87" s="117">
        <f t="shared" si="32"/>
        <v>0</v>
      </c>
      <c r="W87" s="118"/>
      <c r="X87" s="118"/>
      <c r="Y87" s="117">
        <f t="shared" si="33"/>
        <v>0</v>
      </c>
      <c r="Z87" s="117">
        <f t="shared" si="50"/>
        <v>0</v>
      </c>
      <c r="AA87" s="119">
        <f t="shared" si="48"/>
        <v>0</v>
      </c>
      <c r="AB87" s="117">
        <f t="shared" si="35"/>
        <v>0</v>
      </c>
      <c r="AC87" s="118"/>
      <c r="AD87" s="119">
        <f t="shared" si="36"/>
        <v>0</v>
      </c>
      <c r="AE87" s="118"/>
      <c r="AF87" s="118"/>
      <c r="AG87" s="118"/>
      <c r="AH87" s="118"/>
      <c r="AI87" s="152">
        <f t="shared" si="37"/>
        <v>0</v>
      </c>
      <c r="AJ87" s="118"/>
      <c r="AK87" s="120">
        <f t="shared" si="38"/>
        <v>0</v>
      </c>
      <c r="AL87" s="121">
        <f t="shared" si="39"/>
        <v>0</v>
      </c>
      <c r="AM87" s="122"/>
      <c r="AN87" s="123">
        <f t="shared" si="40"/>
        <v>0</v>
      </c>
      <c r="AO87" s="124">
        <f t="shared" si="41"/>
        <v>0</v>
      </c>
      <c r="AP87" s="124">
        <f t="shared" si="42"/>
        <v>0</v>
      </c>
      <c r="AQ87" s="124">
        <f t="shared" si="43"/>
        <v>0</v>
      </c>
      <c r="AR87" s="124">
        <f t="shared" si="44"/>
        <v>0</v>
      </c>
      <c r="AS87" s="124">
        <f t="array" ref="AS87">_xlfn.IFS(S87=0,AL87,S87&lt;0,AL87/-S87,S87&gt;0,AL87/S87)</f>
        <v>0</v>
      </c>
      <c r="AT87" s="119">
        <f t="shared" si="45"/>
        <v>0</v>
      </c>
      <c r="AU87" s="119">
        <f t="shared" si="46"/>
        <v>0</v>
      </c>
      <c r="AV87" s="125"/>
      <c r="AW87" s="120">
        <f t="shared" si="47"/>
        <v>0</v>
      </c>
    </row>
    <row r="88" spans="1:49" hidden="1" outlineLevel="1">
      <c r="A88" s="114"/>
      <c r="B88" s="115"/>
      <c r="C88" s="115"/>
      <c r="D88" s="116"/>
      <c r="E88" s="117">
        <f t="shared" si="49"/>
        <v>0</v>
      </c>
      <c r="F88" s="117"/>
      <c r="G88" s="117"/>
      <c r="H88" s="117"/>
      <c r="I88" s="117"/>
      <c r="J88" s="117">
        <f t="shared" si="28"/>
        <v>0</v>
      </c>
      <c r="K88" s="114"/>
      <c r="L88" s="114"/>
      <c r="M88" s="114"/>
      <c r="N88" s="114"/>
      <c r="O88" s="117">
        <f t="shared" si="29"/>
        <v>0</v>
      </c>
      <c r="P88" s="117">
        <f t="shared" si="30"/>
        <v>0</v>
      </c>
      <c r="Q88" s="118"/>
      <c r="R88" s="118"/>
      <c r="S88" s="117">
        <f t="shared" si="31"/>
        <v>0</v>
      </c>
      <c r="T88" s="117"/>
      <c r="U88" s="117"/>
      <c r="V88" s="117">
        <f t="shared" si="32"/>
        <v>0</v>
      </c>
      <c r="W88" s="118"/>
      <c r="X88" s="118"/>
      <c r="Y88" s="117">
        <f t="shared" si="33"/>
        <v>0</v>
      </c>
      <c r="Z88" s="117">
        <f t="shared" si="50"/>
        <v>0</v>
      </c>
      <c r="AA88" s="119">
        <f t="shared" si="48"/>
        <v>0</v>
      </c>
      <c r="AB88" s="117">
        <f t="shared" si="35"/>
        <v>0</v>
      </c>
      <c r="AC88" s="118"/>
      <c r="AD88" s="119">
        <f t="shared" si="36"/>
        <v>0</v>
      </c>
      <c r="AE88" s="118"/>
      <c r="AF88" s="118"/>
      <c r="AG88" s="118"/>
      <c r="AH88" s="118"/>
      <c r="AI88" s="152">
        <f t="shared" si="37"/>
        <v>0</v>
      </c>
      <c r="AJ88" s="118"/>
      <c r="AK88" s="120">
        <f t="shared" si="38"/>
        <v>0</v>
      </c>
      <c r="AL88" s="121">
        <f t="shared" si="39"/>
        <v>0</v>
      </c>
      <c r="AM88" s="122"/>
      <c r="AN88" s="123">
        <f t="shared" si="40"/>
        <v>0</v>
      </c>
      <c r="AO88" s="124">
        <f t="shared" si="41"/>
        <v>0</v>
      </c>
      <c r="AP88" s="124">
        <f t="shared" si="42"/>
        <v>0</v>
      </c>
      <c r="AQ88" s="124">
        <f t="shared" si="43"/>
        <v>0</v>
      </c>
      <c r="AR88" s="124">
        <f t="shared" si="44"/>
        <v>0</v>
      </c>
      <c r="AS88" s="124">
        <f t="array" ref="AS88">_xlfn.IFS(S88=0,AL88,S88&lt;0,AL88/-S88,S88&gt;0,AL88/S88)</f>
        <v>0</v>
      </c>
      <c r="AT88" s="119">
        <f t="shared" si="45"/>
        <v>0</v>
      </c>
      <c r="AU88" s="119">
        <f t="shared" si="46"/>
        <v>0</v>
      </c>
      <c r="AV88" s="125"/>
      <c r="AW88" s="120">
        <f t="shared" si="47"/>
        <v>0</v>
      </c>
    </row>
    <row r="89" spans="1:49" hidden="1" outlineLevel="1">
      <c r="A89" s="114"/>
      <c r="B89" s="115"/>
      <c r="C89" s="115"/>
      <c r="D89" s="116"/>
      <c r="E89" s="117">
        <f t="shared" si="49"/>
        <v>0</v>
      </c>
      <c r="F89" s="117"/>
      <c r="G89" s="117"/>
      <c r="H89" s="117"/>
      <c r="I89" s="117"/>
      <c r="J89" s="117">
        <f t="shared" si="28"/>
        <v>0</v>
      </c>
      <c r="K89" s="114"/>
      <c r="L89" s="114"/>
      <c r="M89" s="114"/>
      <c r="N89" s="114"/>
      <c r="O89" s="117">
        <f t="shared" si="29"/>
        <v>0</v>
      </c>
      <c r="P89" s="117">
        <f t="shared" si="30"/>
        <v>0</v>
      </c>
      <c r="Q89" s="118"/>
      <c r="R89" s="118"/>
      <c r="S89" s="117">
        <f t="shared" si="31"/>
        <v>0</v>
      </c>
      <c r="T89" s="117"/>
      <c r="U89" s="117"/>
      <c r="V89" s="117">
        <f t="shared" si="32"/>
        <v>0</v>
      </c>
      <c r="W89" s="118"/>
      <c r="X89" s="118"/>
      <c r="Y89" s="117">
        <f t="shared" si="33"/>
        <v>0</v>
      </c>
      <c r="Z89" s="117">
        <f t="shared" si="50"/>
        <v>0</v>
      </c>
      <c r="AA89" s="119">
        <f t="shared" si="48"/>
        <v>0</v>
      </c>
      <c r="AB89" s="117">
        <f t="shared" si="35"/>
        <v>0</v>
      </c>
      <c r="AC89" s="118"/>
      <c r="AD89" s="119">
        <f t="shared" si="36"/>
        <v>0</v>
      </c>
      <c r="AE89" s="118"/>
      <c r="AF89" s="118"/>
      <c r="AG89" s="118"/>
      <c r="AH89" s="118"/>
      <c r="AI89" s="152">
        <f t="shared" si="37"/>
        <v>0</v>
      </c>
      <c r="AJ89" s="118"/>
      <c r="AK89" s="120">
        <f t="shared" si="38"/>
        <v>0</v>
      </c>
      <c r="AL89" s="121">
        <f t="shared" si="39"/>
        <v>0</v>
      </c>
      <c r="AM89" s="122"/>
      <c r="AN89" s="123">
        <f t="shared" si="40"/>
        <v>0</v>
      </c>
      <c r="AO89" s="124">
        <f t="shared" si="41"/>
        <v>0</v>
      </c>
      <c r="AP89" s="124">
        <f t="shared" si="42"/>
        <v>0</v>
      </c>
      <c r="AQ89" s="124">
        <f t="shared" si="43"/>
        <v>0</v>
      </c>
      <c r="AR89" s="124">
        <f t="shared" si="44"/>
        <v>0</v>
      </c>
      <c r="AS89" s="124">
        <f t="array" ref="AS89">_xlfn.IFS(S89=0,AL89,S89&lt;0,AL89/-S89,S89&gt;0,AL89/S89)</f>
        <v>0</v>
      </c>
      <c r="AT89" s="119">
        <f t="shared" si="45"/>
        <v>0</v>
      </c>
      <c r="AU89" s="119">
        <f t="shared" si="46"/>
        <v>0</v>
      </c>
      <c r="AV89" s="125"/>
      <c r="AW89" s="120">
        <f t="shared" si="47"/>
        <v>0</v>
      </c>
    </row>
    <row r="90" spans="1:49" collapsed="1">
      <c r="A90" s="158"/>
      <c r="B90" s="126"/>
      <c r="C90" s="114"/>
      <c r="D90" s="158"/>
      <c r="E90" s="117"/>
      <c r="F90" s="117"/>
      <c r="G90" s="117"/>
      <c r="H90" s="117"/>
      <c r="I90" s="117"/>
      <c r="J90" s="117"/>
      <c r="K90" s="159"/>
      <c r="L90" s="160"/>
      <c r="M90" s="160"/>
      <c r="N90" s="160"/>
      <c r="O90" s="159"/>
      <c r="P90" s="159"/>
      <c r="Q90" s="117"/>
      <c r="R90" s="117"/>
      <c r="S90" s="117"/>
      <c r="T90" s="117"/>
      <c r="U90" s="117"/>
      <c r="V90" s="117"/>
      <c r="W90" s="117"/>
      <c r="X90" s="117"/>
      <c r="Y90" s="117"/>
      <c r="Z90" s="117"/>
      <c r="AA90" s="119"/>
      <c r="AB90" s="117"/>
      <c r="AC90" s="117"/>
      <c r="AD90" s="119"/>
      <c r="AE90" s="117"/>
      <c r="AF90" s="118"/>
      <c r="AG90" s="118"/>
      <c r="AH90" s="118"/>
      <c r="AI90" s="152"/>
      <c r="AJ90" s="118"/>
      <c r="AK90" s="120"/>
      <c r="AL90" s="121"/>
      <c r="AM90" s="122"/>
      <c r="AN90" s="161">
        <f>AVERAGE(AN38:AN89)</f>
        <v>0</v>
      </c>
      <c r="AO90" s="161">
        <f t="shared" ref="AO90:AU90" si="51">AVERAGE(AO38:AO89)</f>
        <v>0</v>
      </c>
      <c r="AP90" s="161">
        <f t="shared" si="51"/>
        <v>0</v>
      </c>
      <c r="AQ90" s="161">
        <f t="shared" si="51"/>
        <v>0</v>
      </c>
      <c r="AR90" s="161">
        <f t="shared" si="51"/>
        <v>0</v>
      </c>
      <c r="AS90" s="161">
        <f t="shared" si="51"/>
        <v>0</v>
      </c>
      <c r="AT90" s="162">
        <f t="shared" si="51"/>
        <v>0</v>
      </c>
      <c r="AU90" s="162">
        <f t="shared" si="51"/>
        <v>0</v>
      </c>
      <c r="AV90" s="125"/>
      <c r="AW90" s="120"/>
    </row>
    <row r="91" spans="1:49" s="171" customFormat="1" ht="15" customHeight="1">
      <c r="A91" s="163" t="s">
        <v>107</v>
      </c>
      <c r="B91" s="164"/>
      <c r="C91" s="165"/>
      <c r="D91" s="165"/>
      <c r="E91" s="165">
        <f>SUM(E38:E89)</f>
        <v>0</v>
      </c>
      <c r="F91" s="165">
        <f>SUM(F38:F89)</f>
        <v>0</v>
      </c>
      <c r="G91" s="165">
        <f>SUM(G38:G89)</f>
        <v>0</v>
      </c>
      <c r="H91" s="165">
        <f>SUM(H38:H89)</f>
        <v>0</v>
      </c>
      <c r="I91" s="165"/>
      <c r="J91" s="165">
        <f>SUM(J38:J89)</f>
        <v>0</v>
      </c>
      <c r="K91" s="165"/>
      <c r="L91" s="165">
        <f>SUM(L38:L89)</f>
        <v>0</v>
      </c>
      <c r="M91" s="165"/>
      <c r="N91" s="165"/>
      <c r="O91" s="165"/>
      <c r="P91" s="165"/>
      <c r="Q91" s="165">
        <f t="shared" ref="Q91:AC91" si="52">SUM(Q38:Q89)</f>
        <v>0</v>
      </c>
      <c r="R91" s="165">
        <f t="shared" si="52"/>
        <v>0</v>
      </c>
      <c r="S91" s="165">
        <f t="shared" si="52"/>
        <v>0</v>
      </c>
      <c r="T91" s="165">
        <f t="shared" si="52"/>
        <v>0</v>
      </c>
      <c r="U91" s="165">
        <f t="shared" si="52"/>
        <v>0</v>
      </c>
      <c r="V91" s="165">
        <f t="shared" si="52"/>
        <v>0</v>
      </c>
      <c r="W91" s="165">
        <f t="shared" si="52"/>
        <v>0</v>
      </c>
      <c r="X91" s="165">
        <f t="shared" si="52"/>
        <v>0</v>
      </c>
      <c r="Y91" s="165">
        <f t="shared" si="52"/>
        <v>0</v>
      </c>
      <c r="Z91" s="165">
        <f t="shared" si="52"/>
        <v>0</v>
      </c>
      <c r="AA91" s="166">
        <f t="shared" si="52"/>
        <v>0</v>
      </c>
      <c r="AB91" s="167">
        <f t="shared" si="52"/>
        <v>0</v>
      </c>
      <c r="AC91" s="165">
        <f t="shared" si="52"/>
        <v>0</v>
      </c>
      <c r="AD91" s="166" t="e">
        <f>AC91/Y91</f>
        <v>#DIV/0!</v>
      </c>
      <c r="AE91" s="165">
        <f t="shared" ref="AE91:AK91" si="53">SUM(AE38:AE89)</f>
        <v>0</v>
      </c>
      <c r="AF91" s="165">
        <f t="shared" si="53"/>
        <v>0</v>
      </c>
      <c r="AG91" s="165">
        <f>SUM(AG38:AG89)</f>
        <v>0</v>
      </c>
      <c r="AH91" s="165">
        <f>SUM(AH38:AH89)</f>
        <v>0</v>
      </c>
      <c r="AI91" s="168">
        <f>SUM(AI38:AI89)</f>
        <v>0</v>
      </c>
      <c r="AJ91" s="165">
        <f t="shared" si="53"/>
        <v>0</v>
      </c>
      <c r="AK91" s="165">
        <f t="shared" si="53"/>
        <v>0</v>
      </c>
      <c r="AL91" s="165">
        <f>SUM(AL38:AL89)</f>
        <v>0</v>
      </c>
      <c r="AM91" s="169"/>
      <c r="AN91" s="165"/>
      <c r="AO91" s="165"/>
      <c r="AP91" s="165"/>
      <c r="AQ91" s="165"/>
      <c r="AR91" s="165" t="e">
        <f>(AF91+AG91)/Q91</f>
        <v>#DIV/0!</v>
      </c>
      <c r="AS91" s="165"/>
      <c r="AT91" s="165"/>
      <c r="AU91" s="165"/>
      <c r="AV91" s="170"/>
      <c r="AW91" s="165">
        <f>SUM(AW38:AW89)</f>
        <v>0</v>
      </c>
    </row>
    <row r="92" spans="1:49" s="175" customFormat="1">
      <c r="A92" s="172"/>
      <c r="B92" s="173"/>
      <c r="C92" s="174"/>
      <c r="D92" s="174"/>
      <c r="L92" s="176"/>
      <c r="M92" s="176"/>
      <c r="N92" s="176"/>
      <c r="P92" s="177"/>
      <c r="Q92" s="178"/>
      <c r="R92" s="178"/>
      <c r="S92" s="179"/>
      <c r="T92" s="179"/>
      <c r="U92" s="179"/>
      <c r="V92" s="179"/>
      <c r="W92" s="178"/>
      <c r="X92" s="179"/>
      <c r="Y92" s="179"/>
      <c r="Z92" s="179"/>
      <c r="AC92" s="180"/>
      <c r="AE92" s="178"/>
      <c r="AF92" s="347"/>
      <c r="AG92" s="347"/>
      <c r="AH92" s="246"/>
      <c r="AI92" s="182"/>
      <c r="AJ92" s="183"/>
      <c r="AM92" s="184"/>
      <c r="AN92" s="176"/>
      <c r="AO92" s="176"/>
      <c r="AP92" s="176"/>
      <c r="AQ92" s="176"/>
      <c r="AR92" s="176"/>
      <c r="AS92" s="176"/>
      <c r="AT92" s="176"/>
      <c r="AU92" s="176"/>
      <c r="AV92" s="185"/>
    </row>
    <row r="93" spans="1:49" s="194" customFormat="1">
      <c r="A93" s="186" t="s">
        <v>7</v>
      </c>
      <c r="B93" s="187"/>
      <c r="C93" s="188"/>
      <c r="D93" s="188"/>
      <c r="E93" s="188">
        <f t="shared" ref="E93:AC93" si="54">E36+E91</f>
        <v>2121</v>
      </c>
      <c r="F93" s="188">
        <f t="shared" si="54"/>
        <v>200</v>
      </c>
      <c r="G93" s="188">
        <f t="shared" si="54"/>
        <v>31</v>
      </c>
      <c r="H93" s="188">
        <f t="shared" si="54"/>
        <v>1890</v>
      </c>
      <c r="I93" s="188">
        <f t="shared" si="54"/>
        <v>0</v>
      </c>
      <c r="J93" s="188">
        <f t="shared" si="54"/>
        <v>289214.72999999992</v>
      </c>
      <c r="K93" s="188">
        <f t="shared" si="54"/>
        <v>0</v>
      </c>
      <c r="L93" s="188">
        <f t="shared" si="54"/>
        <v>286</v>
      </c>
      <c r="M93" s="188">
        <f t="shared" si="54"/>
        <v>0</v>
      </c>
      <c r="N93" s="188">
        <f t="shared" si="54"/>
        <v>0</v>
      </c>
      <c r="O93" s="188">
        <f t="shared" si="54"/>
        <v>0</v>
      </c>
      <c r="P93" s="188">
        <f t="shared" si="54"/>
        <v>0</v>
      </c>
      <c r="Q93" s="188">
        <f t="shared" si="54"/>
        <v>118</v>
      </c>
      <c r="R93" s="188">
        <f t="shared" si="54"/>
        <v>-1</v>
      </c>
      <c r="S93" s="188">
        <f t="shared" si="54"/>
        <v>117</v>
      </c>
      <c r="T93" s="188">
        <f t="shared" si="54"/>
        <v>85982.959999999992</v>
      </c>
      <c r="U93" s="188">
        <f t="shared" si="54"/>
        <v>-777</v>
      </c>
      <c r="V93" s="188">
        <f t="shared" si="54"/>
        <v>85205.959999999992</v>
      </c>
      <c r="W93" s="188">
        <f t="shared" si="54"/>
        <v>132376.93</v>
      </c>
      <c r="X93" s="188">
        <f t="shared" si="54"/>
        <v>-1238</v>
      </c>
      <c r="Y93" s="188">
        <f t="shared" si="54"/>
        <v>131138.93</v>
      </c>
      <c r="Z93" s="188">
        <f t="shared" si="54"/>
        <v>208724.72</v>
      </c>
      <c r="AA93" s="189">
        <f t="shared" si="54"/>
        <v>1</v>
      </c>
      <c r="AB93" s="190">
        <f t="shared" si="54"/>
        <v>15974.009999999998</v>
      </c>
      <c r="AC93" s="188">
        <f t="shared" si="54"/>
        <v>47795.469999999994</v>
      </c>
      <c r="AD93" s="189">
        <f>AC93/Y93</f>
        <v>0.36446438902620293</v>
      </c>
      <c r="AE93" s="190">
        <f>AE36+AE91</f>
        <v>12544.649999999998</v>
      </c>
      <c r="AF93" s="191">
        <f>AF36+AF91</f>
        <v>9526</v>
      </c>
      <c r="AG93" s="191">
        <f>AG36+AG91</f>
        <v>17308</v>
      </c>
      <c r="AH93" s="191">
        <f>AH36+AH91</f>
        <v>0</v>
      </c>
      <c r="AI93" s="192">
        <v>1261.4100000000001</v>
      </c>
      <c r="AJ93" s="188">
        <f>AJ36+AJ91</f>
        <v>0</v>
      </c>
      <c r="AK93" s="188">
        <f>AK36+AK91</f>
        <v>852.05959999999982</v>
      </c>
      <c r="AL93" s="188">
        <f>AL36+AL91</f>
        <v>25877.330399999999</v>
      </c>
      <c r="AM93" s="188"/>
      <c r="AN93" s="188"/>
      <c r="AO93" s="188"/>
      <c r="AP93" s="188"/>
      <c r="AQ93" s="188"/>
      <c r="AR93" s="188">
        <f>(AF93+AG93)/Q93</f>
        <v>227.40677966101694</v>
      </c>
      <c r="AS93" s="188"/>
      <c r="AT93" s="188"/>
      <c r="AU93" s="188"/>
      <c r="AV93" s="193"/>
      <c r="AW93" s="188">
        <f>AW36+AW91</f>
        <v>140562.24353019983</v>
      </c>
    </row>
    <row r="94" spans="1:49" s="175" customFormat="1">
      <c r="A94" s="174"/>
      <c r="B94" s="173"/>
      <c r="C94" s="195"/>
      <c r="D94" s="174"/>
      <c r="L94" s="176"/>
      <c r="M94" s="176"/>
      <c r="N94" s="176"/>
      <c r="P94" s="177"/>
      <c r="Q94" s="178"/>
      <c r="R94" s="178"/>
      <c r="S94" s="179"/>
      <c r="T94" s="179"/>
      <c r="U94" s="179"/>
      <c r="V94" s="179"/>
      <c r="W94" s="178"/>
      <c r="X94" s="179"/>
      <c r="Y94" s="179"/>
      <c r="Z94" s="179"/>
      <c r="AC94" s="180"/>
      <c r="AE94" s="196"/>
      <c r="AF94" s="347">
        <f>AF37+AF92</f>
        <v>0</v>
      </c>
      <c r="AG94" s="347"/>
      <c r="AH94" s="246"/>
      <c r="AI94" s="182"/>
      <c r="AJ94" s="183"/>
      <c r="AM94" s="184"/>
      <c r="AN94" s="184"/>
      <c r="AO94" s="184"/>
      <c r="AP94" s="184"/>
      <c r="AQ94" s="184"/>
      <c r="AR94" s="184"/>
      <c r="AS94" s="184"/>
      <c r="AT94" s="184"/>
      <c r="AU94" s="184"/>
      <c r="AV94" s="185"/>
    </row>
    <row r="95" spans="1:49">
      <c r="C95" s="198"/>
      <c r="D95" s="198"/>
    </row>
    <row r="96" spans="1:49">
      <c r="C96" s="198"/>
      <c r="D96" s="198"/>
    </row>
  </sheetData>
  <mergeCells count="10">
    <mergeCell ref="AN1:AU1"/>
    <mergeCell ref="AF37:AG37"/>
    <mergeCell ref="AF92:AG92"/>
    <mergeCell ref="AF94:AG94"/>
    <mergeCell ref="F1:H1"/>
    <mergeCell ref="L1:N1"/>
    <mergeCell ref="Q1:R1"/>
    <mergeCell ref="T1:U1"/>
    <mergeCell ref="W1:X1"/>
    <mergeCell ref="AF1:AG1"/>
  </mergeCells>
  <conditionalFormatting sqref="K90:M90 K37:K89 K3:K35">
    <cfRule type="cellIs" dxfId="26" priority="3" operator="greaterThan">
      <formula>120</formula>
    </cfRule>
  </conditionalFormatting>
  <conditionalFormatting sqref="O90">
    <cfRule type="cellIs" dxfId="25" priority="2" operator="between">
      <formula>0.000001</formula>
      <formula>25</formula>
    </cfRule>
  </conditionalFormatting>
  <conditionalFormatting sqref="AA92 AA94:AA1048576">
    <cfRule type="cellIs" dxfId="24" priority="4" operator="greaterThan">
      <formula>0.23</formula>
    </cfRule>
  </conditionalFormatting>
  <conditionalFormatting sqref="Y37:AA90 Y3:AA35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{4E844CAA-07C8-431D-B7A2-CBADE77F20C4}</x14:id>
        </ext>
      </extLst>
    </cfRule>
  </conditionalFormatting>
  <conditionalFormatting sqref="AS37:AS89 AS3:AS35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{8533C744-CCA9-4528-814A-FC694E085AFE}</x14:id>
        </ext>
      </extLst>
    </cfRule>
  </conditionalFormatting>
  <conditionalFormatting sqref="AT37:AU89 AT3:AU35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{312E9F76-099A-428B-ABF9-476C0BE84A2D}</x14:id>
        </ext>
      </extLst>
    </cfRule>
  </conditionalFormatting>
  <conditionalFormatting sqref="AW37:AW90 AW3:AW35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{4F083B45-31D7-4886-A724-ECE6078E4088}</x14:id>
        </ext>
      </extLst>
    </cfRule>
  </conditionalFormatting>
  <conditionalFormatting sqref="AA37:AA89 AA3:AA35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{0AF33977-AB1C-44A8-A191-F159BE9BFED1}</x14:id>
        </ext>
      </extLst>
    </cfRule>
  </conditionalFormatting>
  <conditionalFormatting sqref="AW37:AW89 AW3:AW35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{74EC5471-CFC2-45E5-AB47-1CA693A444A9}</x14:id>
        </ext>
      </extLst>
    </cfRule>
  </conditionalFormatting>
  <conditionalFormatting sqref="AL37:AL90 AL3:AL35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{DB920A30-FE33-4DEB-A3FE-9260EBE55D7C}</x14:id>
        </ext>
      </extLst>
    </cfRule>
  </conditionalFormatting>
  <conditionalFormatting sqref="AL37:AL89 AL3:AL35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{DB4062F5-09A2-4273-B87C-95370BE09605}</x14:id>
        </ext>
      </extLst>
    </cfRule>
  </conditionalFormatting>
  <conditionalFormatting sqref="AA1">
    <cfRule type="cellIs" dxfId="23" priority="1" operator="greaterThan">
      <formula>0.23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E844CAA-07C8-431D-B7A2-CBADE77F20C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Y37:AA90 Y3:AA35</xm:sqref>
        </x14:conditionalFormatting>
        <x14:conditionalFormatting xmlns:xm="http://schemas.microsoft.com/office/excel/2006/main">
          <x14:cfRule type="dataBar" id="{8533C744-CCA9-4528-814A-FC694E085AF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AS37:AS89 AS3:AS35</xm:sqref>
        </x14:conditionalFormatting>
        <x14:conditionalFormatting xmlns:xm="http://schemas.microsoft.com/office/excel/2006/main">
          <x14:cfRule type="dataBar" id="{312E9F76-099A-428B-ABF9-476C0BE84A2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AT37:AU89 AT3:AU35</xm:sqref>
        </x14:conditionalFormatting>
        <x14:conditionalFormatting xmlns:xm="http://schemas.microsoft.com/office/excel/2006/main">
          <x14:cfRule type="dataBar" id="{4F083B45-31D7-4886-A724-ECE6078E408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AW37:AW90 AW3:AW35</xm:sqref>
        </x14:conditionalFormatting>
        <x14:conditionalFormatting xmlns:xm="http://schemas.microsoft.com/office/excel/2006/main">
          <x14:cfRule type="dataBar" id="{0AF33977-AB1C-44A8-A191-F159BE9BFED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AA37:AA89 AA3:AA35</xm:sqref>
        </x14:conditionalFormatting>
        <x14:conditionalFormatting xmlns:xm="http://schemas.microsoft.com/office/excel/2006/main">
          <x14:cfRule type="dataBar" id="{74EC5471-CFC2-45E5-AB47-1CA693A444A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AW37:AW89 AW3:AW35</xm:sqref>
        </x14:conditionalFormatting>
        <x14:conditionalFormatting xmlns:xm="http://schemas.microsoft.com/office/excel/2006/main">
          <x14:cfRule type="dataBar" id="{DB920A30-FE33-4DEB-A3FE-9260EBE55D7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AL37:AL90 AL3:AL35</xm:sqref>
        </x14:conditionalFormatting>
        <x14:conditionalFormatting xmlns:xm="http://schemas.microsoft.com/office/excel/2006/main">
          <x14:cfRule type="dataBar" id="{DB4062F5-09A2-4273-B87C-95370BE0960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AL37:AL89 AL3:AL35</xm:sqref>
        </x14:conditionalFormatting>
      </x14:conditionalFormatting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D07AB-3E11-4E6A-AF52-C1EAD19D0916}">
  <dimension ref="A1:AW77"/>
  <sheetViews>
    <sheetView zoomScale="70" zoomScaleNormal="70" workbookViewId="0">
      <pane xSplit="3" ySplit="2" topLeftCell="AF6" activePane="bottomRight" state="frozen"/>
      <selection pane="topRight" activeCell="D1" sqref="D1"/>
      <selection pane="bottomLeft" activeCell="A3" sqref="A3"/>
      <selection pane="bottomRight" activeCell="AL76" sqref="AL76"/>
    </sheetView>
  </sheetViews>
  <sheetFormatPr defaultColWidth="12.54296875" defaultRowHeight="14.5" outlineLevelRow="1"/>
  <cols>
    <col min="1" max="1" width="9.08984375" style="197" customWidth="1"/>
    <col min="2" max="2" width="12.54296875" style="202"/>
    <col min="3" max="3" width="19.90625" style="197" customWidth="1"/>
    <col min="4" max="4" width="16.6328125" style="197" customWidth="1"/>
    <col min="5" max="5" width="12.36328125" style="126" customWidth="1"/>
    <col min="6" max="6" width="10.90625" style="126" customWidth="1"/>
    <col min="7" max="8" width="12.36328125" style="126" customWidth="1"/>
    <col min="9" max="9" width="13.36328125" style="126" customWidth="1"/>
    <col min="10" max="10" width="14.1796875" style="126" customWidth="1"/>
    <col min="11" max="11" width="14.26953125" style="126" customWidth="1"/>
    <col min="12" max="12" width="13.6328125" style="126" customWidth="1"/>
    <col min="13" max="13" width="15.08984375" style="126" customWidth="1"/>
    <col min="14" max="14" width="14.54296875" style="126" customWidth="1"/>
    <col min="15" max="16" width="11" style="126" customWidth="1"/>
    <col min="17" max="17" width="11.1796875" style="126" customWidth="1"/>
    <col min="18" max="18" width="12.08984375" style="126" customWidth="1"/>
    <col min="19" max="22" width="11.26953125" style="199" customWidth="1"/>
    <col min="23" max="23" width="13.1796875" style="199" customWidth="1"/>
    <col min="24" max="24" width="12.36328125" style="199" customWidth="1"/>
    <col min="25" max="25" width="20.7265625" style="199" customWidth="1"/>
    <col min="26" max="26" width="15.90625" style="199" customWidth="1"/>
    <col min="27" max="27" width="13.36328125" style="200" customWidth="1"/>
    <col min="28" max="28" width="14.453125" style="126" customWidth="1"/>
    <col min="29" max="29" width="17.81640625" style="126" customWidth="1"/>
    <col min="30" max="30" width="14.26953125" style="126" customWidth="1"/>
    <col min="31" max="31" width="19.08984375" style="126" customWidth="1"/>
    <col min="32" max="34" width="10.36328125" style="117" customWidth="1"/>
    <col min="35" max="35" width="18.08984375" style="201" customWidth="1"/>
    <col min="36" max="36" width="18.6328125" style="117" customWidth="1"/>
    <col min="37" max="37" width="12.54296875" style="126"/>
    <col min="38" max="38" width="18.90625" style="126" customWidth="1"/>
    <col min="39" max="39" width="3.08984375" style="126" customWidth="1"/>
    <col min="40" max="40" width="19.90625" style="126" customWidth="1"/>
    <col min="41" max="41" width="14.26953125" style="126" customWidth="1"/>
    <col min="42" max="42" width="9.6328125" style="126" customWidth="1"/>
    <col min="43" max="43" width="11.1796875" style="126" customWidth="1"/>
    <col min="44" max="44" width="9.54296875" style="126" customWidth="1"/>
    <col min="45" max="45" width="10.1796875" style="126" customWidth="1"/>
    <col min="46" max="46" width="11.7265625" style="126" customWidth="1"/>
    <col min="47" max="47" width="12.54296875" style="126"/>
    <col min="48" max="48" width="3.36328125" style="140" customWidth="1"/>
    <col min="49" max="16384" width="12.54296875" style="126"/>
  </cols>
  <sheetData>
    <row r="1" spans="1:49" s="95" customFormat="1" ht="16" customHeight="1">
      <c r="A1" s="92" t="s">
        <v>140</v>
      </c>
      <c r="B1" s="93"/>
      <c r="C1" s="92"/>
      <c r="D1" s="92"/>
      <c r="E1" s="94"/>
      <c r="F1" s="348" t="s">
        <v>47</v>
      </c>
      <c r="G1" s="348"/>
      <c r="H1" s="348"/>
      <c r="K1" s="234" t="s">
        <v>48</v>
      </c>
      <c r="L1" s="348" t="s">
        <v>49</v>
      </c>
      <c r="M1" s="348"/>
      <c r="N1" s="348"/>
      <c r="P1" s="96"/>
      <c r="Q1" s="349"/>
      <c r="R1" s="349"/>
      <c r="S1" s="240"/>
      <c r="T1" s="350"/>
      <c r="U1" s="351"/>
      <c r="V1" s="240"/>
      <c r="W1" s="349"/>
      <c r="X1" s="349"/>
      <c r="Y1" s="96"/>
      <c r="Z1" s="96"/>
      <c r="AA1" s="96"/>
      <c r="AB1" s="96"/>
      <c r="AC1" s="239"/>
      <c r="AD1" s="240"/>
      <c r="AE1" s="239"/>
      <c r="AF1" s="352"/>
      <c r="AG1" s="352"/>
      <c r="AH1" s="235"/>
      <c r="AI1" s="97" t="s">
        <v>50</v>
      </c>
      <c r="AJ1" s="239"/>
      <c r="AM1" s="98"/>
      <c r="AN1" s="343" t="s">
        <v>51</v>
      </c>
      <c r="AO1" s="344"/>
      <c r="AP1" s="344"/>
      <c r="AQ1" s="344"/>
      <c r="AR1" s="344"/>
      <c r="AS1" s="344"/>
      <c r="AT1" s="344"/>
      <c r="AU1" s="345"/>
      <c r="AV1" s="99"/>
    </row>
    <row r="2" spans="1:49" s="113" customFormat="1" ht="50.5" customHeight="1">
      <c r="A2" s="100" t="s">
        <v>52</v>
      </c>
      <c r="B2" s="101" t="s">
        <v>53</v>
      </c>
      <c r="C2" s="100" t="s">
        <v>54</v>
      </c>
      <c r="D2" s="100" t="s">
        <v>55</v>
      </c>
      <c r="E2" s="100" t="s">
        <v>139</v>
      </c>
      <c r="F2" s="102" t="s">
        <v>57</v>
      </c>
      <c r="G2" s="102" t="s">
        <v>58</v>
      </c>
      <c r="H2" s="102" t="s">
        <v>59</v>
      </c>
      <c r="I2" s="100" t="s">
        <v>60</v>
      </c>
      <c r="J2" s="100" t="s">
        <v>61</v>
      </c>
      <c r="K2" s="103" t="s">
        <v>62</v>
      </c>
      <c r="L2" s="103" t="s">
        <v>63</v>
      </c>
      <c r="M2" s="103" t="s">
        <v>64</v>
      </c>
      <c r="N2" s="103" t="s">
        <v>65</v>
      </c>
      <c r="O2" s="104" t="s">
        <v>66</v>
      </c>
      <c r="P2" s="104" t="s">
        <v>67</v>
      </c>
      <c r="Q2" s="105" t="s">
        <v>68</v>
      </c>
      <c r="R2" s="105" t="s">
        <v>69</v>
      </c>
      <c r="S2" s="100" t="s">
        <v>70</v>
      </c>
      <c r="T2" s="102" t="s">
        <v>71</v>
      </c>
      <c r="U2" s="102" t="s">
        <v>72</v>
      </c>
      <c r="V2" s="106" t="s">
        <v>73</v>
      </c>
      <c r="W2" s="105" t="s">
        <v>74</v>
      </c>
      <c r="X2" s="105" t="s">
        <v>75</v>
      </c>
      <c r="Y2" s="107" t="s">
        <v>76</v>
      </c>
      <c r="Z2" s="108" t="s">
        <v>77</v>
      </c>
      <c r="AA2" s="107" t="s">
        <v>78</v>
      </c>
      <c r="AB2" s="107" t="s">
        <v>18</v>
      </c>
      <c r="AC2" s="109" t="s">
        <v>79</v>
      </c>
      <c r="AD2" s="110" t="s">
        <v>80</v>
      </c>
      <c r="AE2" s="105" t="s">
        <v>8</v>
      </c>
      <c r="AF2" s="104" t="s">
        <v>25</v>
      </c>
      <c r="AG2" s="104" t="s">
        <v>26</v>
      </c>
      <c r="AH2" s="104" t="s">
        <v>27</v>
      </c>
      <c r="AI2" s="105" t="s">
        <v>9</v>
      </c>
      <c r="AJ2" s="105" t="s">
        <v>81</v>
      </c>
      <c r="AK2" s="100" t="s">
        <v>82</v>
      </c>
      <c r="AL2" s="100" t="s">
        <v>11</v>
      </c>
      <c r="AM2" s="111"/>
      <c r="AN2" s="110" t="s">
        <v>83</v>
      </c>
      <c r="AO2" s="110" t="s">
        <v>84</v>
      </c>
      <c r="AP2" s="110" t="s">
        <v>85</v>
      </c>
      <c r="AQ2" s="110" t="s">
        <v>86</v>
      </c>
      <c r="AR2" s="110" t="s">
        <v>87</v>
      </c>
      <c r="AS2" s="110" t="s">
        <v>88</v>
      </c>
      <c r="AT2" s="110" t="s">
        <v>89</v>
      </c>
      <c r="AU2" s="110" t="s">
        <v>90</v>
      </c>
      <c r="AV2" s="112"/>
      <c r="AW2" s="100" t="s">
        <v>91</v>
      </c>
    </row>
    <row r="3" spans="1:49" outlineLevel="1">
      <c r="A3" s="114"/>
      <c r="B3" s="115">
        <v>341479791</v>
      </c>
      <c r="C3" s="115" t="s">
        <v>92</v>
      </c>
      <c r="D3" s="116" t="s">
        <v>93</v>
      </c>
      <c r="E3" s="117">
        <f>'Юнит 5'!E3</f>
        <v>390</v>
      </c>
      <c r="F3" s="117">
        <f>'Юнит 5'!F3</f>
        <v>36</v>
      </c>
      <c r="G3" s="117">
        <f>'Юнит 5'!G3</f>
        <v>5</v>
      </c>
      <c r="H3" s="117">
        <f>'Юнит 5'!H3</f>
        <v>349</v>
      </c>
      <c r="I3" s="117">
        <v>142.97999999999999</v>
      </c>
      <c r="J3" s="117">
        <f t="shared" ref="J3:J15" si="0">E3*I3</f>
        <v>55762.2</v>
      </c>
      <c r="K3" s="114">
        <f>'Юнит 5'!K3</f>
        <v>133</v>
      </c>
      <c r="L3" s="114">
        <f>'Юнит 1'!L3+'Юнит 2'!L3+'Юнит 3'!L3+'Юнит 4'!L3+'Юнит 5'!L3</f>
        <v>137</v>
      </c>
      <c r="M3" s="114"/>
      <c r="N3" s="114"/>
      <c r="O3" s="213">
        <f t="shared" ref="O3:O15" si="1">L3/7</f>
        <v>19.571428571428573</v>
      </c>
      <c r="P3" s="117">
        <f t="shared" ref="P3" si="2">S3/7</f>
        <v>8.8571428571428577</v>
      </c>
      <c r="Q3" s="114">
        <f>'Юнит 1'!Q3+'Юнит 2'!Q3+'Юнит 3'!Q3+'Юнит 4'!Q3+'Юнит 5'!Q3</f>
        <v>64</v>
      </c>
      <c r="R3" s="114">
        <f>'Юнит 1'!R3+'Юнит 2'!R3+'Юнит 3'!R3+'Юнит 4'!R3+'Юнит 5'!R3</f>
        <v>-2</v>
      </c>
      <c r="S3" s="117">
        <f>Q3+R3</f>
        <v>62</v>
      </c>
      <c r="T3" s="114">
        <f>'Юнит 1'!T3+'Юнит 2'!T3+'Юнит 3'!T3+'Юнит 4'!T3+'Юнит 5'!T3</f>
        <v>59784.03</v>
      </c>
      <c r="U3" s="114">
        <f>'Юнит 1'!U3+'Юнит 2'!U3+'Юнит 3'!U3+'Юнит 4'!U3+'Юнит 5'!U3</f>
        <v>-1870</v>
      </c>
      <c r="V3" s="117">
        <f>T3+U3</f>
        <v>57914.03</v>
      </c>
      <c r="W3" s="114">
        <f>'Юнит 1'!W3+'Юнит 2'!W3+'Юнит 3'!W3+'Юнит 4'!W3+'Юнит 5'!W3</f>
        <v>79728.06</v>
      </c>
      <c r="X3" s="114">
        <f>'Юнит 1'!X3+'Юнит 2'!X3+'Юнит 3'!X3+'Юнит 4'!X3+'Юнит 5'!X3</f>
        <v>-2476</v>
      </c>
      <c r="Y3" s="117">
        <f t="shared" ref="Y3:Y15" si="3">W3+X3</f>
        <v>77252.06</v>
      </c>
      <c r="Z3" s="117">
        <f>L3*M3*N3/100</f>
        <v>0</v>
      </c>
      <c r="AA3" s="119">
        <f t="shared" ref="AA3:AA15" si="4">Y3/$Y$74</f>
        <v>0.25944675872991552</v>
      </c>
      <c r="AB3" s="117">
        <f>S3*I3</f>
        <v>8864.76</v>
      </c>
      <c r="AC3" s="114">
        <f>'Юнит 1'!AC3+'Юнит 2'!AC3+'Юнит 3'!AC3+'Юнит 4'!AC3+'Юнит 5'!AC3</f>
        <v>27903.82</v>
      </c>
      <c r="AD3" s="119">
        <f t="shared" ref="AD3:AD15" si="5">IF(Y3=0,0,AC3/Y3)</f>
        <v>0.36120486625211029</v>
      </c>
      <c r="AE3" s="114">
        <f>'Юнит 1'!AE3+'Юнит 2'!AE3+'Юнит 3'!AE3+'Юнит 4'!AE3+'Юнит 5'!AE3</f>
        <v>8098.5500000000011</v>
      </c>
      <c r="AF3" s="114">
        <f>'Юнит 1'!AF3+'Юнит 2'!AF3+'Юнит 3'!AF3+'Юнит 4'!AF3+'Юнит 5'!AF3</f>
        <v>9000</v>
      </c>
      <c r="AG3" s="114">
        <f>'Юнит 1'!AG3+'Юнит 2'!AG3+'Юнит 3'!AG3+'Юнит 4'!AG3+'Юнит 5'!AG3</f>
        <v>7676</v>
      </c>
      <c r="AH3" s="114">
        <f>'Юнит 1'!AH3+'Юнит 2'!AH3+'Юнит 3'!AH3+'Юнит 4'!AH3+'Юнит 5'!AH3</f>
        <v>0</v>
      </c>
      <c r="AI3" s="241">
        <f>'Юнит 1'!AI3+'Юнит 2'!AI3+'Юнит 3'!AI3+'Юнит 4'!AI3+'Юнит 5'!AI3</f>
        <v>1100.10068440187</v>
      </c>
      <c r="AJ3" s="114">
        <f>'Юнит 1'!AJ3+'Юнит 2'!AJ3+'Юнит 3'!AJ3+'Юнит 4'!AJ3+'Юнит 5'!AJ3</f>
        <v>0</v>
      </c>
      <c r="AK3" s="291">
        <f>Y3*$AK$17/$Y$17</f>
        <v>591.77470645465155</v>
      </c>
      <c r="AL3" s="121">
        <f>Y3-AB3-AC3-AE3-AF3-AG3-AH3-AI3-AK3-AJ3</f>
        <v>14017.054609143479</v>
      </c>
      <c r="AM3" s="122"/>
      <c r="AN3" s="123">
        <f t="shared" ref="AN3:AN15" si="6">IF(S3=0,0,Y3/S3)</f>
        <v>1246.0009677419355</v>
      </c>
      <c r="AO3" s="124">
        <f t="shared" ref="AO3:AO15" si="7">I3</f>
        <v>142.97999999999999</v>
      </c>
      <c r="AP3" s="124">
        <f t="shared" ref="AP3:AP15" si="8">IF(S3=0,0,AC3/S3)</f>
        <v>450.06161290322581</v>
      </c>
      <c r="AQ3" s="124">
        <f>IF(Q3=0,AE3/1,AE3/Q3)</f>
        <v>126.53984375000002</v>
      </c>
      <c r="AR3" s="124">
        <f>IF(Q3=0,0,(AF3+AG3)/Q3)</f>
        <v>260.5625</v>
      </c>
      <c r="AS3" s="124">
        <f>_xlfn.IFS(S3=0,AL3,S3&lt;0,AL3/-S3,S3&gt;0,AL3/S3)</f>
        <v>226.08152595392707</v>
      </c>
      <c r="AT3" s="119">
        <f t="shared" ref="AT3" si="9">IF(AN3=0,0,AS3/AN3)</f>
        <v>0.18144570655000627</v>
      </c>
      <c r="AU3" s="119">
        <f t="shared" ref="AU3" si="10">IF(AO3=0,0,AS3/AO3)</f>
        <v>1.5812108403547844</v>
      </c>
      <c r="AV3" s="125"/>
      <c r="AW3" s="120">
        <f t="shared" ref="AW3:AW15" si="11">AS3*E3</f>
        <v>88171.795122031559</v>
      </c>
    </row>
    <row r="4" spans="1:49" outlineLevel="1">
      <c r="A4" s="114"/>
      <c r="B4" s="115">
        <v>340343575</v>
      </c>
      <c r="C4" s="115" t="s">
        <v>94</v>
      </c>
      <c r="D4" s="116" t="s">
        <v>93</v>
      </c>
      <c r="E4" s="117">
        <f>'Юнит 5'!E4</f>
        <v>279</v>
      </c>
      <c r="F4" s="117">
        <f>'Юнит 5'!F4</f>
        <v>15</v>
      </c>
      <c r="G4" s="117">
        <f>'Юнит 5'!G4</f>
        <v>4</v>
      </c>
      <c r="H4" s="117">
        <f>'Юнит 5'!H4</f>
        <v>260</v>
      </c>
      <c r="I4" s="117">
        <v>123.09</v>
      </c>
      <c r="J4" s="117">
        <f t="shared" si="0"/>
        <v>34342.11</v>
      </c>
      <c r="K4" s="114">
        <f>'Юнит 5'!K4</f>
        <v>314</v>
      </c>
      <c r="L4" s="114">
        <f>'Юнит 1'!L4+'Юнит 2'!L4+'Юнит 3'!L4+'Юнит 4'!L4+'Юнит 5'!L4</f>
        <v>31</v>
      </c>
      <c r="M4" s="114"/>
      <c r="N4" s="114"/>
      <c r="O4" s="213">
        <f t="shared" si="1"/>
        <v>4.4285714285714288</v>
      </c>
      <c r="P4" s="117">
        <f>S4/7</f>
        <v>1.4285714285714286</v>
      </c>
      <c r="Q4" s="114">
        <f>'Юнит 1'!Q4+'Юнит 2'!Q4+'Юнит 3'!Q4+'Юнит 4'!Q4+'Юнит 5'!Q4</f>
        <v>10</v>
      </c>
      <c r="R4" s="114">
        <f>'Юнит 1'!R4+'Юнит 2'!R4+'Юнит 3'!R4+'Юнит 4'!R4+'Юнит 5'!R4</f>
        <v>0</v>
      </c>
      <c r="S4" s="117">
        <f t="shared" ref="S4:S15" si="12">Q4+R4</f>
        <v>10</v>
      </c>
      <c r="T4" s="114">
        <f>'Юнит 1'!T4+'Юнит 2'!T4+'Юнит 3'!T4+'Юнит 4'!T4+'Юнит 5'!T4</f>
        <v>6321.49</v>
      </c>
      <c r="U4" s="114">
        <f>'Юнит 1'!U4+'Юнит 2'!U4+'Юнит 3'!U4+'Юнит 4'!U4+'Юнит 5'!U4</f>
        <v>0</v>
      </c>
      <c r="V4" s="117">
        <f t="shared" ref="V4:V15" si="13">T4+U4</f>
        <v>6321.49</v>
      </c>
      <c r="W4" s="114">
        <f>'Юнит 1'!W4+'Юнит 2'!W4+'Юнит 3'!W4+'Юнит 4'!W4+'Юнит 5'!W4</f>
        <v>9289.3799999999992</v>
      </c>
      <c r="X4" s="114">
        <f>'Юнит 1'!X4+'Юнит 2'!X4+'Юнит 3'!X4+'Юнит 4'!X4+'Юнит 5'!X4</f>
        <v>0</v>
      </c>
      <c r="Y4" s="117">
        <f t="shared" si="3"/>
        <v>9289.3799999999992</v>
      </c>
      <c r="Z4" s="117">
        <f t="shared" ref="Z4:Z15" si="14">L4*M4*N4/100</f>
        <v>0</v>
      </c>
      <c r="AA4" s="119">
        <f t="shared" si="4"/>
        <v>3.1197867495190452E-2</v>
      </c>
      <c r="AB4" s="117">
        <f t="shared" ref="AB4:AB15" si="15">S4*I4</f>
        <v>1230.9000000000001</v>
      </c>
      <c r="AC4" s="114">
        <f>'Юнит 1'!AC4+'Юнит 2'!AC4+'Юнит 3'!AC4+'Юнит 4'!AC4+'Юнит 5'!AC4</f>
        <v>3407.1899999999987</v>
      </c>
      <c r="AD4" s="119">
        <f t="shared" si="5"/>
        <v>0.366783359061638</v>
      </c>
      <c r="AE4" s="114">
        <f>'Юнит 1'!AE4+'Юнит 2'!AE4+'Юнит 3'!AE4+'Юнит 4'!AE4+'Юнит 5'!AE4</f>
        <v>1151.1500000000001</v>
      </c>
      <c r="AF4" s="114">
        <f>'Юнит 1'!AF4+'Юнит 2'!AF4+'Юнит 3'!AF4+'Юнит 4'!AF4+'Юнит 5'!AF4</f>
        <v>892</v>
      </c>
      <c r="AG4" s="114">
        <f>'Юнит 1'!AG4+'Юнит 2'!AG4+'Юнит 3'!AG4+'Юнит 4'!AG4+'Юнит 5'!AG4</f>
        <v>2427</v>
      </c>
      <c r="AH4" s="114">
        <f>'Юнит 1'!AH4+'Юнит 2'!AH4+'Юнит 3'!AH4+'Юнит 4'!AH4+'Юнит 5'!AH4</f>
        <v>0</v>
      </c>
      <c r="AI4" s="241">
        <f>'Юнит 1'!AI4+'Юнит 2'!AI4+'Юнит 3'!AI4+'Юнит 4'!AI4+'Юнит 5'!AI4</f>
        <v>764.01973855249639</v>
      </c>
      <c r="AJ4" s="114">
        <f>'Юнит 1'!AJ4+'Юнит 2'!AJ4+'Юнит 3'!AJ4+'Юнит 4'!AJ4+'Юнит 5'!AJ4</f>
        <v>0</v>
      </c>
      <c r="AK4" s="291">
        <f t="shared" ref="AK4:AK15" si="16">Y4*$AK$17/$Y$17</f>
        <v>71.159527948454851</v>
      </c>
      <c r="AL4" s="121">
        <f t="shared" ref="AL4:AL15" si="17">Y4-AB4-AC4-AE4-AF4-AG4-AH4-AI4-AK4-AJ4</f>
        <v>-654.03926650095048</v>
      </c>
      <c r="AM4" s="122"/>
      <c r="AN4" s="123">
        <f t="shared" si="6"/>
        <v>928.93799999999987</v>
      </c>
      <c r="AO4" s="124">
        <f t="shared" si="7"/>
        <v>123.09</v>
      </c>
      <c r="AP4" s="124">
        <f t="shared" si="8"/>
        <v>340.71899999999988</v>
      </c>
      <c r="AQ4" s="124">
        <f t="shared" ref="AQ4:AQ15" si="18">IF(Q4=0,AE4/1,AE4/Q4)</f>
        <v>115.11500000000001</v>
      </c>
      <c r="AR4" s="124">
        <f t="shared" ref="AR4:AR15" si="19">IF(Q4=0,0,(AF4+AG4)/Q4)</f>
        <v>331.9</v>
      </c>
      <c r="AS4" s="124">
        <f t="array" ref="AS4">_xlfn.IFS(S4=0,AL4,S4&lt;0,AL4/-S4,S4&gt;0,AL4/S4)</f>
        <v>-65.403926650095045</v>
      </c>
      <c r="AT4" s="119">
        <f>IF(AN4=0,0,AS4/AN4)</f>
        <v>-7.0407203333371068E-2</v>
      </c>
      <c r="AU4" s="119">
        <f>IF(AO4=0,0,AS4/AO4)</f>
        <v>-0.53135044804691722</v>
      </c>
      <c r="AV4" s="125"/>
      <c r="AW4" s="120">
        <f t="shared" si="11"/>
        <v>-18247.695535376519</v>
      </c>
    </row>
    <row r="5" spans="1:49" outlineLevel="1">
      <c r="A5" s="114"/>
      <c r="B5" s="115">
        <v>340332621</v>
      </c>
      <c r="C5" s="115" t="s">
        <v>95</v>
      </c>
      <c r="D5" s="116" t="s">
        <v>93</v>
      </c>
      <c r="E5" s="117">
        <f>'Юнит 5'!E5</f>
        <v>375</v>
      </c>
      <c r="F5" s="117">
        <f>'Юнит 5'!F5</f>
        <v>3</v>
      </c>
      <c r="G5" s="117">
        <f>'Юнит 5'!G5</f>
        <v>0</v>
      </c>
      <c r="H5" s="117">
        <f>'Юнит 5'!H5</f>
        <v>372</v>
      </c>
      <c r="I5" s="117">
        <v>123.09</v>
      </c>
      <c r="J5" s="117">
        <f t="shared" si="0"/>
        <v>46158.75</v>
      </c>
      <c r="K5" s="114">
        <f>'Юнит 5'!K5</f>
        <v>999</v>
      </c>
      <c r="L5" s="114">
        <f>'Юнит 1'!L5+'Юнит 2'!L5+'Юнит 3'!L5+'Юнит 4'!L5+'Юнит 5'!L5</f>
        <v>6</v>
      </c>
      <c r="M5" s="114"/>
      <c r="N5" s="114"/>
      <c r="O5" s="213">
        <f t="shared" si="1"/>
        <v>0.8571428571428571</v>
      </c>
      <c r="P5" s="117">
        <f>S5/7</f>
        <v>0.5714285714285714</v>
      </c>
      <c r="Q5" s="114">
        <f>'Юнит 1'!Q5+'Юнит 2'!Q5+'Юнит 3'!Q5+'Юнит 4'!Q5+'Юнит 5'!Q5</f>
        <v>4</v>
      </c>
      <c r="R5" s="114">
        <f>'Юнит 1'!R5+'Юнит 2'!R5+'Юнит 3'!R5+'Юнит 4'!R5+'Юнит 5'!R5</f>
        <v>0</v>
      </c>
      <c r="S5" s="117">
        <f t="shared" si="12"/>
        <v>4</v>
      </c>
      <c r="T5" s="114">
        <f>'Юнит 1'!T5+'Юнит 2'!T5+'Юнит 3'!T5+'Юнит 4'!T5+'Юнит 5'!T5</f>
        <v>2054</v>
      </c>
      <c r="U5" s="114">
        <f>'Юнит 1'!U5+'Юнит 2'!U5+'Юнит 3'!U5+'Юнит 4'!U5+'Юнит 5'!U5</f>
        <v>0</v>
      </c>
      <c r="V5" s="117">
        <f t="shared" si="13"/>
        <v>2054</v>
      </c>
      <c r="W5" s="114">
        <f>'Юнит 1'!W5+'Юнит 2'!W5+'Юнит 3'!W5+'Юнит 4'!W5+'Юнит 5'!W5</f>
        <v>3156</v>
      </c>
      <c r="X5" s="114">
        <f>'Юнит 1'!X5+'Юнит 2'!X5+'Юнит 3'!X5+'Юнит 4'!X5+'Юнит 5'!X5</f>
        <v>0</v>
      </c>
      <c r="Y5" s="117">
        <f t="shared" si="3"/>
        <v>3156</v>
      </c>
      <c r="Z5" s="117">
        <f t="shared" si="14"/>
        <v>0</v>
      </c>
      <c r="AA5" s="119">
        <f t="shared" si="4"/>
        <v>1.0599250952681565E-2</v>
      </c>
      <c r="AB5" s="117">
        <f t="shared" si="15"/>
        <v>492.36</v>
      </c>
      <c r="AC5" s="114">
        <f>'Юнит 1'!AC5+'Юнит 2'!AC5+'Юнит 3'!AC5+'Юнит 4'!AC5+'Юнит 5'!AC5</f>
        <v>332.00000000000011</v>
      </c>
      <c r="AD5" s="119">
        <f t="shared" si="5"/>
        <v>0.1051964512040558</v>
      </c>
      <c r="AE5" s="114">
        <f>'Юнит 1'!AE5+'Юнит 2'!AE5+'Юнит 3'!AE5+'Юнит 4'!AE5+'Юнит 5'!AE5</f>
        <v>187.05</v>
      </c>
      <c r="AF5" s="114">
        <f>'Юнит 1'!AF5+'Юнит 2'!AF5+'Юнит 3'!AF5+'Юнит 4'!AF5+'Юнит 5'!AF5</f>
        <v>1691</v>
      </c>
      <c r="AG5" s="114">
        <f>'Юнит 1'!AG5+'Юнит 2'!AG5+'Юнит 3'!AG5+'Юнит 4'!AG5+'Юнит 5'!AG5</f>
        <v>557</v>
      </c>
      <c r="AH5" s="114">
        <f>'Юнит 1'!AH5+'Юнит 2'!AH5+'Юнит 3'!AH5+'Юнит 4'!AH5+'Юнит 5'!AH5</f>
        <v>0</v>
      </c>
      <c r="AI5" s="241">
        <f>'Юнит 1'!AI5+'Юнит 2'!AI5+'Юнит 3'!AI5+'Юнит 4'!AI5+'Юнит 5'!AI5</f>
        <v>1029.8509772603729</v>
      </c>
      <c r="AJ5" s="114">
        <f>'Юнит 1'!AJ5+'Юнит 2'!AJ5+'Юнит 3'!AJ5+'Юнит 4'!AJ5+'Юнит 5'!AJ5</f>
        <v>0</v>
      </c>
      <c r="AK5" s="291">
        <f t="shared" si="16"/>
        <v>24.175937490480909</v>
      </c>
      <c r="AL5" s="121">
        <f t="shared" si="17"/>
        <v>-1157.4369147508542</v>
      </c>
      <c r="AM5" s="122"/>
      <c r="AN5" s="123">
        <f t="shared" si="6"/>
        <v>789</v>
      </c>
      <c r="AO5" s="124">
        <f t="shared" si="7"/>
        <v>123.09</v>
      </c>
      <c r="AP5" s="124">
        <f t="shared" si="8"/>
        <v>83.000000000000028</v>
      </c>
      <c r="AQ5" s="124">
        <f t="shared" si="18"/>
        <v>46.762500000000003</v>
      </c>
      <c r="AR5" s="124">
        <f t="shared" si="19"/>
        <v>562</v>
      </c>
      <c r="AS5" s="124">
        <f t="array" ref="AS5">_xlfn.IFS(S5=0,AL5,S5&lt;0,AL5/-S5,S5&gt;0,AL5/S5)</f>
        <v>-289.35922868771354</v>
      </c>
      <c r="AT5" s="119">
        <f>IF(AN5=0,0,AS5/AN5)</f>
        <v>-0.366741734711931</v>
      </c>
      <c r="AU5" s="119">
        <f>IF(AO5=0,0,AS5/AO5)</f>
        <v>-2.3507939612292916</v>
      </c>
      <c r="AV5" s="125"/>
      <c r="AW5" s="120">
        <f t="shared" si="11"/>
        <v>-108509.71075789258</v>
      </c>
    </row>
    <row r="6" spans="1:49" outlineLevel="1">
      <c r="A6" s="114"/>
      <c r="B6" s="115">
        <v>340341838</v>
      </c>
      <c r="C6" s="115" t="s">
        <v>96</v>
      </c>
      <c r="D6" s="116" t="s">
        <v>93</v>
      </c>
      <c r="E6" s="117">
        <f>'Юнит 5'!E6</f>
        <v>347</v>
      </c>
      <c r="F6" s="117">
        <f>'Юнит 5'!F6</f>
        <v>4</v>
      </c>
      <c r="G6" s="117">
        <f>'Юнит 5'!G6</f>
        <v>2</v>
      </c>
      <c r="H6" s="117">
        <f>'Юнит 5'!H6</f>
        <v>341</v>
      </c>
      <c r="I6" s="117">
        <v>123.09</v>
      </c>
      <c r="J6" s="117">
        <f t="shared" si="0"/>
        <v>42712.23</v>
      </c>
      <c r="K6" s="114">
        <f>'Юнит 5'!K6</f>
        <v>551</v>
      </c>
      <c r="L6" s="114">
        <f>'Юнит 1'!L6+'Юнит 2'!L6+'Юнит 3'!L6+'Юнит 4'!L6+'Юнит 5'!L6</f>
        <v>34</v>
      </c>
      <c r="M6" s="114"/>
      <c r="N6" s="114"/>
      <c r="O6" s="213">
        <f t="shared" si="1"/>
        <v>4.8571428571428568</v>
      </c>
      <c r="P6" s="117">
        <f t="shared" ref="P6:P15" si="20">S6/7</f>
        <v>2.8571428571428572</v>
      </c>
      <c r="Q6" s="114">
        <f>'Юнит 1'!Q6+'Юнит 2'!Q6+'Юнит 3'!Q6+'Юнит 4'!Q6+'Юнит 5'!Q6</f>
        <v>20</v>
      </c>
      <c r="R6" s="114">
        <f>'Юнит 1'!R6+'Юнит 2'!R6+'Юнит 3'!R6+'Юнит 4'!R6+'Юнит 5'!R6</f>
        <v>0</v>
      </c>
      <c r="S6" s="117">
        <f t="shared" si="12"/>
        <v>20</v>
      </c>
      <c r="T6" s="114">
        <f>'Юнит 1'!T6+'Юнит 2'!T6+'Юнит 3'!T6+'Юнит 4'!T6+'Юнит 5'!T6</f>
        <v>17923</v>
      </c>
      <c r="U6" s="114">
        <f>'Юнит 1'!U6+'Юнит 2'!U6+'Юнит 3'!U6+'Юнит 4'!U6+'Юнит 5'!U6</f>
        <v>0</v>
      </c>
      <c r="V6" s="117">
        <f t="shared" si="13"/>
        <v>17923</v>
      </c>
      <c r="W6" s="114">
        <f>'Юнит 1'!W6+'Юнит 2'!W6+'Юнит 3'!W6+'Юнит 4'!W6+'Юнит 5'!W6</f>
        <v>23148</v>
      </c>
      <c r="X6" s="114">
        <f>'Юнит 1'!X6+'Юнит 2'!X6+'Юнит 3'!X6+'Юнит 4'!X6+'Юнит 5'!X6</f>
        <v>0</v>
      </c>
      <c r="Y6" s="117">
        <f t="shared" si="3"/>
        <v>23148</v>
      </c>
      <c r="Z6" s="117">
        <f t="shared" si="14"/>
        <v>0</v>
      </c>
      <c r="AA6" s="119">
        <f t="shared" si="4"/>
        <v>7.7741274097805083E-2</v>
      </c>
      <c r="AB6" s="117">
        <f t="shared" si="15"/>
        <v>2461.8000000000002</v>
      </c>
      <c r="AC6" s="114">
        <f>'Юнит 1'!AC6+'Юнит 2'!AC6+'Юнит 3'!AC6+'Юнит 4'!AC6+'Юнит 5'!AC6</f>
        <v>8382.6</v>
      </c>
      <c r="AD6" s="119">
        <f t="shared" si="5"/>
        <v>0.36213063763608089</v>
      </c>
      <c r="AE6" s="114">
        <f>'Юнит 1'!AE6+'Юнит 2'!AE6+'Юнит 3'!AE6+'Юнит 4'!AE6+'Юнит 5'!AE6</f>
        <v>2398.1</v>
      </c>
      <c r="AF6" s="114">
        <f>'Юнит 1'!AF6+'Юнит 2'!AF6+'Юнит 3'!AF6+'Юнит 4'!AF6+'Юнит 5'!AF6</f>
        <v>412</v>
      </c>
      <c r="AG6" s="114">
        <f>'Юнит 1'!AG6+'Юнит 2'!AG6+'Юнит 3'!AG6+'Юнит 4'!AG6+'Юнит 5'!AG6</f>
        <v>1379</v>
      </c>
      <c r="AH6" s="114">
        <f>'Юнит 1'!AH6+'Юнит 2'!AH6+'Юнит 3'!AH6+'Юнит 4'!AH6+'Юнит 5'!AH6</f>
        <v>0</v>
      </c>
      <c r="AI6" s="241">
        <f>'Юнит 1'!AI6+'Юнит 2'!AI6+'Юнит 3'!AI6+'Юнит 4'!AI6+'Юнит 5'!AI6</f>
        <v>959.92767560333823</v>
      </c>
      <c r="AJ6" s="114">
        <f>'Юнит 1'!AJ6+'Юнит 2'!AJ6+'Юнит 3'!AJ6+'Юнит 4'!AJ6+'Юнит 5'!AJ6</f>
        <v>0</v>
      </c>
      <c r="AK6" s="291">
        <f t="shared" si="16"/>
        <v>177.32084950242461</v>
      </c>
      <c r="AL6" s="121">
        <f t="shared" si="17"/>
        <v>6977.2514748942376</v>
      </c>
      <c r="AM6" s="122"/>
      <c r="AN6" s="123">
        <f t="shared" si="6"/>
        <v>1157.4000000000001</v>
      </c>
      <c r="AO6" s="124">
        <f t="shared" si="7"/>
        <v>123.09</v>
      </c>
      <c r="AP6" s="124">
        <f t="shared" si="8"/>
        <v>419.13</v>
      </c>
      <c r="AQ6" s="124">
        <f t="shared" si="18"/>
        <v>119.905</v>
      </c>
      <c r="AR6" s="124">
        <f t="shared" si="19"/>
        <v>89.55</v>
      </c>
      <c r="AS6" s="124">
        <f t="array" ref="AS6">_xlfn.IFS(S6=0,AL6,S6&lt;0,AL6/-S6,S6&gt;0,AL6/S6)</f>
        <v>348.86257374471188</v>
      </c>
      <c r="AT6" s="119">
        <f t="shared" ref="AT6:AT15" si="21">IF(AN6=0,0,AS6/AN6)</f>
        <v>0.30141919279826496</v>
      </c>
      <c r="AU6" s="119">
        <f t="shared" ref="AU6:AU15" si="22">IF(AO6=0,0,AS6/AO6)</f>
        <v>2.8342072771525864</v>
      </c>
      <c r="AV6" s="125"/>
      <c r="AW6" s="120">
        <f t="shared" si="11"/>
        <v>121055.31308941502</v>
      </c>
    </row>
    <row r="7" spans="1:49" outlineLevel="1">
      <c r="A7" s="114"/>
      <c r="B7" s="115">
        <v>445291724</v>
      </c>
      <c r="C7" s="115" t="s">
        <v>97</v>
      </c>
      <c r="D7" s="116" t="s">
        <v>93</v>
      </c>
      <c r="E7" s="117">
        <f>'Юнит 5'!E7</f>
        <v>283</v>
      </c>
      <c r="F7" s="117">
        <f>'Юнит 5'!F7</f>
        <v>4</v>
      </c>
      <c r="G7" s="117">
        <f>'Юнит 5'!G7</f>
        <v>0</v>
      </c>
      <c r="H7" s="117">
        <f>'Юнит 5'!H7</f>
        <v>279</v>
      </c>
      <c r="I7" s="117">
        <v>123.09</v>
      </c>
      <c r="J7" s="117">
        <f t="shared" si="0"/>
        <v>34834.47</v>
      </c>
      <c r="K7" s="114">
        <f>'Юнит 5'!K7</f>
        <v>999</v>
      </c>
      <c r="L7" s="114">
        <f>'Юнит 1'!L7+'Юнит 2'!L7+'Юнит 3'!L7+'Юнит 4'!L7+'Юнит 5'!L7</f>
        <v>7</v>
      </c>
      <c r="M7" s="114"/>
      <c r="N7" s="114"/>
      <c r="O7" s="213">
        <f t="shared" si="1"/>
        <v>1</v>
      </c>
      <c r="P7" s="117">
        <f t="shared" si="20"/>
        <v>0.14285714285714285</v>
      </c>
      <c r="Q7" s="114">
        <f>'Юнит 1'!Q7+'Юнит 2'!Q7+'Юнит 3'!Q7+'Юнит 4'!Q7+'Юнит 5'!Q7</f>
        <v>1</v>
      </c>
      <c r="R7" s="114">
        <f>'Юнит 1'!R7+'Юнит 2'!R7+'Юнит 3'!R7+'Юнит 4'!R7+'Юнит 5'!R7</f>
        <v>0</v>
      </c>
      <c r="S7" s="117">
        <f t="shared" si="12"/>
        <v>1</v>
      </c>
      <c r="T7" s="114">
        <f>'Юнит 1'!T7+'Юнит 2'!T7+'Юнит 3'!T7+'Юнит 4'!T7+'Юнит 5'!T7</f>
        <v>672</v>
      </c>
      <c r="U7" s="114">
        <f>'Юнит 1'!U7+'Юнит 2'!U7+'Юнит 3'!U7+'Юнит 4'!U7+'Юнит 5'!U7</f>
        <v>0</v>
      </c>
      <c r="V7" s="117">
        <f>T7+U7</f>
        <v>672</v>
      </c>
      <c r="W7" s="114">
        <f>'Юнит 1'!W7+'Юнит 2'!W7+'Юнит 3'!W7+'Юнит 4'!W7+'Юнит 5'!W7</f>
        <v>1079</v>
      </c>
      <c r="X7" s="114">
        <f>'Юнит 1'!X7+'Юнит 2'!X7+'Юнит 3'!X7+'Юнит 4'!X7+'Юнит 5'!X7</f>
        <v>0</v>
      </c>
      <c r="Y7" s="117">
        <f>W7+X7</f>
        <v>1079</v>
      </c>
      <c r="Z7" s="117">
        <f t="shared" si="14"/>
        <v>0</v>
      </c>
      <c r="AA7" s="119">
        <f t="shared" si="4"/>
        <v>3.6237616533407505E-3</v>
      </c>
      <c r="AB7" s="117">
        <f t="shared" si="15"/>
        <v>123.09</v>
      </c>
      <c r="AC7" s="114">
        <f>'Юнит 1'!AC7+'Юнит 2'!AC7+'Юнит 3'!AC7+'Юнит 4'!AC7+'Юнит 5'!AC7</f>
        <v>394.09000000000003</v>
      </c>
      <c r="AD7" s="119">
        <f t="shared" si="5"/>
        <v>0.36523632993512517</v>
      </c>
      <c r="AE7" s="114">
        <f>'Юнит 1'!AE7+'Юнит 2'!AE7+'Юнит 3'!AE7+'Юнит 4'!AE7+'Юнит 5'!AE7</f>
        <v>380.55</v>
      </c>
      <c r="AF7" s="114">
        <f>'Юнит 1'!AF7+'Юнит 2'!AF7+'Юнит 3'!AF7+'Юнит 4'!AF7+'Юнит 5'!AF7</f>
        <v>1094</v>
      </c>
      <c r="AG7" s="114">
        <f>'Юнит 1'!AG7+'Юнит 2'!AG7+'Юнит 3'!AG7+'Юнит 4'!AG7+'Юнит 5'!AG7</f>
        <v>296</v>
      </c>
      <c r="AH7" s="114">
        <f>'Юнит 1'!AH7+'Юнит 2'!AH7+'Юнит 3'!AH7+'Юнит 4'!AH7+'Юнит 5'!AH7</f>
        <v>0</v>
      </c>
      <c r="AI7" s="241">
        <f>'Юнит 1'!AI7+'Юнит 2'!AI7+'Юнит 3'!AI7+'Юнит 4'!AI7+'Юнит 5'!AI7</f>
        <v>772.67760620382853</v>
      </c>
      <c r="AJ7" s="114">
        <f>'Юнит 1'!AJ7+'Юнит 2'!AJ7+'Юнит 3'!AJ7+'Юнит 4'!AJ7+'Юнит 5'!AJ7</f>
        <v>0</v>
      </c>
      <c r="AK7" s="291">
        <f t="shared" si="16"/>
        <v>8.2654741927214506</v>
      </c>
      <c r="AL7" s="121">
        <f>Y7-AB7-AC7-AE7-AF7-AG7-AH7-AI7-AK7-AJ7</f>
        <v>-1989.6730803965499</v>
      </c>
      <c r="AM7" s="122"/>
      <c r="AN7" s="123">
        <f t="shared" si="6"/>
        <v>1079</v>
      </c>
      <c r="AO7" s="124">
        <f t="shared" si="7"/>
        <v>123.09</v>
      </c>
      <c r="AP7" s="124">
        <f t="shared" si="8"/>
        <v>394.09000000000003</v>
      </c>
      <c r="AQ7" s="124">
        <f t="shared" si="18"/>
        <v>380.55</v>
      </c>
      <c r="AR7" s="124">
        <f t="shared" si="19"/>
        <v>1390</v>
      </c>
      <c r="AS7" s="124">
        <f t="array" ref="AS7">_xlfn.IFS(S7=0,AL7,S7&lt;0,AL7/-S7,S7&gt;0,AL7/S7)</f>
        <v>-1989.6730803965499</v>
      </c>
      <c r="AT7" s="119">
        <f t="shared" si="21"/>
        <v>-1.8439972941580629</v>
      </c>
      <c r="AU7" s="119">
        <f t="shared" si="22"/>
        <v>-16.164376313238687</v>
      </c>
      <c r="AV7" s="125"/>
      <c r="AW7" s="120">
        <f t="shared" si="11"/>
        <v>-563077.48175222368</v>
      </c>
    </row>
    <row r="8" spans="1:49" outlineLevel="1">
      <c r="A8" s="114"/>
      <c r="B8" s="115">
        <v>445336740</v>
      </c>
      <c r="C8" s="115" t="s">
        <v>98</v>
      </c>
      <c r="D8" s="116" t="s">
        <v>93</v>
      </c>
      <c r="E8" s="117">
        <f>'Юнит 5'!E8</f>
        <v>99</v>
      </c>
      <c r="F8" s="117">
        <f>'Юнит 5'!F8</f>
        <v>23</v>
      </c>
      <c r="G8" s="117">
        <f>'Юнит 5'!G8</f>
        <v>1</v>
      </c>
      <c r="H8" s="117">
        <f>'Юнит 5'!H8</f>
        <v>75</v>
      </c>
      <c r="I8" s="117">
        <v>123.09</v>
      </c>
      <c r="J8" s="117">
        <f t="shared" si="0"/>
        <v>12185.91</v>
      </c>
      <c r="K8" s="114">
        <f>'Юнит 5'!K8</f>
        <v>50</v>
      </c>
      <c r="L8" s="114">
        <f>'Юнит 1'!L8+'Юнит 2'!L8+'Юнит 3'!L8+'Юнит 4'!L8+'Юнит 5'!L8</f>
        <v>136</v>
      </c>
      <c r="M8" s="114"/>
      <c r="N8" s="114"/>
      <c r="O8" s="213">
        <f t="shared" si="1"/>
        <v>19.428571428571427</v>
      </c>
      <c r="P8" s="117">
        <f t="shared" si="20"/>
        <v>15.285714285714286</v>
      </c>
      <c r="Q8" s="114">
        <f>'Юнит 1'!Q8+'Юнит 2'!Q8+'Юнит 3'!Q8+'Юнит 4'!Q8+'Юнит 5'!Q8</f>
        <v>107</v>
      </c>
      <c r="R8" s="114">
        <f>'Юнит 1'!R8+'Юнит 2'!R8+'Юнит 3'!R8+'Юнит 4'!R8+'Юнит 5'!R8</f>
        <v>0</v>
      </c>
      <c r="S8" s="117">
        <f t="shared" si="12"/>
        <v>107</v>
      </c>
      <c r="T8" s="114">
        <f>'Юнит 1'!T8+'Юнит 2'!T8+'Юнит 3'!T8+'Юнит 4'!T8+'Юнит 5'!T8</f>
        <v>103064.23999999999</v>
      </c>
      <c r="U8" s="114">
        <f>'Юнит 1'!U8+'Юнит 2'!U8+'Юнит 3'!U8+'Юнит 4'!U8+'Юнит 5'!U8</f>
        <v>0</v>
      </c>
      <c r="V8" s="117">
        <f t="shared" si="13"/>
        <v>103064.23999999999</v>
      </c>
      <c r="W8" s="114">
        <f>'Юнит 1'!W8+'Юнит 2'!W8+'Юнит 3'!W8+'Юнит 4'!W8+'Юнит 5'!W8</f>
        <v>128447.72</v>
      </c>
      <c r="X8" s="114">
        <f>'Юнит 1'!X8+'Юнит 2'!X8+'Юнит 3'!X8+'Юнит 4'!X8+'Юнит 5'!X8</f>
        <v>0</v>
      </c>
      <c r="Y8" s="117">
        <f t="shared" si="3"/>
        <v>128447.72</v>
      </c>
      <c r="Z8" s="117">
        <f t="shared" si="14"/>
        <v>0</v>
      </c>
      <c r="AA8" s="119">
        <f t="shared" si="4"/>
        <v>0.43138454327622777</v>
      </c>
      <c r="AB8" s="117">
        <f t="shared" si="15"/>
        <v>13170.630000000001</v>
      </c>
      <c r="AC8" s="114">
        <f>'Юнит 1'!AC8+'Юнит 2'!AC8+'Юнит 3'!AC8+'Юнит 4'!AC8+'Юнит 5'!AC8</f>
        <v>46443.600000000013</v>
      </c>
      <c r="AD8" s="119">
        <f t="shared" si="5"/>
        <v>0.36157590029624515</v>
      </c>
      <c r="AE8" s="114">
        <f>'Юнит 1'!AE8+'Юнит 2'!AE8+'Юнит 3'!AE8+'Юнит 4'!AE8+'Юнит 5'!AE8</f>
        <v>10755.050000000001</v>
      </c>
      <c r="AF8" s="114">
        <f>'Юнит 1'!AF8+'Юнит 2'!AF8+'Юнит 3'!AF8+'Юнит 4'!AF8+'Юнит 5'!AF8</f>
        <v>5362</v>
      </c>
      <c r="AG8" s="114">
        <f>'Юнит 1'!AG8+'Юнит 2'!AG8+'Юнит 3'!AG8+'Юнит 4'!AG8+'Юнит 5'!AG8</f>
        <v>8225</v>
      </c>
      <c r="AH8" s="114">
        <f>'Юнит 1'!AH8+'Юнит 2'!AH8+'Юнит 3'!AH8+'Юнит 4'!AH8+'Юнит 5'!AH8</f>
        <v>0</v>
      </c>
      <c r="AI8" s="241">
        <f>'Юнит 1'!AI8+'Юнит 2'!AI8+'Юнит 3'!AI8+'Юнит 4'!AI8+'Юнит 5'!AI8</f>
        <v>370.90572687895082</v>
      </c>
      <c r="AJ8" s="114">
        <f>'Юнит 1'!AJ8+'Юнит 2'!AJ8+'Юнит 3'!AJ8+'Юнит 4'!AJ8+'Юнит 5'!AJ8</f>
        <v>0</v>
      </c>
      <c r="AK8" s="291">
        <f t="shared" si="16"/>
        <v>983.94931860418069</v>
      </c>
      <c r="AL8" s="121">
        <f t="shared" si="17"/>
        <v>43136.58495451686</v>
      </c>
      <c r="AM8" s="122"/>
      <c r="AN8" s="123">
        <f t="shared" si="6"/>
        <v>1200.4459813084113</v>
      </c>
      <c r="AO8" s="124">
        <f t="shared" si="7"/>
        <v>123.09</v>
      </c>
      <c r="AP8" s="124">
        <f t="shared" si="8"/>
        <v>434.05233644859823</v>
      </c>
      <c r="AQ8" s="124">
        <f t="shared" si="18"/>
        <v>100.51448598130843</v>
      </c>
      <c r="AR8" s="124">
        <f t="shared" si="19"/>
        <v>126.98130841121495</v>
      </c>
      <c r="AS8" s="124">
        <f t="array" ref="AS8">_xlfn.IFS(S8=0,AL8,S8&lt;0,AL8/-S8,S8&gt;0,AL8/S8)</f>
        <v>403.1456537805314</v>
      </c>
      <c r="AT8" s="119">
        <f t="shared" si="21"/>
        <v>0.33582989993529549</v>
      </c>
      <c r="AU8" s="119">
        <f t="shared" si="22"/>
        <v>3.2752104458569451</v>
      </c>
      <c r="AV8" s="125"/>
      <c r="AW8" s="120">
        <f t="shared" si="11"/>
        <v>39911.419724272608</v>
      </c>
    </row>
    <row r="9" spans="1:49" outlineLevel="1">
      <c r="A9" s="114"/>
      <c r="B9" s="115">
        <v>445341507</v>
      </c>
      <c r="C9" s="115" t="s">
        <v>99</v>
      </c>
      <c r="D9" s="116" t="s">
        <v>93</v>
      </c>
      <c r="E9" s="117">
        <f>'Юнит 5'!E9</f>
        <v>247</v>
      </c>
      <c r="F9" s="117">
        <f>'Юнит 5'!F9</f>
        <v>14</v>
      </c>
      <c r="G9" s="117">
        <f>'Юнит 5'!G9</f>
        <v>4</v>
      </c>
      <c r="H9" s="117">
        <f>'Юнит 5'!H9</f>
        <v>229</v>
      </c>
      <c r="I9" s="117">
        <v>169.89</v>
      </c>
      <c r="J9" s="117">
        <f t="shared" si="0"/>
        <v>41962.829999999994</v>
      </c>
      <c r="K9" s="114">
        <f>'Юнит 5'!K9</f>
        <v>207</v>
      </c>
      <c r="L9" s="114">
        <f>'Юнит 1'!L9+'Юнит 2'!L9+'Юнит 3'!L9+'Юнит 4'!L9+'Юнит 5'!L9</f>
        <v>69</v>
      </c>
      <c r="M9" s="114"/>
      <c r="N9" s="114"/>
      <c r="O9" s="213">
        <f t="shared" si="1"/>
        <v>9.8571428571428577</v>
      </c>
      <c r="P9" s="117">
        <f t="shared" si="20"/>
        <v>3.7142857142857144</v>
      </c>
      <c r="Q9" s="114">
        <f>'Юнит 1'!Q9+'Юнит 2'!Q9+'Юнит 3'!Q9+'Юнит 4'!Q9+'Юнит 5'!Q9</f>
        <v>28</v>
      </c>
      <c r="R9" s="114">
        <f>'Юнит 1'!R9+'Юнит 2'!R9+'Юнит 3'!R9+'Юнит 4'!R9+'Юнит 5'!R9</f>
        <v>-2</v>
      </c>
      <c r="S9" s="117">
        <f t="shared" si="12"/>
        <v>26</v>
      </c>
      <c r="T9" s="114">
        <f>'Юнит 1'!T9+'Юнит 2'!T9+'Юнит 3'!T9+'Юнит 4'!T9+'Юнит 5'!T9</f>
        <v>23712.959999999999</v>
      </c>
      <c r="U9" s="114">
        <f>'Юнит 1'!U9+'Юнит 2'!U9+'Юнит 3'!U9+'Юнит 4'!U9+'Юнит 5'!U9</f>
        <v>-1779</v>
      </c>
      <c r="V9" s="117">
        <f t="shared" si="13"/>
        <v>21933.96</v>
      </c>
      <c r="W9" s="114">
        <f>'Юнит 1'!W9+'Юнит 2'!W9+'Юнит 3'!W9+'Юнит 4'!W9+'Юнит 5'!W9</f>
        <v>32983.729999999996</v>
      </c>
      <c r="X9" s="114">
        <f>'Юнит 1'!X9+'Юнит 2'!X9+'Юнит 3'!X9+'Юнит 4'!X9+'Юнит 5'!X9</f>
        <v>-2348</v>
      </c>
      <c r="Y9" s="117">
        <f t="shared" si="3"/>
        <v>30635.729999999996</v>
      </c>
      <c r="Z9" s="117">
        <f t="shared" si="14"/>
        <v>0</v>
      </c>
      <c r="AA9" s="119">
        <f t="shared" si="4"/>
        <v>0.1028883999963863</v>
      </c>
      <c r="AB9" s="117">
        <f t="shared" si="15"/>
        <v>4417.1399999999994</v>
      </c>
      <c r="AC9" s="114">
        <f>'Юнит 1'!AC9+'Юнит 2'!AC9+'Юнит 3'!AC9+'Юнит 4'!AC9+'Юнит 5'!AC9</f>
        <v>11062.14</v>
      </c>
      <c r="AD9" s="119">
        <f t="shared" si="5"/>
        <v>0.36108622187230405</v>
      </c>
      <c r="AE9" s="114">
        <f>'Юнит 1'!AE9+'Юнит 2'!AE9+'Юнит 3'!AE9+'Юнит 4'!AE9+'Юнит 5'!AE9</f>
        <v>4747.2000000000007</v>
      </c>
      <c r="AF9" s="114">
        <f>'Юнит 1'!AF9+'Юнит 2'!AF9+'Юнит 3'!AF9+'Юнит 4'!AF9+'Юнит 5'!AF9</f>
        <v>4000</v>
      </c>
      <c r="AG9" s="114">
        <f>'Юнит 1'!AG9+'Юнит 2'!AG9+'Юнит 3'!AG9+'Юнит 4'!AG9+'Юнит 5'!AG9</f>
        <v>5842</v>
      </c>
      <c r="AH9" s="114">
        <f>'Юнит 1'!AH9+'Юнит 2'!AH9+'Юнит 3'!AH9+'Юнит 4'!AH9+'Юнит 5'!AH9</f>
        <v>0</v>
      </c>
      <c r="AI9" s="241">
        <f>'Юнит 1'!AI9+'Юнит 2'!AI9+'Юнит 3'!AI9+'Юнит 4'!AI9+'Юнит 5'!AI9</f>
        <v>691.65984163904386</v>
      </c>
      <c r="AJ9" s="114">
        <f>'Юнит 1'!AJ9+'Юнит 2'!AJ9+'Юнит 3'!AJ9+'Юнит 4'!AJ9+'Юнит 5'!AJ9</f>
        <v>0</v>
      </c>
      <c r="AK9" s="291">
        <f t="shared" si="16"/>
        <v>234.67918043575742</v>
      </c>
      <c r="AL9" s="121">
        <f t="shared" si="17"/>
        <v>-359.08902207480492</v>
      </c>
      <c r="AM9" s="122"/>
      <c r="AN9" s="123">
        <f t="shared" si="6"/>
        <v>1178.2973076923076</v>
      </c>
      <c r="AO9" s="124">
        <f t="shared" si="7"/>
        <v>169.89</v>
      </c>
      <c r="AP9" s="124">
        <f t="shared" si="8"/>
        <v>425.46692307692308</v>
      </c>
      <c r="AQ9" s="124">
        <f t="shared" si="18"/>
        <v>169.54285714285717</v>
      </c>
      <c r="AR9" s="124">
        <f t="shared" si="19"/>
        <v>351.5</v>
      </c>
      <c r="AS9" s="124">
        <f t="array" ref="AS9">_xlfn.IFS(S9=0,AL9,S9&lt;0,AL9/-S9,S9&gt;0,AL9/S9)</f>
        <v>-13.811116233646343</v>
      </c>
      <c r="AT9" s="119">
        <f t="shared" si="21"/>
        <v>-1.1721249079907839E-2</v>
      </c>
      <c r="AU9" s="119">
        <f t="shared" si="22"/>
        <v>-8.1294462497182557E-2</v>
      </c>
      <c r="AV9" s="125"/>
      <c r="AW9" s="120">
        <f t="shared" si="11"/>
        <v>-3411.3457097106466</v>
      </c>
    </row>
    <row r="10" spans="1:49" outlineLevel="1">
      <c r="A10" s="114"/>
      <c r="B10" s="115">
        <v>497825485</v>
      </c>
      <c r="C10" s="115" t="s">
        <v>100</v>
      </c>
      <c r="D10" s="116" t="s">
        <v>93</v>
      </c>
      <c r="E10" s="117">
        <f>'Юнит 5'!E10</f>
        <v>40</v>
      </c>
      <c r="F10" s="117">
        <f>'Юнит 5'!F10</f>
        <v>0</v>
      </c>
      <c r="G10" s="117">
        <f>'Юнит 5'!G10</f>
        <v>1</v>
      </c>
      <c r="H10" s="117">
        <f>'Юнит 5'!H10</f>
        <v>39</v>
      </c>
      <c r="I10" s="117">
        <v>169.89</v>
      </c>
      <c r="J10" s="117">
        <f t="shared" si="0"/>
        <v>6795.5999999999995</v>
      </c>
      <c r="K10" s="114">
        <f>'Юнит 5'!K10</f>
        <v>399</v>
      </c>
      <c r="L10" s="114">
        <f>'Юнит 1'!L10+'Юнит 2'!L10+'Юнит 3'!L10+'Юнит 4'!L10+'Юнит 5'!L10</f>
        <v>6</v>
      </c>
      <c r="M10" s="114"/>
      <c r="N10" s="114"/>
      <c r="O10" s="213">
        <f t="shared" si="1"/>
        <v>0.8571428571428571</v>
      </c>
      <c r="P10" s="117">
        <f t="shared" si="20"/>
        <v>0.2857142857142857</v>
      </c>
      <c r="Q10" s="114">
        <f>'Юнит 1'!Q10+'Юнит 2'!Q10+'Юнит 3'!Q10+'Юнит 4'!Q10+'Юнит 5'!Q10</f>
        <v>3</v>
      </c>
      <c r="R10" s="114">
        <f>'Юнит 1'!R10+'Юнит 2'!R10+'Юнит 3'!R10+'Юнит 4'!R10+'Юнит 5'!R10</f>
        <v>-1</v>
      </c>
      <c r="S10" s="117">
        <f t="shared" si="12"/>
        <v>2</v>
      </c>
      <c r="T10" s="114">
        <f>'Юнит 1'!T10+'Юнит 2'!T10+'Юнит 3'!T10+'Юнит 4'!T10+'Юнит 5'!T10</f>
        <v>2726</v>
      </c>
      <c r="U10" s="114">
        <f>'Юнит 1'!U10+'Юнит 2'!U10+'Юнит 3'!U10+'Юнит 4'!U10+'Юнит 5'!U10</f>
        <v>-931</v>
      </c>
      <c r="V10" s="117">
        <f t="shared" si="13"/>
        <v>1795</v>
      </c>
      <c r="W10" s="114">
        <f>'Юнит 1'!W10+'Юнит 2'!W10+'Юнит 3'!W10+'Юнит 4'!W10+'Юнит 5'!W10</f>
        <v>3543</v>
      </c>
      <c r="X10" s="114">
        <f>'Юнит 1'!X10+'Юнит 2'!X10+'Юнит 3'!X10+'Юнит 4'!X10+'Юнит 5'!X10</f>
        <v>-1199</v>
      </c>
      <c r="Y10" s="117">
        <f t="shared" si="3"/>
        <v>2344</v>
      </c>
      <c r="Z10" s="117">
        <f t="shared" si="14"/>
        <v>0</v>
      </c>
      <c r="AA10" s="119">
        <f t="shared" si="4"/>
        <v>7.8721939902045585E-3</v>
      </c>
      <c r="AB10" s="117">
        <f t="shared" si="15"/>
        <v>339.78</v>
      </c>
      <c r="AC10" s="114">
        <f>'Юнит 1'!AC10+'Юнит 2'!AC10+'Юнит 3'!AC10+'Юнит 4'!AC10+'Юнит 5'!AC10</f>
        <v>852.14</v>
      </c>
      <c r="AD10" s="119">
        <f t="shared" si="5"/>
        <v>0.36354095563139932</v>
      </c>
      <c r="AE10" s="114">
        <f>'Юнит 1'!AE10+'Юнит 2'!AE10+'Юнит 3'!AE10+'Юнит 4'!AE10+'Юнит 5'!AE10</f>
        <v>508.85</v>
      </c>
      <c r="AF10" s="114">
        <f>'Юнит 1'!AF10+'Юнит 2'!AF10+'Юнит 3'!AF10+'Юнит 4'!AF10+'Юнит 5'!AF10</f>
        <v>0</v>
      </c>
      <c r="AG10" s="114">
        <f>'Юнит 1'!AG10+'Юнит 2'!AG10+'Юнит 3'!AG10+'Юнит 4'!AG10+'Юнит 5'!AG10</f>
        <v>0</v>
      </c>
      <c r="AH10" s="114">
        <f>'Юнит 1'!AH10+'Юнит 2'!AH10+'Юнит 3'!AH10+'Юнит 4'!AH10+'Юнит 5'!AH10</f>
        <v>0</v>
      </c>
      <c r="AI10" s="241">
        <f>'Юнит 1'!AI10+'Юнит 2'!AI10+'Юнит 3'!AI10+'Юнит 4'!AI10+'Юнит 5'!AI10</f>
        <v>108.00567512242689</v>
      </c>
      <c r="AJ10" s="114">
        <f>'Юнит 1'!AJ10+'Юнит 2'!AJ10+'Юнит 3'!AJ10+'Юнит 4'!AJ10+'Юнит 5'!AJ10</f>
        <v>0</v>
      </c>
      <c r="AK10" s="291">
        <f t="shared" si="16"/>
        <v>17.955765994197481</v>
      </c>
      <c r="AL10" s="121">
        <f t="shared" si="17"/>
        <v>517.26855888337559</v>
      </c>
      <c r="AM10" s="122"/>
      <c r="AN10" s="123">
        <f t="shared" si="6"/>
        <v>1172</v>
      </c>
      <c r="AO10" s="124">
        <f t="shared" si="7"/>
        <v>169.89</v>
      </c>
      <c r="AP10" s="124">
        <f t="shared" si="8"/>
        <v>426.07</v>
      </c>
      <c r="AQ10" s="124">
        <f t="shared" si="18"/>
        <v>169.61666666666667</v>
      </c>
      <c r="AR10" s="124">
        <f t="shared" si="19"/>
        <v>0</v>
      </c>
      <c r="AS10" s="124">
        <f t="array" ref="AS10">_xlfn.IFS(S10=0,AL10,S10&lt;0,AL10/-S10,S10&gt;0,AL10/S10)</f>
        <v>258.6342794416878</v>
      </c>
      <c r="AT10" s="119">
        <f t="shared" si="21"/>
        <v>0.22067771283420459</v>
      </c>
      <c r="AU10" s="119">
        <f t="shared" si="22"/>
        <v>1.5223631728865019</v>
      </c>
      <c r="AV10" s="125"/>
      <c r="AW10" s="120">
        <f t="shared" si="11"/>
        <v>10345.371177667512</v>
      </c>
    </row>
    <row r="11" spans="1:49" outlineLevel="1">
      <c r="A11" s="114"/>
      <c r="B11" s="115">
        <v>497825962</v>
      </c>
      <c r="C11" s="115" t="s">
        <v>101</v>
      </c>
      <c r="D11" s="116" t="s">
        <v>93</v>
      </c>
      <c r="E11" s="117">
        <f>'Юнит 5'!E11</f>
        <v>39</v>
      </c>
      <c r="F11" s="117">
        <f>'Юнит 5'!F11</f>
        <v>0</v>
      </c>
      <c r="G11" s="117">
        <f>'Юнит 5'!G11</f>
        <v>1</v>
      </c>
      <c r="H11" s="117">
        <f>'Юнит 5'!H11</f>
        <v>38</v>
      </c>
      <c r="I11" s="117">
        <v>169.89</v>
      </c>
      <c r="J11" s="117">
        <f t="shared" si="0"/>
        <v>6625.7099999999991</v>
      </c>
      <c r="K11" s="114">
        <f>'Юнит 5'!K11</f>
        <v>399</v>
      </c>
      <c r="L11" s="114">
        <f>'Юнит 1'!L11+'Юнит 2'!L11+'Юнит 3'!L11+'Юнит 4'!L11+'Юнит 5'!L11</f>
        <v>5</v>
      </c>
      <c r="M11" s="114"/>
      <c r="N11" s="114"/>
      <c r="O11" s="213">
        <f t="shared" si="1"/>
        <v>0.7142857142857143</v>
      </c>
      <c r="P11" s="117">
        <f t="shared" si="20"/>
        <v>0.42857142857142855</v>
      </c>
      <c r="Q11" s="114">
        <f>'Юнит 1'!Q11+'Юнит 2'!Q11+'Юнит 3'!Q11+'Юнит 4'!Q11+'Юнит 5'!Q11</f>
        <v>3</v>
      </c>
      <c r="R11" s="114">
        <f>'Юнит 1'!R11+'Юнит 2'!R11+'Юнит 3'!R11+'Юнит 4'!R11+'Юнит 5'!R11</f>
        <v>0</v>
      </c>
      <c r="S11" s="117">
        <f t="shared" si="12"/>
        <v>3</v>
      </c>
      <c r="T11" s="114">
        <f>'Юнит 1'!T11+'Юнит 2'!T11+'Юнит 3'!T11+'Юнит 4'!T11+'Юнит 5'!T11</f>
        <v>2507</v>
      </c>
      <c r="U11" s="114">
        <f>'Юнит 1'!U11+'Юнит 2'!U11+'Юнит 3'!U11+'Юнит 4'!U11+'Юнит 5'!U11</f>
        <v>0</v>
      </c>
      <c r="V11" s="117">
        <f t="shared" si="13"/>
        <v>2507</v>
      </c>
      <c r="W11" s="114">
        <f>'Юнит 1'!W11+'Юнит 2'!W11+'Юнит 3'!W11+'Юнит 4'!W11+'Юнит 5'!W11</f>
        <v>3435</v>
      </c>
      <c r="X11" s="114">
        <f>'Юнит 1'!X11+'Юнит 2'!X11+'Юнит 3'!X11+'Юнит 4'!X11+'Юнит 5'!X11</f>
        <v>0</v>
      </c>
      <c r="Y11" s="117">
        <f t="shared" si="3"/>
        <v>3435</v>
      </c>
      <c r="Z11" s="117">
        <f t="shared" si="14"/>
        <v>0</v>
      </c>
      <c r="AA11" s="119">
        <f t="shared" si="4"/>
        <v>1.1536256977966152E-2</v>
      </c>
      <c r="AB11" s="117">
        <f t="shared" si="15"/>
        <v>509.66999999999996</v>
      </c>
      <c r="AC11" s="114">
        <f>'Юнит 1'!AC11+'Юнит 2'!AC11+'Юнит 3'!AC11+'Юнит 4'!AC11+'Юнит 5'!AC11</f>
        <v>1230.83</v>
      </c>
      <c r="AD11" s="119">
        <f t="shared" si="5"/>
        <v>0.3583202328966521</v>
      </c>
      <c r="AE11" s="114">
        <f>'Юнит 1'!AE11+'Юнит 2'!AE11+'Юнит 3'!AE11+'Юнит 4'!AE11+'Юнит 5'!AE11</f>
        <v>496.54999999999995</v>
      </c>
      <c r="AF11" s="114">
        <f>'Юнит 1'!AF11+'Юнит 2'!AF11+'Юнит 3'!AF11+'Юнит 4'!AF11+'Юнит 5'!AF11</f>
        <v>0</v>
      </c>
      <c r="AG11" s="114">
        <f>'Юнит 1'!AG11+'Юнит 2'!AG11+'Юнит 3'!AG11+'Юнит 4'!AG11+'Юнит 5'!AG11</f>
        <v>0</v>
      </c>
      <c r="AH11" s="114">
        <f>'Юнит 1'!AH11+'Юнит 2'!AH11+'Юнит 3'!AH11+'Юнит 4'!AH11+'Юнит 5'!AH11</f>
        <v>0</v>
      </c>
      <c r="AI11" s="241">
        <f>'Юнит 1'!AI11+'Юнит 2'!AI11+'Юнит 3'!AI11+'Юнит 4'!AI11+'Юнит 5'!AI11</f>
        <v>108.28536559308411</v>
      </c>
      <c r="AJ11" s="114">
        <f>'Юнит 1'!AJ11+'Юнит 2'!AJ11+'Юнит 3'!AJ11+'Юнит 4'!AJ11+'Юнит 5'!AJ11</f>
        <v>0</v>
      </c>
      <c r="AK11" s="291">
        <f t="shared" si="16"/>
        <v>26.313163903612775</v>
      </c>
      <c r="AL11" s="121">
        <f t="shared" si="17"/>
        <v>1063.3514705033031</v>
      </c>
      <c r="AM11" s="122"/>
      <c r="AN11" s="123">
        <f t="shared" si="6"/>
        <v>1145</v>
      </c>
      <c r="AO11" s="124">
        <f t="shared" si="7"/>
        <v>169.89</v>
      </c>
      <c r="AP11" s="124">
        <f t="shared" si="8"/>
        <v>410.27666666666664</v>
      </c>
      <c r="AQ11" s="124">
        <f t="shared" si="18"/>
        <v>165.51666666666665</v>
      </c>
      <c r="AR11" s="124">
        <f t="shared" si="19"/>
        <v>0</v>
      </c>
      <c r="AS11" s="124">
        <f t="array" ref="AS11">_xlfn.IFS(S11=0,AL11,S11&lt;0,AL11/-S11,S11&gt;0,AL11/S11)</f>
        <v>354.45049016776767</v>
      </c>
      <c r="AT11" s="119">
        <f t="shared" si="21"/>
        <v>0.3095637468714128</v>
      </c>
      <c r="AU11" s="119">
        <f t="shared" si="22"/>
        <v>2.0863528763774659</v>
      </c>
      <c r="AV11" s="125"/>
      <c r="AW11" s="120">
        <f t="shared" si="11"/>
        <v>13823.56911654294</v>
      </c>
    </row>
    <row r="12" spans="1:49" outlineLevel="1">
      <c r="A12" s="114"/>
      <c r="B12" s="115">
        <v>497821775</v>
      </c>
      <c r="C12" s="115" t="s">
        <v>102</v>
      </c>
      <c r="D12" s="116" t="s">
        <v>93</v>
      </c>
      <c r="E12" s="117">
        <f>'Юнит 5'!E12</f>
        <v>44</v>
      </c>
      <c r="F12" s="117">
        <f>'Юнит 5'!F12</f>
        <v>0</v>
      </c>
      <c r="G12" s="117">
        <f>'Юнит 5'!G12</f>
        <v>0</v>
      </c>
      <c r="H12" s="117">
        <f>'Юнит 5'!H12</f>
        <v>44</v>
      </c>
      <c r="I12" s="117">
        <v>169.89</v>
      </c>
      <c r="J12" s="117">
        <f t="shared" si="0"/>
        <v>7475.16</v>
      </c>
      <c r="K12" s="114">
        <f>'Юнит 5'!K12</f>
        <v>264</v>
      </c>
      <c r="L12" s="114">
        <f>'Юнит 1'!L12+'Юнит 2'!L12+'Юнит 3'!L12+'Юнит 4'!L12+'Юнит 5'!L12</f>
        <v>9</v>
      </c>
      <c r="M12" s="114"/>
      <c r="N12" s="114"/>
      <c r="O12" s="213">
        <f t="shared" si="1"/>
        <v>1.2857142857142858</v>
      </c>
      <c r="P12" s="117">
        <f t="shared" si="20"/>
        <v>0.42857142857142855</v>
      </c>
      <c r="Q12" s="114">
        <f>'Юнит 1'!Q12+'Юнит 2'!Q12+'Юнит 3'!Q12+'Юнит 4'!Q12+'Юнит 5'!Q12</f>
        <v>3</v>
      </c>
      <c r="R12" s="114">
        <f>'Юнит 1'!R12+'Юнит 2'!R12+'Юнит 3'!R12+'Юнит 4'!R12+'Юнит 5'!R12</f>
        <v>0</v>
      </c>
      <c r="S12" s="117">
        <f t="shared" si="12"/>
        <v>3</v>
      </c>
      <c r="T12" s="114">
        <f>'Юнит 1'!T12+'Юнит 2'!T12+'Юнит 3'!T12+'Юнит 4'!T12+'Юнит 5'!T12</f>
        <v>2738</v>
      </c>
      <c r="U12" s="114">
        <f>'Юнит 1'!U12+'Юнит 2'!U12+'Юнит 3'!U12+'Юнит 4'!U12+'Юнит 5'!U12</f>
        <v>0</v>
      </c>
      <c r="V12" s="117">
        <f t="shared" si="13"/>
        <v>2738</v>
      </c>
      <c r="W12" s="114">
        <f>'Юнит 1'!W12+'Юнит 2'!W12+'Юнит 3'!W12+'Юнит 4'!W12+'Юнит 5'!W12</f>
        <v>3498</v>
      </c>
      <c r="X12" s="114">
        <f>'Юнит 1'!X12+'Юнит 2'!X12+'Юнит 3'!X12+'Юнит 4'!X12+'Юнит 5'!X12</f>
        <v>0</v>
      </c>
      <c r="Y12" s="117">
        <f t="shared" si="3"/>
        <v>3498</v>
      </c>
      <c r="Z12" s="117">
        <f t="shared" si="14"/>
        <v>0</v>
      </c>
      <c r="AA12" s="119">
        <f t="shared" si="4"/>
        <v>1.1747838983675575E-2</v>
      </c>
      <c r="AB12" s="117">
        <f t="shared" si="15"/>
        <v>509.66999999999996</v>
      </c>
      <c r="AC12" s="114">
        <f>'Юнит 1'!AC12+'Юнит 2'!AC12+'Юнит 3'!AC12+'Юнит 4'!AC12+'Юнит 5'!AC12</f>
        <v>1259.4499999999998</v>
      </c>
      <c r="AD12" s="119">
        <f t="shared" si="5"/>
        <v>0.36004859919954252</v>
      </c>
      <c r="AE12" s="114">
        <f>'Юнит 1'!AE12+'Юнит 2'!AE12+'Юнит 3'!AE12+'Юнит 4'!AE12+'Юнит 5'!AE12</f>
        <v>807.5</v>
      </c>
      <c r="AF12" s="114">
        <f>'Юнит 1'!AF12+'Юнит 2'!AF12+'Юнит 3'!AF12+'Юнит 4'!AF12+'Юнит 5'!AF12</f>
        <v>0</v>
      </c>
      <c r="AG12" s="114">
        <f>'Юнит 1'!AG12+'Юнит 2'!AG12+'Юнит 3'!AG12+'Юнит 4'!AG12+'Юнит 5'!AG12</f>
        <v>0</v>
      </c>
      <c r="AH12" s="114">
        <f>'Юнит 1'!AH12+'Юнит 2'!AH12+'Юнит 3'!AH12+'Юнит 4'!AH12+'Юнит 5'!AH12</f>
        <v>0</v>
      </c>
      <c r="AI12" s="241">
        <f>'Юнит 1'!AI12+'Юнит 2'!AI12+'Юнит 3'!AI12+'Юнит 4'!AI12+'Юнит 5'!AI12</f>
        <v>119.54444531607479</v>
      </c>
      <c r="AJ12" s="114">
        <f>'Юнит 1'!AJ12+'Юнит 2'!AJ12+'Юнит 3'!AJ12+'Юнит 4'!AJ12+'Юнит 5'!AJ12</f>
        <v>0</v>
      </c>
      <c r="AK12" s="291">
        <f t="shared" si="16"/>
        <v>26.795763416255454</v>
      </c>
      <c r="AL12" s="121">
        <f t="shared" si="17"/>
        <v>775.0397912676699</v>
      </c>
      <c r="AM12" s="122"/>
      <c r="AN12" s="123">
        <f t="shared" si="6"/>
        <v>1166</v>
      </c>
      <c r="AO12" s="124">
        <f t="shared" si="7"/>
        <v>169.89</v>
      </c>
      <c r="AP12" s="124">
        <f t="shared" si="8"/>
        <v>419.81666666666661</v>
      </c>
      <c r="AQ12" s="124">
        <f t="shared" si="18"/>
        <v>269.16666666666669</v>
      </c>
      <c r="AR12" s="124">
        <f t="shared" si="19"/>
        <v>0</v>
      </c>
      <c r="AS12" s="124">
        <f t="array" ref="AS12">_xlfn.IFS(S12=0,AL12,S12&lt;0,AL12/-S12,S12&gt;0,AL12/S12)</f>
        <v>258.34659708922328</v>
      </c>
      <c r="AT12" s="119">
        <f t="shared" si="21"/>
        <v>0.22156654981923093</v>
      </c>
      <c r="AU12" s="119">
        <f t="shared" si="22"/>
        <v>1.520669828060647</v>
      </c>
      <c r="AV12" s="125"/>
      <c r="AW12" s="120">
        <f t="shared" si="11"/>
        <v>11367.250271925825</v>
      </c>
    </row>
    <row r="13" spans="1:49" outlineLevel="1">
      <c r="A13" s="114"/>
      <c r="B13" s="115">
        <v>497823770</v>
      </c>
      <c r="C13" s="115" t="s">
        <v>103</v>
      </c>
      <c r="D13" s="116" t="s">
        <v>93</v>
      </c>
      <c r="E13" s="117">
        <f>'Юнит 5'!E13</f>
        <v>8</v>
      </c>
      <c r="F13" s="117">
        <f>'Юнит 5'!F13</f>
        <v>0</v>
      </c>
      <c r="G13" s="117">
        <f>'Юнит 5'!G13</f>
        <v>0</v>
      </c>
      <c r="H13" s="117">
        <f>'Юнит 5'!H13</f>
        <v>8</v>
      </c>
      <c r="I13" s="117">
        <v>169.89</v>
      </c>
      <c r="J13" s="117">
        <f t="shared" si="0"/>
        <v>1359.12</v>
      </c>
      <c r="K13" s="114">
        <f>'Юнит 5'!K13</f>
        <v>92</v>
      </c>
      <c r="L13" s="114">
        <f>'Юнит 1'!L13+'Юнит 2'!L13+'Юнит 3'!L13+'Юнит 4'!L13+'Юнит 5'!L13</f>
        <v>5</v>
      </c>
      <c r="M13" s="114"/>
      <c r="N13" s="114"/>
      <c r="O13" s="213">
        <f t="shared" si="1"/>
        <v>0.7142857142857143</v>
      </c>
      <c r="P13" s="117">
        <f t="shared" si="20"/>
        <v>0.5714285714285714</v>
      </c>
      <c r="Q13" s="114">
        <f>'Юнит 1'!Q13+'Юнит 2'!Q13+'Юнит 3'!Q13+'Юнит 4'!Q13+'Юнит 5'!Q13</f>
        <v>4</v>
      </c>
      <c r="R13" s="114">
        <f>'Юнит 1'!R13+'Юнит 2'!R13+'Юнит 3'!R13+'Юнит 4'!R13+'Юнит 5'!R13</f>
        <v>0</v>
      </c>
      <c r="S13" s="117">
        <f t="shared" si="12"/>
        <v>4</v>
      </c>
      <c r="T13" s="114">
        <f>'Юнит 1'!T13+'Юнит 2'!T13+'Юнит 3'!T13+'Юнит 4'!T13+'Юнит 5'!T13</f>
        <v>3700</v>
      </c>
      <c r="U13" s="114">
        <f>'Юнит 1'!U13+'Юнит 2'!U13+'Юнит 3'!U13+'Юнит 4'!U13+'Юнит 5'!U13</f>
        <v>0</v>
      </c>
      <c r="V13" s="117">
        <f t="shared" si="13"/>
        <v>3700</v>
      </c>
      <c r="W13" s="114">
        <f>'Юнит 1'!W13+'Юнит 2'!W13+'Юнит 3'!W13+'Юнит 4'!W13+'Юнит 5'!W13</f>
        <v>4664</v>
      </c>
      <c r="X13" s="114">
        <f>'Юнит 1'!X13+'Юнит 2'!X13+'Юнит 3'!X13+'Юнит 4'!X13+'Юнит 5'!X13</f>
        <v>0</v>
      </c>
      <c r="Y13" s="117">
        <f t="shared" si="3"/>
        <v>4664</v>
      </c>
      <c r="Z13" s="117">
        <f t="shared" si="14"/>
        <v>0</v>
      </c>
      <c r="AA13" s="119">
        <f t="shared" si="4"/>
        <v>1.5663785311567431E-2</v>
      </c>
      <c r="AB13" s="117">
        <f t="shared" si="15"/>
        <v>679.56</v>
      </c>
      <c r="AC13" s="114">
        <f>'Юнит 1'!AC13+'Юнит 2'!AC13+'Юнит 3'!AC13+'Юнит 4'!AC13+'Юнит 5'!AC13</f>
        <v>1697.31</v>
      </c>
      <c r="AD13" s="119">
        <f t="shared" si="5"/>
        <v>0.36391723842195539</v>
      </c>
      <c r="AE13" s="114">
        <f>'Юнит 1'!AE13+'Юнит 2'!AE13+'Юнит 3'!AE13+'Юнит 4'!AE13+'Юнит 5'!AE13</f>
        <v>429.15</v>
      </c>
      <c r="AF13" s="114">
        <f>'Юнит 1'!AF13+'Юнит 2'!AF13+'Юнит 3'!AF13+'Юнит 4'!AF13+'Юнит 5'!AF13</f>
        <v>0</v>
      </c>
      <c r="AG13" s="114">
        <f>'Юнит 1'!AG13+'Юнит 2'!AG13+'Юнит 3'!AG13+'Юнит 4'!AG13+'Юнит 5'!AG13</f>
        <v>0</v>
      </c>
      <c r="AH13" s="114">
        <f>'Юнит 1'!AH13+'Юнит 2'!AH13+'Юнит 3'!AH13+'Юнит 4'!AH13+'Юнит 5'!AH13</f>
        <v>0</v>
      </c>
      <c r="AI13" s="241">
        <f>'Юнит 1'!AI13+'Юнит 2'!AI13+'Юнит 3'!AI13+'Юнит 4'!AI13+'Юнит 5'!AI13</f>
        <v>25.285933465392198</v>
      </c>
      <c r="AJ13" s="114">
        <f>'Юнит 1'!AJ13+'Юнит 2'!AJ13+'Юнит 3'!AJ13+'Юнит 4'!AJ13+'Юнит 5'!AJ13</f>
        <v>0</v>
      </c>
      <c r="AK13" s="291">
        <f t="shared" si="16"/>
        <v>35.727684555007272</v>
      </c>
      <c r="AL13" s="121">
        <f t="shared" si="17"/>
        <v>1796.9663819796006</v>
      </c>
      <c r="AM13" s="122"/>
      <c r="AN13" s="123">
        <f t="shared" si="6"/>
        <v>1166</v>
      </c>
      <c r="AO13" s="124">
        <f t="shared" si="7"/>
        <v>169.89</v>
      </c>
      <c r="AP13" s="124">
        <f t="shared" si="8"/>
        <v>424.32749999999999</v>
      </c>
      <c r="AQ13" s="124">
        <f t="shared" si="18"/>
        <v>107.28749999999999</v>
      </c>
      <c r="AR13" s="124">
        <f t="shared" si="19"/>
        <v>0</v>
      </c>
      <c r="AS13" s="124">
        <f t="array" ref="AS13">_xlfn.IFS(S13=0,AL13,S13&lt;0,AL13/-S13,S13&gt;0,AL13/S13)</f>
        <v>449.24159549490014</v>
      </c>
      <c r="AT13" s="119">
        <f t="shared" si="21"/>
        <v>0.38528438721689551</v>
      </c>
      <c r="AU13" s="119">
        <f t="shared" si="22"/>
        <v>2.644308643798341</v>
      </c>
      <c r="AV13" s="125"/>
      <c r="AW13" s="120">
        <f t="shared" si="11"/>
        <v>3593.9327639592011</v>
      </c>
    </row>
    <row r="14" spans="1:49" outlineLevel="1">
      <c r="A14" s="114"/>
      <c r="B14" s="115">
        <v>497824253</v>
      </c>
      <c r="C14" s="115" t="s">
        <v>104</v>
      </c>
      <c r="D14" s="116" t="s">
        <v>93</v>
      </c>
      <c r="E14" s="117">
        <f>'Юнит 5'!E14</f>
        <v>59</v>
      </c>
      <c r="F14" s="117">
        <f>'Юнит 5'!F14</f>
        <v>0</v>
      </c>
      <c r="G14" s="117">
        <f>'Юнит 5'!G14</f>
        <v>1</v>
      </c>
      <c r="H14" s="117">
        <f>'Юнит 5'!H14</f>
        <v>58</v>
      </c>
      <c r="I14" s="117">
        <v>169.89</v>
      </c>
      <c r="J14" s="117">
        <f t="shared" si="0"/>
        <v>10023.509999999998</v>
      </c>
      <c r="K14" s="114">
        <f>'Юнит 5'!K14</f>
        <v>259</v>
      </c>
      <c r="L14" s="114">
        <f>'Юнит 1'!L14+'Юнит 2'!L14+'Юнит 3'!L14+'Юнит 4'!L14+'Юнит 5'!L14</f>
        <v>10</v>
      </c>
      <c r="M14" s="114"/>
      <c r="N14" s="114"/>
      <c r="O14" s="213">
        <f t="shared" si="1"/>
        <v>1.4285714285714286</v>
      </c>
      <c r="P14" s="117">
        <f t="shared" si="20"/>
        <v>0.8571428571428571</v>
      </c>
      <c r="Q14" s="114">
        <f>'Юнит 1'!Q14+'Юнит 2'!Q14+'Юнит 3'!Q14+'Юнит 4'!Q14+'Юнит 5'!Q14</f>
        <v>6</v>
      </c>
      <c r="R14" s="114">
        <f>'Юнит 1'!R14+'Юнит 2'!R14+'Юнит 3'!R14+'Юнит 4'!R14+'Юнит 5'!R14</f>
        <v>0</v>
      </c>
      <c r="S14" s="117">
        <f t="shared" si="12"/>
        <v>6</v>
      </c>
      <c r="T14" s="114">
        <f>'Юнит 1'!T14+'Юнит 2'!T14+'Юнит 3'!T14+'Юнит 4'!T14+'Юнит 5'!T14</f>
        <v>5086</v>
      </c>
      <c r="U14" s="114">
        <f>'Юнит 1'!U14+'Юнит 2'!U14+'Юнит 3'!U14+'Юнит 4'!U14+'Юнит 5'!U14</f>
        <v>0</v>
      </c>
      <c r="V14" s="117">
        <f t="shared" si="13"/>
        <v>5086</v>
      </c>
      <c r="W14" s="114">
        <f>'Юнит 1'!W14+'Юнит 2'!W14+'Юнит 3'!W14+'Юнит 4'!W14+'Юнит 5'!W14</f>
        <v>7168</v>
      </c>
      <c r="X14" s="114">
        <f>'Юнит 1'!X14+'Юнит 2'!X14+'Юнит 3'!X14+'Юнит 4'!X14+'Юнит 5'!X14</f>
        <v>0</v>
      </c>
      <c r="Y14" s="117">
        <f t="shared" si="3"/>
        <v>7168</v>
      </c>
      <c r="Z14" s="117">
        <f t="shared" si="14"/>
        <v>0</v>
      </c>
      <c r="AA14" s="119">
        <f t="shared" si="4"/>
        <v>2.4073330427383223E-2</v>
      </c>
      <c r="AB14" s="117">
        <f t="shared" si="15"/>
        <v>1019.3399999999999</v>
      </c>
      <c r="AC14" s="114">
        <f>'Юнит 1'!AC14+'Юнит 2'!AC14+'Юнит 3'!AC14+'Юнит 4'!AC14+'Юнит 5'!AC14</f>
        <v>2604.65</v>
      </c>
      <c r="AD14" s="119">
        <f t="shared" si="5"/>
        <v>0.36337193080357144</v>
      </c>
      <c r="AE14" s="114">
        <f>'Юнит 1'!AE14+'Юнит 2'!AE14+'Юнит 3'!AE14+'Юнит 4'!AE14+'Юнит 5'!AE14</f>
        <v>859.75</v>
      </c>
      <c r="AF14" s="114">
        <f>'Юнит 1'!AF14+'Юнит 2'!AF14+'Юнит 3'!AF14+'Юнит 4'!AF14+'Юнит 5'!AF14</f>
        <v>0</v>
      </c>
      <c r="AG14" s="114">
        <f>'Юнит 1'!AG14+'Юнит 2'!AG14+'Юнит 3'!AG14+'Юнит 4'!AG14+'Юнит 5'!AG14</f>
        <v>0</v>
      </c>
      <c r="AH14" s="114">
        <f>'Юнит 1'!AH14+'Юнит 2'!AH14+'Юнит 3'!AH14+'Юнит 4'!AH14+'Юнит 5'!AH14</f>
        <v>0</v>
      </c>
      <c r="AI14" s="241">
        <f>'Юнит 1'!AI14+'Юнит 2'!AI14+'Юнит 3'!AI14+'Юнит 4'!AI14+'Юнит 5'!AI14</f>
        <v>165.19445673520454</v>
      </c>
      <c r="AJ14" s="114">
        <f>'Юнит 1'!AJ14+'Юнит 2'!AJ14+'Юнит 3'!AJ14+'Юнит 4'!AJ14+'Юнит 5'!AJ14</f>
        <v>0</v>
      </c>
      <c r="AK14" s="291">
        <f t="shared" si="16"/>
        <v>54.909100105122668</v>
      </c>
      <c r="AL14" s="121">
        <f t="shared" si="17"/>
        <v>2464.1564431596726</v>
      </c>
      <c r="AM14" s="122"/>
      <c r="AN14" s="123">
        <f t="shared" si="6"/>
        <v>1194.6666666666667</v>
      </c>
      <c r="AO14" s="124">
        <f t="shared" si="7"/>
        <v>169.89</v>
      </c>
      <c r="AP14" s="124">
        <f t="shared" si="8"/>
        <v>434.10833333333335</v>
      </c>
      <c r="AQ14" s="124">
        <f t="shared" si="18"/>
        <v>143.29166666666666</v>
      </c>
      <c r="AR14" s="124">
        <f t="shared" si="19"/>
        <v>0</v>
      </c>
      <c r="AS14" s="124">
        <f t="array" ref="AS14">_xlfn.IFS(S14=0,AL14,S14&lt;0,AL14/-S14,S14&gt;0,AL14/S14)</f>
        <v>410.69274052661211</v>
      </c>
      <c r="AT14" s="119">
        <f t="shared" si="21"/>
        <v>0.34377182521758826</v>
      </c>
      <c r="AU14" s="119">
        <f t="shared" si="22"/>
        <v>2.417403852649433</v>
      </c>
      <c r="AV14" s="125"/>
      <c r="AW14" s="120">
        <f t="shared" si="11"/>
        <v>24230.871691070115</v>
      </c>
    </row>
    <row r="15" spans="1:49" outlineLevel="1">
      <c r="A15" s="114"/>
      <c r="B15" s="115">
        <v>497824944</v>
      </c>
      <c r="C15" s="115" t="s">
        <v>105</v>
      </c>
      <c r="D15" s="116" t="s">
        <v>93</v>
      </c>
      <c r="E15" s="117">
        <f>'Юнит 5'!E15</f>
        <v>34</v>
      </c>
      <c r="F15" s="117">
        <f>'Юнит 5'!F15</f>
        <v>0</v>
      </c>
      <c r="G15" s="117">
        <f>'Юнит 5'!G15</f>
        <v>0</v>
      </c>
      <c r="H15" s="117">
        <f>'Юнит 5'!H15</f>
        <v>34</v>
      </c>
      <c r="I15" s="117">
        <v>169.89</v>
      </c>
      <c r="J15" s="117">
        <f t="shared" si="0"/>
        <v>5776.2599999999993</v>
      </c>
      <c r="K15" s="114">
        <f>'Юнит 5'!K15</f>
        <v>524</v>
      </c>
      <c r="L15" s="114">
        <f>'Юнит 1'!L15+'Юнит 2'!L15+'Юнит 3'!L15+'Юнит 4'!L15+'Юнит 5'!L15</f>
        <v>2</v>
      </c>
      <c r="M15" s="114"/>
      <c r="N15" s="114"/>
      <c r="O15" s="213">
        <f t="shared" si="1"/>
        <v>0.2857142857142857</v>
      </c>
      <c r="P15" s="117">
        <f t="shared" si="20"/>
        <v>0.42857142857142855</v>
      </c>
      <c r="Q15" s="114">
        <f>'Юнит 1'!Q15+'Юнит 2'!Q15+'Юнит 3'!Q15+'Юнит 4'!Q15+'Юнит 5'!Q15</f>
        <v>3</v>
      </c>
      <c r="R15" s="114">
        <f>'Юнит 1'!R15+'Юнит 2'!R15+'Юнит 3'!R15+'Юнит 4'!R15+'Юнит 5'!R15</f>
        <v>0</v>
      </c>
      <c r="S15" s="117">
        <f t="shared" si="12"/>
        <v>3</v>
      </c>
      <c r="T15" s="114">
        <f>'Юнит 1'!T15+'Юнит 2'!T15+'Юнит 3'!T15+'Юнит 4'!T15+'Юнит 5'!T15</f>
        <v>2934</v>
      </c>
      <c r="U15" s="114">
        <f>'Юнит 1'!U15+'Юнит 2'!U15+'Юнит 3'!U15+'Юнит 4'!U15+'Юнит 5'!U15</f>
        <v>0</v>
      </c>
      <c r="V15" s="117">
        <f t="shared" si="13"/>
        <v>2934</v>
      </c>
      <c r="W15" s="114">
        <f>'Юнит 1'!W15+'Юнит 2'!W15+'Юнит 3'!W15+'Юнит 4'!W15+'Юнит 5'!W15</f>
        <v>3640</v>
      </c>
      <c r="X15" s="114">
        <f>'Юнит 1'!X15+'Юнит 2'!X15+'Юнит 3'!X15+'Юнит 4'!X15+'Юнит 5'!X15</f>
        <v>0</v>
      </c>
      <c r="Y15" s="117">
        <f t="shared" si="3"/>
        <v>3640</v>
      </c>
      <c r="Z15" s="117">
        <f t="shared" si="14"/>
        <v>0</v>
      </c>
      <c r="AA15" s="119">
        <f t="shared" si="4"/>
        <v>1.2224738107655543E-2</v>
      </c>
      <c r="AB15" s="117">
        <f t="shared" si="15"/>
        <v>509.66999999999996</v>
      </c>
      <c r="AC15" s="114">
        <f>'Юнит 1'!AC15+'Юнит 2'!AC15+'Юнит 3'!AC15+'Юнит 4'!AC15+'Юнит 5'!AC15</f>
        <v>1318.88</v>
      </c>
      <c r="AD15" s="119">
        <f t="shared" si="5"/>
        <v>0.36232967032967034</v>
      </c>
      <c r="AE15" s="114">
        <f>'Юнит 1'!AE15+'Юнит 2'!AE15+'Юнит 3'!AE15+'Юнит 4'!AE15+'Юнит 5'!AE15</f>
        <v>156.6</v>
      </c>
      <c r="AF15" s="114">
        <f>'Юнит 1'!AF15+'Юнит 2'!AF15+'Юнит 3'!AF15+'Юнит 4'!AF15+'Юнит 5'!AF15</f>
        <v>0</v>
      </c>
      <c r="AG15" s="114">
        <f>'Юнит 1'!AG15+'Юнит 2'!AG15+'Юнит 3'!AG15+'Юнит 4'!AG15+'Юнит 5'!AG15</f>
        <v>0</v>
      </c>
      <c r="AH15" s="114">
        <f>'Юнит 1'!AH15+'Юнит 2'!AH15+'Юнит 3'!AH15+'Юнит 4'!AH15+'Юнит 5'!AH15</f>
        <v>0</v>
      </c>
      <c r="AI15" s="241">
        <f>'Юнит 1'!AI15+'Юнит 2'!AI15+'Юнит 3'!AI15+'Юнит 4'!AI15+'Юнит 5'!AI15</f>
        <v>95.521873227916842</v>
      </c>
      <c r="AJ15" s="114">
        <f>'Юнит 1'!AJ15+'Юнит 2'!AJ15+'Юнит 3'!AJ15+'Юнит 4'!AJ15+'Юнит 5'!AJ15</f>
        <v>0</v>
      </c>
      <c r="AK15" s="291">
        <f t="shared" si="16"/>
        <v>27.883527397132603</v>
      </c>
      <c r="AL15" s="121">
        <f t="shared" si="17"/>
        <v>1531.4445993749505</v>
      </c>
      <c r="AM15" s="122"/>
      <c r="AN15" s="123">
        <f t="shared" si="6"/>
        <v>1213.3333333333333</v>
      </c>
      <c r="AO15" s="124">
        <f t="shared" si="7"/>
        <v>169.89</v>
      </c>
      <c r="AP15" s="124">
        <f t="shared" si="8"/>
        <v>439.62666666666672</v>
      </c>
      <c r="AQ15" s="124">
        <f t="shared" si="18"/>
        <v>52.199999999999996</v>
      </c>
      <c r="AR15" s="124">
        <f t="shared" si="19"/>
        <v>0</v>
      </c>
      <c r="AS15" s="124">
        <f t="array" ref="AS15">_xlfn.IFS(S15=0,AL15,S15&lt;0,AL15/-S15,S15&gt;0,AL15/S15)</f>
        <v>510.48153312498351</v>
      </c>
      <c r="AT15" s="119">
        <f t="shared" si="21"/>
        <v>0.42072653828982159</v>
      </c>
      <c r="AU15" s="119">
        <f t="shared" si="22"/>
        <v>3.0047768151449969</v>
      </c>
      <c r="AV15" s="125"/>
      <c r="AW15" s="120">
        <f t="shared" si="11"/>
        <v>17356.37212624944</v>
      </c>
    </row>
    <row r="16" spans="1:49" s="140" customFormat="1" outlineLevel="1">
      <c r="A16" s="127"/>
      <c r="B16" s="128"/>
      <c r="C16" s="129"/>
      <c r="D16" s="130"/>
      <c r="E16" s="131"/>
      <c r="F16" s="131"/>
      <c r="G16" s="131"/>
      <c r="H16" s="131"/>
      <c r="I16" s="131"/>
      <c r="J16" s="131"/>
      <c r="K16" s="129"/>
      <c r="L16" s="129"/>
      <c r="M16" s="129"/>
      <c r="N16" s="129"/>
      <c r="O16" s="131"/>
      <c r="P16" s="131"/>
      <c r="Q16" s="132"/>
      <c r="R16" s="132"/>
      <c r="S16" s="131"/>
      <c r="T16" s="118"/>
      <c r="U16" s="118"/>
      <c r="V16" s="131"/>
      <c r="W16" s="132"/>
      <c r="X16" s="132"/>
      <c r="Y16" s="131"/>
      <c r="Z16" s="131"/>
      <c r="AA16" s="133"/>
      <c r="AB16" s="131"/>
      <c r="AC16" s="132"/>
      <c r="AD16" s="133"/>
      <c r="AE16" s="132"/>
      <c r="AF16" s="132"/>
      <c r="AG16" s="132"/>
      <c r="AH16" s="132"/>
      <c r="AI16" s="134"/>
      <c r="AJ16" s="132"/>
      <c r="AK16" s="292"/>
      <c r="AL16" s="136"/>
      <c r="AM16" s="137"/>
      <c r="AN16" s="138">
        <f t="shared" ref="AN16:AU16" si="23">AVERAGE(AN3:AN6)</f>
        <v>1030.3347419354839</v>
      </c>
      <c r="AO16" s="138">
        <f t="shared" si="23"/>
        <v>128.0625</v>
      </c>
      <c r="AP16" s="138">
        <f t="shared" si="23"/>
        <v>323.22765322580642</v>
      </c>
      <c r="AQ16" s="138">
        <f t="shared" si="23"/>
        <v>102.08058593750002</v>
      </c>
      <c r="AR16" s="138">
        <f t="shared" si="23"/>
        <v>311.00312500000001</v>
      </c>
      <c r="AS16" s="138">
        <f t="shared" si="23"/>
        <v>55.045236090207595</v>
      </c>
      <c r="AT16" s="139">
        <f t="shared" si="23"/>
        <v>1.1428990325742294E-2</v>
      </c>
      <c r="AU16" s="138">
        <f t="shared" si="23"/>
        <v>0.38331842705779051</v>
      </c>
      <c r="AV16" s="125"/>
      <c r="AW16" s="135"/>
    </row>
    <row r="17" spans="1:49" s="148" customFormat="1">
      <c r="A17" s="141" t="s">
        <v>106</v>
      </c>
      <c r="B17" s="142"/>
      <c r="C17" s="143"/>
      <c r="D17" s="143"/>
      <c r="E17" s="143">
        <f t="shared" ref="E17:G17" si="24">SUM(E3:E15)</f>
        <v>2244</v>
      </c>
      <c r="F17" s="143">
        <f t="shared" si="24"/>
        <v>99</v>
      </c>
      <c r="G17" s="143">
        <f t="shared" si="24"/>
        <v>19</v>
      </c>
      <c r="H17" s="143">
        <f>SUM(H3:H15)</f>
        <v>2126</v>
      </c>
      <c r="I17" s="143"/>
      <c r="J17" s="143">
        <f>SUM(J3:J15)</f>
        <v>306013.86</v>
      </c>
      <c r="K17" s="143"/>
      <c r="L17" s="143">
        <f>SUM(L3:L15)</f>
        <v>457</v>
      </c>
      <c r="M17" s="143"/>
      <c r="N17" s="143"/>
      <c r="O17" s="143"/>
      <c r="P17" s="143"/>
      <c r="Q17" s="143">
        <f>SUM(Q3:Q15)</f>
        <v>256</v>
      </c>
      <c r="R17" s="143">
        <f t="shared" ref="R17:Z17" si="25">SUM(R3:R15)</f>
        <v>-5</v>
      </c>
      <c r="S17" s="143">
        <f t="shared" si="25"/>
        <v>251</v>
      </c>
      <c r="T17" s="143">
        <f t="shared" si="25"/>
        <v>233222.72</v>
      </c>
      <c r="U17" s="143">
        <f t="shared" si="25"/>
        <v>-4580</v>
      </c>
      <c r="V17" s="143">
        <f t="shared" si="25"/>
        <v>228642.71999999997</v>
      </c>
      <c r="W17" s="143">
        <f t="shared" si="25"/>
        <v>303779.89</v>
      </c>
      <c r="X17" s="143">
        <f t="shared" si="25"/>
        <v>-6023</v>
      </c>
      <c r="Y17" s="143">
        <f t="shared" si="25"/>
        <v>297756.89</v>
      </c>
      <c r="Z17" s="143">
        <f t="shared" si="25"/>
        <v>0</v>
      </c>
      <c r="AA17" s="144">
        <f>SUM(AA3:AA15)</f>
        <v>1</v>
      </c>
      <c r="AB17" s="145">
        <f>SUM(AB3:AB15)</f>
        <v>34328.369999999988</v>
      </c>
      <c r="AC17" s="145">
        <f>SUM(AC3:AC15)</f>
        <v>106888.70000000001</v>
      </c>
      <c r="AD17" s="144">
        <f>AC17/Y17</f>
        <v>0.35897977037575857</v>
      </c>
      <c r="AE17" s="143">
        <f>SUM(AE3:AE15)</f>
        <v>30976.05</v>
      </c>
      <c r="AF17" s="143">
        <f t="shared" ref="AF17:AL17" si="26">SUM(AF3:AF15)</f>
        <v>22451</v>
      </c>
      <c r="AG17" s="143">
        <f t="shared" si="26"/>
        <v>26402</v>
      </c>
      <c r="AH17" s="143">
        <f t="shared" si="26"/>
        <v>0</v>
      </c>
      <c r="AI17" s="143">
        <f>SUM(AI3:AI15)</f>
        <v>6310.98</v>
      </c>
      <c r="AJ17" s="143">
        <f>SUM(AJ3:AJ15)</f>
        <v>0</v>
      </c>
      <c r="AK17" s="293">
        <f>Сводная!Z18</f>
        <v>2280.91</v>
      </c>
      <c r="AL17" s="143">
        <f t="shared" si="26"/>
        <v>68118.87999999999</v>
      </c>
      <c r="AM17" s="146"/>
      <c r="AN17" s="143"/>
      <c r="AO17" s="143"/>
      <c r="AP17" s="143"/>
      <c r="AQ17" s="143"/>
      <c r="AR17" s="143">
        <f>(AF17+AG17)/Q17</f>
        <v>190.83203125</v>
      </c>
      <c r="AS17" s="143"/>
      <c r="AT17" s="143"/>
      <c r="AU17" s="143"/>
      <c r="AV17" s="147"/>
      <c r="AW17" s="143">
        <f>SUM(AW3:AW6)</f>
        <v>82469.701918177481</v>
      </c>
    </row>
    <row r="18" spans="1:49">
      <c r="A18" s="114"/>
      <c r="B18" s="115"/>
      <c r="C18" s="115"/>
      <c r="D18" s="149"/>
      <c r="E18" s="118"/>
      <c r="F18" s="118"/>
      <c r="G18" s="118"/>
      <c r="H18" s="118"/>
      <c r="I18" s="118"/>
      <c r="J18" s="118"/>
      <c r="K18" s="114"/>
      <c r="L18" s="114"/>
      <c r="M18" s="114"/>
      <c r="N18" s="114"/>
      <c r="O18" s="118"/>
      <c r="P18" s="118"/>
      <c r="Q18" s="118"/>
      <c r="R18" s="118"/>
      <c r="S18" s="118"/>
      <c r="T18" s="118"/>
      <c r="U18" s="118"/>
      <c r="V18" s="118"/>
      <c r="W18" s="118"/>
      <c r="X18" s="118"/>
      <c r="Y18" s="118"/>
      <c r="Z18" s="118"/>
      <c r="AA18" s="150"/>
      <c r="AB18" s="118"/>
      <c r="AC18" s="118"/>
      <c r="AD18" s="150"/>
      <c r="AE18" s="118"/>
      <c r="AF18" s="346"/>
      <c r="AG18" s="346"/>
      <c r="AH18" s="236"/>
      <c r="AI18" s="152"/>
      <c r="AJ18" s="118"/>
      <c r="AK18" s="294"/>
      <c r="AL18" s="154"/>
      <c r="AM18" s="122"/>
      <c r="AN18" s="155"/>
      <c r="AO18" s="156"/>
      <c r="AP18" s="156"/>
      <c r="AQ18" s="156"/>
      <c r="AR18" s="156"/>
      <c r="AS18" s="156"/>
      <c r="AT18" s="157"/>
      <c r="AU18" s="157"/>
      <c r="AV18" s="125"/>
      <c r="AW18" s="153"/>
    </row>
    <row r="19" spans="1:49" hidden="1" outlineLevel="1">
      <c r="A19" s="114"/>
      <c r="B19" s="115"/>
      <c r="C19" s="115"/>
      <c r="D19" s="116"/>
      <c r="E19" s="117">
        <f t="shared" ref="E19:E50" si="27">SUM(F19:H19)</f>
        <v>0</v>
      </c>
      <c r="F19" s="117"/>
      <c r="G19" s="117"/>
      <c r="H19" s="117"/>
      <c r="I19" s="117"/>
      <c r="J19" s="117">
        <f t="shared" ref="J19:J70" si="28">E19*I19</f>
        <v>0</v>
      </c>
      <c r="K19" s="114"/>
      <c r="L19" s="114"/>
      <c r="M19" s="114"/>
      <c r="N19" s="114"/>
      <c r="O19" s="117">
        <f t="shared" ref="O19:O70" si="29">L19/7</f>
        <v>0</v>
      </c>
      <c r="P19" s="117">
        <f t="shared" ref="P19:P70" si="30">S19/7</f>
        <v>0</v>
      </c>
      <c r="Q19" s="118"/>
      <c r="R19" s="118"/>
      <c r="S19" s="117">
        <f t="shared" ref="S19:S70" si="31">Q19+R19</f>
        <v>0</v>
      </c>
      <c r="T19" s="117"/>
      <c r="U19" s="117"/>
      <c r="V19" s="117">
        <f t="shared" ref="V19:V70" si="32">T19+U19</f>
        <v>0</v>
      </c>
      <c r="W19" s="118"/>
      <c r="X19" s="118"/>
      <c r="Y19" s="117">
        <f t="shared" ref="Y19:Y70" si="33">W19+X19</f>
        <v>0</v>
      </c>
      <c r="Z19" s="117">
        <f t="shared" ref="Z19:Z65" si="34">L19*M19*N19/100</f>
        <v>0</v>
      </c>
      <c r="AA19" s="119">
        <f>Y19/$Y$74</f>
        <v>0</v>
      </c>
      <c r="AB19" s="117">
        <f t="shared" ref="AB19:AB70" si="35">S19*I19</f>
        <v>0</v>
      </c>
      <c r="AC19" s="118"/>
      <c r="AD19" s="119">
        <f t="shared" ref="AD19:AD70" si="36">IF(Y19=0,0,AC19/Y19)</f>
        <v>0</v>
      </c>
      <c r="AE19" s="118"/>
      <c r="AF19" s="118"/>
      <c r="AG19" s="118"/>
      <c r="AH19" s="118"/>
      <c r="AI19" s="241"/>
      <c r="AJ19" s="118"/>
      <c r="AK19" s="291">
        <f t="shared" ref="AK19:AK70" si="37">V19*1%</f>
        <v>0</v>
      </c>
      <c r="AL19" s="121">
        <f t="shared" ref="AL19:AL70" si="38">Y19-AB19-AC19-AE19-AF19-AG19-AH19-AI19-AK19-AJ19</f>
        <v>0</v>
      </c>
      <c r="AM19" s="122"/>
      <c r="AN19" s="123">
        <f t="shared" ref="AN19:AN70" si="39">IF(S19=0,0,Y19/S19)</f>
        <v>0</v>
      </c>
      <c r="AO19" s="124">
        <f t="shared" ref="AO19:AO70" si="40">I19</f>
        <v>0</v>
      </c>
      <c r="AP19" s="124">
        <f t="shared" ref="AP19:AP70" si="41">IF(S19=0,0,AC19/S19)</f>
        <v>0</v>
      </c>
      <c r="AQ19" s="124">
        <f t="shared" ref="AQ19:AQ70" si="42">IF(Q19=0,AE19/1,AE19/Q19)</f>
        <v>0</v>
      </c>
      <c r="AR19" s="124">
        <f t="shared" ref="AR19:AR70" si="43">IF(Q19=0,0,(AF19+AG19)/Q19)</f>
        <v>0</v>
      </c>
      <c r="AS19" s="124">
        <f t="array" ref="AS19">_xlfn.IFS(S19=0,AL19,S19&lt;0,AL19/-S19,S19&gt;0,AL19/S19)</f>
        <v>0</v>
      </c>
      <c r="AT19" s="119">
        <f t="shared" ref="AT19:AT70" si="44">IF(AN19=0,0,AS19/AN19)</f>
        <v>0</v>
      </c>
      <c r="AU19" s="119">
        <f t="shared" ref="AU19:AU70" si="45">IF(AO19=0,0,AS19/AO19)</f>
        <v>0</v>
      </c>
      <c r="AV19" s="125"/>
      <c r="AW19" s="120">
        <f t="shared" ref="AW19:AW70" si="46">AS19*E19</f>
        <v>0</v>
      </c>
    </row>
    <row r="20" spans="1:49" hidden="1" outlineLevel="1">
      <c r="A20" s="114"/>
      <c r="B20" s="115"/>
      <c r="C20" s="115"/>
      <c r="D20" s="116"/>
      <c r="E20" s="117">
        <f t="shared" si="27"/>
        <v>0</v>
      </c>
      <c r="F20" s="117"/>
      <c r="G20" s="117"/>
      <c r="H20" s="117"/>
      <c r="I20" s="117"/>
      <c r="J20" s="117">
        <f t="shared" si="28"/>
        <v>0</v>
      </c>
      <c r="K20" s="114"/>
      <c r="L20" s="114"/>
      <c r="M20" s="114"/>
      <c r="N20" s="114"/>
      <c r="O20" s="117">
        <f t="shared" si="29"/>
        <v>0</v>
      </c>
      <c r="P20" s="117">
        <f t="shared" si="30"/>
        <v>0</v>
      </c>
      <c r="Q20" s="118"/>
      <c r="R20" s="118"/>
      <c r="S20" s="117">
        <f t="shared" si="31"/>
        <v>0</v>
      </c>
      <c r="T20" s="117"/>
      <c r="U20" s="117"/>
      <c r="V20" s="117">
        <f t="shared" si="32"/>
        <v>0</v>
      </c>
      <c r="W20" s="118"/>
      <c r="X20" s="118"/>
      <c r="Y20" s="117">
        <f t="shared" si="33"/>
        <v>0</v>
      </c>
      <c r="Z20" s="117">
        <f t="shared" si="34"/>
        <v>0</v>
      </c>
      <c r="AA20" s="119">
        <f t="shared" ref="AA20:AA70" si="47">Y20/$Y$74</f>
        <v>0</v>
      </c>
      <c r="AB20" s="117">
        <f t="shared" si="35"/>
        <v>0</v>
      </c>
      <c r="AC20" s="118"/>
      <c r="AD20" s="119">
        <f t="shared" si="36"/>
        <v>0</v>
      </c>
      <c r="AE20" s="118"/>
      <c r="AF20" s="118"/>
      <c r="AG20" s="118"/>
      <c r="AH20" s="118"/>
      <c r="AI20" s="241"/>
      <c r="AJ20" s="118"/>
      <c r="AK20" s="291">
        <f t="shared" si="37"/>
        <v>0</v>
      </c>
      <c r="AL20" s="121">
        <f t="shared" si="38"/>
        <v>0</v>
      </c>
      <c r="AM20" s="122"/>
      <c r="AN20" s="123">
        <f t="shared" si="39"/>
        <v>0</v>
      </c>
      <c r="AO20" s="124">
        <f t="shared" si="40"/>
        <v>0</v>
      </c>
      <c r="AP20" s="124">
        <f t="shared" si="41"/>
        <v>0</v>
      </c>
      <c r="AQ20" s="124">
        <f t="shared" si="42"/>
        <v>0</v>
      </c>
      <c r="AR20" s="124">
        <f t="shared" si="43"/>
        <v>0</v>
      </c>
      <c r="AS20" s="124">
        <f t="array" ref="AS20">_xlfn.IFS(S20=0,AL20,S20&lt;0,AL20/-S20,S20&gt;0,AL20/S20)</f>
        <v>0</v>
      </c>
      <c r="AT20" s="119">
        <f t="shared" si="44"/>
        <v>0</v>
      </c>
      <c r="AU20" s="119">
        <f t="shared" si="45"/>
        <v>0</v>
      </c>
      <c r="AV20" s="125"/>
      <c r="AW20" s="120">
        <f t="shared" si="46"/>
        <v>0</v>
      </c>
    </row>
    <row r="21" spans="1:49" hidden="1" outlineLevel="1">
      <c r="A21" s="114"/>
      <c r="B21" s="115"/>
      <c r="C21" s="115"/>
      <c r="D21" s="116"/>
      <c r="E21" s="117">
        <f t="shared" si="27"/>
        <v>0</v>
      </c>
      <c r="F21" s="117"/>
      <c r="G21" s="117"/>
      <c r="H21" s="117"/>
      <c r="I21" s="117"/>
      <c r="J21" s="117">
        <f t="shared" si="28"/>
        <v>0</v>
      </c>
      <c r="K21" s="114"/>
      <c r="L21" s="114"/>
      <c r="M21" s="114"/>
      <c r="N21" s="114"/>
      <c r="O21" s="117">
        <f t="shared" si="29"/>
        <v>0</v>
      </c>
      <c r="P21" s="117">
        <f t="shared" si="30"/>
        <v>0</v>
      </c>
      <c r="Q21" s="118"/>
      <c r="R21" s="118"/>
      <c r="S21" s="117">
        <f t="shared" si="31"/>
        <v>0</v>
      </c>
      <c r="T21" s="117"/>
      <c r="U21" s="117"/>
      <c r="V21" s="117">
        <f t="shared" si="32"/>
        <v>0</v>
      </c>
      <c r="W21" s="118"/>
      <c r="X21" s="118"/>
      <c r="Y21" s="117">
        <f t="shared" si="33"/>
        <v>0</v>
      </c>
      <c r="Z21" s="117">
        <f t="shared" si="34"/>
        <v>0</v>
      </c>
      <c r="AA21" s="119">
        <f t="shared" si="47"/>
        <v>0</v>
      </c>
      <c r="AB21" s="117">
        <f t="shared" si="35"/>
        <v>0</v>
      </c>
      <c r="AC21" s="118"/>
      <c r="AD21" s="119">
        <f t="shared" si="36"/>
        <v>0</v>
      </c>
      <c r="AE21" s="118"/>
      <c r="AF21" s="118"/>
      <c r="AG21" s="118"/>
      <c r="AH21" s="118"/>
      <c r="AI21" s="241"/>
      <c r="AJ21" s="118"/>
      <c r="AK21" s="291">
        <f t="shared" si="37"/>
        <v>0</v>
      </c>
      <c r="AL21" s="121">
        <f t="shared" si="38"/>
        <v>0</v>
      </c>
      <c r="AM21" s="122"/>
      <c r="AN21" s="123">
        <f t="shared" si="39"/>
        <v>0</v>
      </c>
      <c r="AO21" s="124">
        <f t="shared" si="40"/>
        <v>0</v>
      </c>
      <c r="AP21" s="124">
        <f t="shared" si="41"/>
        <v>0</v>
      </c>
      <c r="AQ21" s="124">
        <f t="shared" si="42"/>
        <v>0</v>
      </c>
      <c r="AR21" s="124">
        <f t="shared" si="43"/>
        <v>0</v>
      </c>
      <c r="AS21" s="124">
        <f t="array" ref="AS21">_xlfn.IFS(S21=0,AL21,S21&lt;0,AL21/-S21,S21&gt;0,AL21/S21)</f>
        <v>0</v>
      </c>
      <c r="AT21" s="119">
        <f t="shared" si="44"/>
        <v>0</v>
      </c>
      <c r="AU21" s="119">
        <f t="shared" si="45"/>
        <v>0</v>
      </c>
      <c r="AV21" s="125"/>
      <c r="AW21" s="120">
        <f t="shared" si="46"/>
        <v>0</v>
      </c>
    </row>
    <row r="22" spans="1:49" hidden="1" outlineLevel="1">
      <c r="A22" s="114"/>
      <c r="B22" s="115"/>
      <c r="C22" s="115"/>
      <c r="D22" s="116"/>
      <c r="E22" s="117">
        <f t="shared" si="27"/>
        <v>0</v>
      </c>
      <c r="F22" s="117"/>
      <c r="G22" s="117"/>
      <c r="H22" s="117"/>
      <c r="I22" s="117"/>
      <c r="J22" s="117">
        <f t="shared" si="28"/>
        <v>0</v>
      </c>
      <c r="K22" s="114"/>
      <c r="L22" s="114"/>
      <c r="M22" s="114"/>
      <c r="N22" s="114"/>
      <c r="O22" s="117">
        <f t="shared" si="29"/>
        <v>0</v>
      </c>
      <c r="P22" s="117">
        <f t="shared" si="30"/>
        <v>0</v>
      </c>
      <c r="Q22" s="118"/>
      <c r="R22" s="118"/>
      <c r="S22" s="117">
        <f t="shared" si="31"/>
        <v>0</v>
      </c>
      <c r="T22" s="117"/>
      <c r="U22" s="117"/>
      <c r="V22" s="117">
        <f t="shared" si="32"/>
        <v>0</v>
      </c>
      <c r="W22" s="118"/>
      <c r="X22" s="118"/>
      <c r="Y22" s="117">
        <f t="shared" si="33"/>
        <v>0</v>
      </c>
      <c r="Z22" s="117">
        <f t="shared" si="34"/>
        <v>0</v>
      </c>
      <c r="AA22" s="119">
        <f t="shared" si="47"/>
        <v>0</v>
      </c>
      <c r="AB22" s="117">
        <f t="shared" si="35"/>
        <v>0</v>
      </c>
      <c r="AC22" s="118"/>
      <c r="AD22" s="119">
        <f t="shared" si="36"/>
        <v>0</v>
      </c>
      <c r="AE22" s="118"/>
      <c r="AF22" s="118"/>
      <c r="AG22" s="118"/>
      <c r="AH22" s="118"/>
      <c r="AI22" s="241"/>
      <c r="AJ22" s="118"/>
      <c r="AK22" s="291">
        <f t="shared" si="37"/>
        <v>0</v>
      </c>
      <c r="AL22" s="121">
        <f t="shared" si="38"/>
        <v>0</v>
      </c>
      <c r="AM22" s="122"/>
      <c r="AN22" s="123">
        <f t="shared" si="39"/>
        <v>0</v>
      </c>
      <c r="AO22" s="124">
        <f t="shared" si="40"/>
        <v>0</v>
      </c>
      <c r="AP22" s="124">
        <f t="shared" si="41"/>
        <v>0</v>
      </c>
      <c r="AQ22" s="124">
        <f t="shared" si="42"/>
        <v>0</v>
      </c>
      <c r="AR22" s="124">
        <f t="shared" si="43"/>
        <v>0</v>
      </c>
      <c r="AS22" s="124">
        <f t="array" ref="AS22">_xlfn.IFS(S22=0,AL22,S22&lt;0,AL22/-S22,S22&gt;0,AL22/S22)</f>
        <v>0</v>
      </c>
      <c r="AT22" s="119">
        <f t="shared" si="44"/>
        <v>0</v>
      </c>
      <c r="AU22" s="119">
        <f t="shared" si="45"/>
        <v>0</v>
      </c>
      <c r="AV22" s="125"/>
      <c r="AW22" s="120">
        <f t="shared" si="46"/>
        <v>0</v>
      </c>
    </row>
    <row r="23" spans="1:49" hidden="1" outlineLevel="1">
      <c r="A23" s="114"/>
      <c r="B23" s="115"/>
      <c r="C23" s="115"/>
      <c r="D23" s="116"/>
      <c r="E23" s="117">
        <f t="shared" si="27"/>
        <v>0</v>
      </c>
      <c r="F23" s="117"/>
      <c r="G23" s="117"/>
      <c r="H23" s="117"/>
      <c r="I23" s="117"/>
      <c r="J23" s="117">
        <f t="shared" si="28"/>
        <v>0</v>
      </c>
      <c r="K23" s="114"/>
      <c r="L23" s="114"/>
      <c r="M23" s="114"/>
      <c r="N23" s="114"/>
      <c r="O23" s="117">
        <f t="shared" si="29"/>
        <v>0</v>
      </c>
      <c r="P23" s="117">
        <f t="shared" si="30"/>
        <v>0</v>
      </c>
      <c r="Q23" s="118"/>
      <c r="R23" s="118"/>
      <c r="S23" s="117">
        <f t="shared" si="31"/>
        <v>0</v>
      </c>
      <c r="T23" s="117"/>
      <c r="U23" s="117"/>
      <c r="V23" s="117">
        <f t="shared" si="32"/>
        <v>0</v>
      </c>
      <c r="W23" s="118"/>
      <c r="X23" s="118"/>
      <c r="Y23" s="117">
        <f t="shared" si="33"/>
        <v>0</v>
      </c>
      <c r="Z23" s="117">
        <f t="shared" si="34"/>
        <v>0</v>
      </c>
      <c r="AA23" s="119">
        <f t="shared" si="47"/>
        <v>0</v>
      </c>
      <c r="AB23" s="117">
        <f t="shared" si="35"/>
        <v>0</v>
      </c>
      <c r="AC23" s="118"/>
      <c r="AD23" s="119">
        <f t="shared" si="36"/>
        <v>0</v>
      </c>
      <c r="AE23" s="118"/>
      <c r="AF23" s="118"/>
      <c r="AG23" s="118"/>
      <c r="AH23" s="118"/>
      <c r="AI23" s="241"/>
      <c r="AJ23" s="118"/>
      <c r="AK23" s="291">
        <f t="shared" si="37"/>
        <v>0</v>
      </c>
      <c r="AL23" s="121">
        <f t="shared" si="38"/>
        <v>0</v>
      </c>
      <c r="AM23" s="122"/>
      <c r="AN23" s="123">
        <f t="shared" si="39"/>
        <v>0</v>
      </c>
      <c r="AO23" s="124">
        <f t="shared" si="40"/>
        <v>0</v>
      </c>
      <c r="AP23" s="124">
        <f t="shared" si="41"/>
        <v>0</v>
      </c>
      <c r="AQ23" s="124">
        <f t="shared" si="42"/>
        <v>0</v>
      </c>
      <c r="AR23" s="124">
        <f t="shared" si="43"/>
        <v>0</v>
      </c>
      <c r="AS23" s="124">
        <f t="array" ref="AS23">_xlfn.IFS(S23=0,AL23,S23&lt;0,AL23/-S23,S23&gt;0,AL23/S23)</f>
        <v>0</v>
      </c>
      <c r="AT23" s="119">
        <f t="shared" si="44"/>
        <v>0</v>
      </c>
      <c r="AU23" s="119">
        <f t="shared" si="45"/>
        <v>0</v>
      </c>
      <c r="AV23" s="125"/>
      <c r="AW23" s="120">
        <f t="shared" si="46"/>
        <v>0</v>
      </c>
    </row>
    <row r="24" spans="1:49" hidden="1" outlineLevel="1">
      <c r="A24" s="114"/>
      <c r="B24" s="115"/>
      <c r="C24" s="115"/>
      <c r="D24" s="116"/>
      <c r="E24" s="117">
        <f t="shared" si="27"/>
        <v>0</v>
      </c>
      <c r="F24" s="117"/>
      <c r="G24" s="117"/>
      <c r="H24" s="117"/>
      <c r="I24" s="117"/>
      <c r="J24" s="117">
        <f t="shared" si="28"/>
        <v>0</v>
      </c>
      <c r="K24" s="114"/>
      <c r="L24" s="114"/>
      <c r="M24" s="114"/>
      <c r="N24" s="114"/>
      <c r="O24" s="117">
        <f t="shared" si="29"/>
        <v>0</v>
      </c>
      <c r="P24" s="117">
        <f t="shared" si="30"/>
        <v>0</v>
      </c>
      <c r="Q24" s="118"/>
      <c r="R24" s="118"/>
      <c r="S24" s="117">
        <f t="shared" si="31"/>
        <v>0</v>
      </c>
      <c r="T24" s="117"/>
      <c r="U24" s="117"/>
      <c r="V24" s="117">
        <f t="shared" si="32"/>
        <v>0</v>
      </c>
      <c r="W24" s="118"/>
      <c r="X24" s="118"/>
      <c r="Y24" s="117">
        <f t="shared" si="33"/>
        <v>0</v>
      </c>
      <c r="Z24" s="117">
        <f t="shared" si="34"/>
        <v>0</v>
      </c>
      <c r="AA24" s="119">
        <f t="shared" si="47"/>
        <v>0</v>
      </c>
      <c r="AB24" s="117">
        <f t="shared" si="35"/>
        <v>0</v>
      </c>
      <c r="AC24" s="118"/>
      <c r="AD24" s="119">
        <f t="shared" si="36"/>
        <v>0</v>
      </c>
      <c r="AE24" s="118"/>
      <c r="AF24" s="118"/>
      <c r="AG24" s="118"/>
      <c r="AH24" s="118"/>
      <c r="AI24" s="241"/>
      <c r="AJ24" s="118"/>
      <c r="AK24" s="291">
        <f t="shared" si="37"/>
        <v>0</v>
      </c>
      <c r="AL24" s="121">
        <f t="shared" si="38"/>
        <v>0</v>
      </c>
      <c r="AM24" s="122"/>
      <c r="AN24" s="123">
        <f t="shared" si="39"/>
        <v>0</v>
      </c>
      <c r="AO24" s="124">
        <f t="shared" si="40"/>
        <v>0</v>
      </c>
      <c r="AP24" s="124">
        <f t="shared" si="41"/>
        <v>0</v>
      </c>
      <c r="AQ24" s="124">
        <f t="shared" si="42"/>
        <v>0</v>
      </c>
      <c r="AR24" s="124">
        <f t="shared" si="43"/>
        <v>0</v>
      </c>
      <c r="AS24" s="124">
        <f t="array" ref="AS24">_xlfn.IFS(S24=0,AL24,S24&lt;0,AL24/-S24,S24&gt;0,AL24/S24)</f>
        <v>0</v>
      </c>
      <c r="AT24" s="119">
        <f t="shared" si="44"/>
        <v>0</v>
      </c>
      <c r="AU24" s="119">
        <f t="shared" si="45"/>
        <v>0</v>
      </c>
      <c r="AV24" s="125"/>
      <c r="AW24" s="120">
        <f t="shared" si="46"/>
        <v>0</v>
      </c>
    </row>
    <row r="25" spans="1:49" hidden="1" outlineLevel="1">
      <c r="A25" s="114"/>
      <c r="B25" s="115"/>
      <c r="C25" s="115"/>
      <c r="D25" s="116"/>
      <c r="E25" s="117">
        <f t="shared" si="27"/>
        <v>0</v>
      </c>
      <c r="F25" s="117"/>
      <c r="G25" s="117"/>
      <c r="H25" s="117"/>
      <c r="I25" s="117"/>
      <c r="J25" s="117">
        <f t="shared" si="28"/>
        <v>0</v>
      </c>
      <c r="K25" s="114"/>
      <c r="L25" s="114"/>
      <c r="M25" s="114"/>
      <c r="N25" s="114"/>
      <c r="O25" s="117">
        <f t="shared" si="29"/>
        <v>0</v>
      </c>
      <c r="P25" s="117">
        <f t="shared" si="30"/>
        <v>0</v>
      </c>
      <c r="Q25" s="118"/>
      <c r="R25" s="118"/>
      <c r="S25" s="117">
        <f t="shared" si="31"/>
        <v>0</v>
      </c>
      <c r="T25" s="117"/>
      <c r="U25" s="117"/>
      <c r="V25" s="117">
        <f t="shared" si="32"/>
        <v>0</v>
      </c>
      <c r="W25" s="118"/>
      <c r="X25" s="118"/>
      <c r="Y25" s="117">
        <f t="shared" si="33"/>
        <v>0</v>
      </c>
      <c r="Z25" s="117">
        <f t="shared" si="34"/>
        <v>0</v>
      </c>
      <c r="AA25" s="119">
        <f t="shared" si="47"/>
        <v>0</v>
      </c>
      <c r="AB25" s="117">
        <f t="shared" si="35"/>
        <v>0</v>
      </c>
      <c r="AC25" s="118"/>
      <c r="AD25" s="119">
        <f t="shared" si="36"/>
        <v>0</v>
      </c>
      <c r="AE25" s="118"/>
      <c r="AF25" s="118"/>
      <c r="AG25" s="118"/>
      <c r="AH25" s="118"/>
      <c r="AI25" s="241"/>
      <c r="AJ25" s="118"/>
      <c r="AK25" s="291">
        <f t="shared" si="37"/>
        <v>0</v>
      </c>
      <c r="AL25" s="121">
        <f t="shared" si="38"/>
        <v>0</v>
      </c>
      <c r="AM25" s="122"/>
      <c r="AN25" s="123">
        <f t="shared" si="39"/>
        <v>0</v>
      </c>
      <c r="AO25" s="124">
        <f t="shared" si="40"/>
        <v>0</v>
      </c>
      <c r="AP25" s="124">
        <f t="shared" si="41"/>
        <v>0</v>
      </c>
      <c r="AQ25" s="124">
        <f t="shared" si="42"/>
        <v>0</v>
      </c>
      <c r="AR25" s="124">
        <f t="shared" si="43"/>
        <v>0</v>
      </c>
      <c r="AS25" s="124">
        <f t="array" ref="AS25">_xlfn.IFS(S25=0,AL25,S25&lt;0,AL25/-S25,S25&gt;0,AL25/S25)</f>
        <v>0</v>
      </c>
      <c r="AT25" s="119">
        <f t="shared" si="44"/>
        <v>0</v>
      </c>
      <c r="AU25" s="119">
        <f t="shared" si="45"/>
        <v>0</v>
      </c>
      <c r="AV25" s="125"/>
      <c r="AW25" s="120">
        <f t="shared" si="46"/>
        <v>0</v>
      </c>
    </row>
    <row r="26" spans="1:49" hidden="1" outlineLevel="1">
      <c r="A26" s="114"/>
      <c r="B26" s="115"/>
      <c r="C26" s="115"/>
      <c r="D26" s="116"/>
      <c r="E26" s="117">
        <f t="shared" si="27"/>
        <v>0</v>
      </c>
      <c r="F26" s="117"/>
      <c r="G26" s="117"/>
      <c r="H26" s="117"/>
      <c r="I26" s="117"/>
      <c r="J26" s="117">
        <f t="shared" si="28"/>
        <v>0</v>
      </c>
      <c r="K26" s="114"/>
      <c r="L26" s="114"/>
      <c r="M26" s="114"/>
      <c r="N26" s="114"/>
      <c r="O26" s="117">
        <f t="shared" si="29"/>
        <v>0</v>
      </c>
      <c r="P26" s="117">
        <f t="shared" si="30"/>
        <v>0</v>
      </c>
      <c r="Q26" s="118"/>
      <c r="R26" s="118"/>
      <c r="S26" s="117">
        <f t="shared" si="31"/>
        <v>0</v>
      </c>
      <c r="T26" s="117"/>
      <c r="U26" s="117"/>
      <c r="V26" s="117">
        <f t="shared" si="32"/>
        <v>0</v>
      </c>
      <c r="W26" s="118"/>
      <c r="X26" s="118"/>
      <c r="Y26" s="117">
        <f t="shared" si="33"/>
        <v>0</v>
      </c>
      <c r="Z26" s="117">
        <f t="shared" si="34"/>
        <v>0</v>
      </c>
      <c r="AA26" s="119">
        <f t="shared" si="47"/>
        <v>0</v>
      </c>
      <c r="AB26" s="117">
        <f t="shared" si="35"/>
        <v>0</v>
      </c>
      <c r="AC26" s="118"/>
      <c r="AD26" s="119">
        <f t="shared" si="36"/>
        <v>0</v>
      </c>
      <c r="AE26" s="118"/>
      <c r="AF26" s="118"/>
      <c r="AG26" s="118"/>
      <c r="AH26" s="118"/>
      <c r="AI26" s="241"/>
      <c r="AJ26" s="118"/>
      <c r="AK26" s="291">
        <f t="shared" si="37"/>
        <v>0</v>
      </c>
      <c r="AL26" s="121">
        <f t="shared" si="38"/>
        <v>0</v>
      </c>
      <c r="AM26" s="122"/>
      <c r="AN26" s="123">
        <f t="shared" si="39"/>
        <v>0</v>
      </c>
      <c r="AO26" s="124">
        <f t="shared" si="40"/>
        <v>0</v>
      </c>
      <c r="AP26" s="124">
        <f t="shared" si="41"/>
        <v>0</v>
      </c>
      <c r="AQ26" s="124">
        <f t="shared" si="42"/>
        <v>0</v>
      </c>
      <c r="AR26" s="124">
        <f t="shared" si="43"/>
        <v>0</v>
      </c>
      <c r="AS26" s="124">
        <f t="array" ref="AS26">_xlfn.IFS(S26=0,AL26,S26&lt;0,AL26/-S26,S26&gt;0,AL26/S26)</f>
        <v>0</v>
      </c>
      <c r="AT26" s="119">
        <f t="shared" si="44"/>
        <v>0</v>
      </c>
      <c r="AU26" s="119">
        <f t="shared" si="45"/>
        <v>0</v>
      </c>
      <c r="AV26" s="125"/>
      <c r="AW26" s="120">
        <f t="shared" si="46"/>
        <v>0</v>
      </c>
    </row>
    <row r="27" spans="1:49" hidden="1" outlineLevel="1">
      <c r="A27" s="114"/>
      <c r="B27" s="115"/>
      <c r="C27" s="115"/>
      <c r="D27" s="116"/>
      <c r="E27" s="117">
        <f t="shared" si="27"/>
        <v>0</v>
      </c>
      <c r="F27" s="117"/>
      <c r="G27" s="117"/>
      <c r="H27" s="117"/>
      <c r="I27" s="117"/>
      <c r="J27" s="117">
        <f t="shared" si="28"/>
        <v>0</v>
      </c>
      <c r="K27" s="114"/>
      <c r="L27" s="114"/>
      <c r="M27" s="114"/>
      <c r="N27" s="114"/>
      <c r="O27" s="117">
        <f t="shared" si="29"/>
        <v>0</v>
      </c>
      <c r="P27" s="117">
        <f t="shared" si="30"/>
        <v>0</v>
      </c>
      <c r="Q27" s="118"/>
      <c r="R27" s="118"/>
      <c r="S27" s="117">
        <f t="shared" si="31"/>
        <v>0</v>
      </c>
      <c r="T27" s="117"/>
      <c r="U27" s="117"/>
      <c r="V27" s="117">
        <f t="shared" si="32"/>
        <v>0</v>
      </c>
      <c r="W27" s="118"/>
      <c r="X27" s="118"/>
      <c r="Y27" s="117">
        <f t="shared" si="33"/>
        <v>0</v>
      </c>
      <c r="Z27" s="117">
        <f t="shared" si="34"/>
        <v>0</v>
      </c>
      <c r="AA27" s="119">
        <f t="shared" si="47"/>
        <v>0</v>
      </c>
      <c r="AB27" s="117">
        <f t="shared" si="35"/>
        <v>0</v>
      </c>
      <c r="AC27" s="118"/>
      <c r="AD27" s="119">
        <f t="shared" si="36"/>
        <v>0</v>
      </c>
      <c r="AE27" s="118"/>
      <c r="AF27" s="118"/>
      <c r="AG27" s="118"/>
      <c r="AH27" s="118"/>
      <c r="AI27" s="241"/>
      <c r="AJ27" s="118"/>
      <c r="AK27" s="291">
        <f t="shared" si="37"/>
        <v>0</v>
      </c>
      <c r="AL27" s="121">
        <f t="shared" si="38"/>
        <v>0</v>
      </c>
      <c r="AM27" s="122"/>
      <c r="AN27" s="123">
        <f t="shared" si="39"/>
        <v>0</v>
      </c>
      <c r="AO27" s="124">
        <f t="shared" si="40"/>
        <v>0</v>
      </c>
      <c r="AP27" s="124">
        <f t="shared" si="41"/>
        <v>0</v>
      </c>
      <c r="AQ27" s="124">
        <f t="shared" si="42"/>
        <v>0</v>
      </c>
      <c r="AR27" s="124">
        <f t="shared" si="43"/>
        <v>0</v>
      </c>
      <c r="AS27" s="124">
        <f t="array" ref="AS27">_xlfn.IFS(S27=0,AL27,S27&lt;0,AL27/-S27,S27&gt;0,AL27/S27)</f>
        <v>0</v>
      </c>
      <c r="AT27" s="119">
        <f t="shared" si="44"/>
        <v>0</v>
      </c>
      <c r="AU27" s="119">
        <f t="shared" si="45"/>
        <v>0</v>
      </c>
      <c r="AV27" s="125"/>
      <c r="AW27" s="120">
        <f t="shared" si="46"/>
        <v>0</v>
      </c>
    </row>
    <row r="28" spans="1:49" hidden="1" outlineLevel="1">
      <c r="A28" s="114"/>
      <c r="B28" s="115"/>
      <c r="C28" s="115"/>
      <c r="D28" s="116"/>
      <c r="E28" s="117">
        <f t="shared" si="27"/>
        <v>0</v>
      </c>
      <c r="F28" s="117"/>
      <c r="G28" s="117"/>
      <c r="H28" s="117"/>
      <c r="I28" s="117"/>
      <c r="J28" s="117">
        <f t="shared" si="28"/>
        <v>0</v>
      </c>
      <c r="K28" s="114"/>
      <c r="L28" s="114"/>
      <c r="M28" s="114"/>
      <c r="N28" s="114"/>
      <c r="O28" s="117">
        <f t="shared" si="29"/>
        <v>0</v>
      </c>
      <c r="P28" s="117">
        <f t="shared" si="30"/>
        <v>0</v>
      </c>
      <c r="Q28" s="118"/>
      <c r="R28" s="118"/>
      <c r="S28" s="117">
        <f t="shared" si="31"/>
        <v>0</v>
      </c>
      <c r="T28" s="117"/>
      <c r="U28" s="117"/>
      <c r="V28" s="117">
        <f t="shared" si="32"/>
        <v>0</v>
      </c>
      <c r="W28" s="118"/>
      <c r="X28" s="118"/>
      <c r="Y28" s="117">
        <f t="shared" si="33"/>
        <v>0</v>
      </c>
      <c r="Z28" s="117">
        <f t="shared" si="34"/>
        <v>0</v>
      </c>
      <c r="AA28" s="119">
        <f t="shared" si="47"/>
        <v>0</v>
      </c>
      <c r="AB28" s="117">
        <f t="shared" si="35"/>
        <v>0</v>
      </c>
      <c r="AC28" s="118"/>
      <c r="AD28" s="119">
        <f t="shared" si="36"/>
        <v>0</v>
      </c>
      <c r="AE28" s="118"/>
      <c r="AF28" s="118"/>
      <c r="AG28" s="118"/>
      <c r="AH28" s="118"/>
      <c r="AI28" s="241"/>
      <c r="AJ28" s="118"/>
      <c r="AK28" s="291">
        <f t="shared" si="37"/>
        <v>0</v>
      </c>
      <c r="AL28" s="121">
        <f t="shared" si="38"/>
        <v>0</v>
      </c>
      <c r="AM28" s="122"/>
      <c r="AN28" s="123">
        <f t="shared" si="39"/>
        <v>0</v>
      </c>
      <c r="AO28" s="124">
        <f t="shared" si="40"/>
        <v>0</v>
      </c>
      <c r="AP28" s="124">
        <f t="shared" si="41"/>
        <v>0</v>
      </c>
      <c r="AQ28" s="124">
        <f t="shared" si="42"/>
        <v>0</v>
      </c>
      <c r="AR28" s="124">
        <f t="shared" si="43"/>
        <v>0</v>
      </c>
      <c r="AS28" s="124">
        <f t="array" ref="AS28">_xlfn.IFS(S28=0,AL28,S28&lt;0,AL28/-S28,S28&gt;0,AL28/S28)</f>
        <v>0</v>
      </c>
      <c r="AT28" s="119">
        <f t="shared" si="44"/>
        <v>0</v>
      </c>
      <c r="AU28" s="119">
        <f t="shared" si="45"/>
        <v>0</v>
      </c>
      <c r="AV28" s="125"/>
      <c r="AW28" s="120">
        <f t="shared" si="46"/>
        <v>0</v>
      </c>
    </row>
    <row r="29" spans="1:49" hidden="1" outlineLevel="1">
      <c r="A29" s="114"/>
      <c r="B29" s="115"/>
      <c r="C29" s="115"/>
      <c r="D29" s="116"/>
      <c r="E29" s="117">
        <f t="shared" si="27"/>
        <v>0</v>
      </c>
      <c r="F29" s="117"/>
      <c r="G29" s="117"/>
      <c r="H29" s="117"/>
      <c r="I29" s="117"/>
      <c r="J29" s="117">
        <f t="shared" si="28"/>
        <v>0</v>
      </c>
      <c r="K29" s="114"/>
      <c r="L29" s="114"/>
      <c r="M29" s="114"/>
      <c r="N29" s="114"/>
      <c r="O29" s="117">
        <f t="shared" si="29"/>
        <v>0</v>
      </c>
      <c r="P29" s="117">
        <f t="shared" si="30"/>
        <v>0</v>
      </c>
      <c r="Q29" s="118"/>
      <c r="R29" s="118"/>
      <c r="S29" s="117">
        <f t="shared" si="31"/>
        <v>0</v>
      </c>
      <c r="T29" s="117"/>
      <c r="U29" s="117"/>
      <c r="V29" s="117">
        <f t="shared" si="32"/>
        <v>0</v>
      </c>
      <c r="W29" s="118"/>
      <c r="X29" s="118"/>
      <c r="Y29" s="117">
        <f t="shared" si="33"/>
        <v>0</v>
      </c>
      <c r="Z29" s="117">
        <f t="shared" si="34"/>
        <v>0</v>
      </c>
      <c r="AA29" s="119">
        <f t="shared" si="47"/>
        <v>0</v>
      </c>
      <c r="AB29" s="117">
        <f t="shared" si="35"/>
        <v>0</v>
      </c>
      <c r="AC29" s="118"/>
      <c r="AD29" s="119">
        <f t="shared" si="36"/>
        <v>0</v>
      </c>
      <c r="AE29" s="118"/>
      <c r="AF29" s="118"/>
      <c r="AG29" s="118"/>
      <c r="AH29" s="118"/>
      <c r="AI29" s="241"/>
      <c r="AJ29" s="118"/>
      <c r="AK29" s="291">
        <f t="shared" si="37"/>
        <v>0</v>
      </c>
      <c r="AL29" s="121">
        <f t="shared" si="38"/>
        <v>0</v>
      </c>
      <c r="AM29" s="122"/>
      <c r="AN29" s="123">
        <f t="shared" si="39"/>
        <v>0</v>
      </c>
      <c r="AO29" s="124">
        <f t="shared" si="40"/>
        <v>0</v>
      </c>
      <c r="AP29" s="124">
        <f t="shared" si="41"/>
        <v>0</v>
      </c>
      <c r="AQ29" s="124">
        <f t="shared" si="42"/>
        <v>0</v>
      </c>
      <c r="AR29" s="124">
        <f t="shared" si="43"/>
        <v>0</v>
      </c>
      <c r="AS29" s="124">
        <f t="array" ref="AS29">_xlfn.IFS(S29=0,AL29,S29&lt;0,AL29/-S29,S29&gt;0,AL29/S29)</f>
        <v>0</v>
      </c>
      <c r="AT29" s="119">
        <f t="shared" si="44"/>
        <v>0</v>
      </c>
      <c r="AU29" s="119">
        <f t="shared" si="45"/>
        <v>0</v>
      </c>
      <c r="AV29" s="125"/>
      <c r="AW29" s="120">
        <f t="shared" si="46"/>
        <v>0</v>
      </c>
    </row>
    <row r="30" spans="1:49" hidden="1" outlineLevel="1">
      <c r="A30" s="114"/>
      <c r="B30" s="115"/>
      <c r="C30" s="115"/>
      <c r="D30" s="116"/>
      <c r="E30" s="117">
        <f t="shared" si="27"/>
        <v>0</v>
      </c>
      <c r="F30" s="117"/>
      <c r="G30" s="117"/>
      <c r="H30" s="117"/>
      <c r="I30" s="117"/>
      <c r="J30" s="117">
        <f t="shared" si="28"/>
        <v>0</v>
      </c>
      <c r="K30" s="114"/>
      <c r="L30" s="114"/>
      <c r="M30" s="114"/>
      <c r="N30" s="114"/>
      <c r="O30" s="117">
        <f t="shared" si="29"/>
        <v>0</v>
      </c>
      <c r="P30" s="117">
        <f t="shared" si="30"/>
        <v>0</v>
      </c>
      <c r="Q30" s="118"/>
      <c r="R30" s="118"/>
      <c r="S30" s="117">
        <f t="shared" si="31"/>
        <v>0</v>
      </c>
      <c r="T30" s="117"/>
      <c r="U30" s="117"/>
      <c r="V30" s="117">
        <f t="shared" si="32"/>
        <v>0</v>
      </c>
      <c r="W30" s="118"/>
      <c r="X30" s="118"/>
      <c r="Y30" s="117">
        <f t="shared" si="33"/>
        <v>0</v>
      </c>
      <c r="Z30" s="117">
        <f t="shared" si="34"/>
        <v>0</v>
      </c>
      <c r="AA30" s="119">
        <f t="shared" si="47"/>
        <v>0</v>
      </c>
      <c r="AB30" s="117">
        <f t="shared" si="35"/>
        <v>0</v>
      </c>
      <c r="AC30" s="118"/>
      <c r="AD30" s="119">
        <f t="shared" si="36"/>
        <v>0</v>
      </c>
      <c r="AE30" s="118"/>
      <c r="AF30" s="118"/>
      <c r="AG30" s="118"/>
      <c r="AH30" s="118"/>
      <c r="AI30" s="241"/>
      <c r="AJ30" s="118"/>
      <c r="AK30" s="291">
        <f t="shared" si="37"/>
        <v>0</v>
      </c>
      <c r="AL30" s="121">
        <f t="shared" si="38"/>
        <v>0</v>
      </c>
      <c r="AM30" s="122"/>
      <c r="AN30" s="123">
        <f t="shared" si="39"/>
        <v>0</v>
      </c>
      <c r="AO30" s="124">
        <f t="shared" si="40"/>
        <v>0</v>
      </c>
      <c r="AP30" s="124">
        <f t="shared" si="41"/>
        <v>0</v>
      </c>
      <c r="AQ30" s="124">
        <f t="shared" si="42"/>
        <v>0</v>
      </c>
      <c r="AR30" s="124">
        <f t="shared" si="43"/>
        <v>0</v>
      </c>
      <c r="AS30" s="124">
        <f t="array" ref="AS30">_xlfn.IFS(S30=0,AL30,S30&lt;0,AL30/-S30,S30&gt;0,AL30/S30)</f>
        <v>0</v>
      </c>
      <c r="AT30" s="119">
        <f t="shared" si="44"/>
        <v>0</v>
      </c>
      <c r="AU30" s="119">
        <f t="shared" si="45"/>
        <v>0</v>
      </c>
      <c r="AV30" s="125"/>
      <c r="AW30" s="120">
        <f t="shared" si="46"/>
        <v>0</v>
      </c>
    </row>
    <row r="31" spans="1:49" hidden="1" outlineLevel="1">
      <c r="A31" s="114"/>
      <c r="B31" s="115"/>
      <c r="C31" s="115"/>
      <c r="D31" s="116"/>
      <c r="E31" s="117">
        <f t="shared" si="27"/>
        <v>0</v>
      </c>
      <c r="F31" s="117"/>
      <c r="G31" s="117"/>
      <c r="H31" s="117"/>
      <c r="I31" s="117"/>
      <c r="J31" s="117">
        <f t="shared" si="28"/>
        <v>0</v>
      </c>
      <c r="K31" s="114"/>
      <c r="L31" s="114"/>
      <c r="M31" s="114"/>
      <c r="N31" s="114"/>
      <c r="O31" s="117">
        <f t="shared" si="29"/>
        <v>0</v>
      </c>
      <c r="P31" s="117">
        <f t="shared" si="30"/>
        <v>0</v>
      </c>
      <c r="Q31" s="118"/>
      <c r="R31" s="118"/>
      <c r="S31" s="117">
        <f t="shared" si="31"/>
        <v>0</v>
      </c>
      <c r="T31" s="117"/>
      <c r="U31" s="117"/>
      <c r="V31" s="117">
        <f t="shared" si="32"/>
        <v>0</v>
      </c>
      <c r="W31" s="118"/>
      <c r="X31" s="118"/>
      <c r="Y31" s="117">
        <f t="shared" si="33"/>
        <v>0</v>
      </c>
      <c r="Z31" s="117">
        <f t="shared" si="34"/>
        <v>0</v>
      </c>
      <c r="AA31" s="119">
        <f t="shared" si="47"/>
        <v>0</v>
      </c>
      <c r="AB31" s="117">
        <f t="shared" si="35"/>
        <v>0</v>
      </c>
      <c r="AC31" s="118"/>
      <c r="AD31" s="119">
        <f t="shared" si="36"/>
        <v>0</v>
      </c>
      <c r="AE31" s="118"/>
      <c r="AF31" s="118"/>
      <c r="AG31" s="118"/>
      <c r="AH31" s="118"/>
      <c r="AI31" s="241"/>
      <c r="AJ31" s="118"/>
      <c r="AK31" s="291">
        <f t="shared" si="37"/>
        <v>0</v>
      </c>
      <c r="AL31" s="121">
        <f t="shared" si="38"/>
        <v>0</v>
      </c>
      <c r="AM31" s="122"/>
      <c r="AN31" s="123">
        <f t="shared" si="39"/>
        <v>0</v>
      </c>
      <c r="AO31" s="124">
        <f t="shared" si="40"/>
        <v>0</v>
      </c>
      <c r="AP31" s="124">
        <f t="shared" si="41"/>
        <v>0</v>
      </c>
      <c r="AQ31" s="124">
        <f t="shared" si="42"/>
        <v>0</v>
      </c>
      <c r="AR31" s="124">
        <f t="shared" si="43"/>
        <v>0</v>
      </c>
      <c r="AS31" s="124">
        <f t="array" ref="AS31">_xlfn.IFS(S31=0,AL31,S31&lt;0,AL31/-S31,S31&gt;0,AL31/S31)</f>
        <v>0</v>
      </c>
      <c r="AT31" s="119">
        <f t="shared" si="44"/>
        <v>0</v>
      </c>
      <c r="AU31" s="119">
        <f t="shared" si="45"/>
        <v>0</v>
      </c>
      <c r="AV31" s="125"/>
      <c r="AW31" s="120">
        <f t="shared" si="46"/>
        <v>0</v>
      </c>
    </row>
    <row r="32" spans="1:49" hidden="1" outlineLevel="1">
      <c r="A32" s="114"/>
      <c r="B32" s="115"/>
      <c r="C32" s="115"/>
      <c r="D32" s="116"/>
      <c r="E32" s="117">
        <f t="shared" si="27"/>
        <v>0</v>
      </c>
      <c r="F32" s="117"/>
      <c r="G32" s="117"/>
      <c r="H32" s="117"/>
      <c r="I32" s="117"/>
      <c r="J32" s="117">
        <f t="shared" si="28"/>
        <v>0</v>
      </c>
      <c r="K32" s="114"/>
      <c r="L32" s="114"/>
      <c r="M32" s="114"/>
      <c r="N32" s="114"/>
      <c r="O32" s="117">
        <f t="shared" si="29"/>
        <v>0</v>
      </c>
      <c r="P32" s="117">
        <f t="shared" si="30"/>
        <v>0</v>
      </c>
      <c r="Q32" s="118"/>
      <c r="R32" s="118"/>
      <c r="S32" s="117">
        <f t="shared" si="31"/>
        <v>0</v>
      </c>
      <c r="T32" s="117"/>
      <c r="U32" s="117"/>
      <c r="V32" s="117">
        <f t="shared" si="32"/>
        <v>0</v>
      </c>
      <c r="W32" s="118"/>
      <c r="X32" s="118"/>
      <c r="Y32" s="117">
        <f t="shared" si="33"/>
        <v>0</v>
      </c>
      <c r="Z32" s="117">
        <f t="shared" si="34"/>
        <v>0</v>
      </c>
      <c r="AA32" s="119">
        <f t="shared" si="47"/>
        <v>0</v>
      </c>
      <c r="AB32" s="117">
        <f t="shared" si="35"/>
        <v>0</v>
      </c>
      <c r="AC32" s="118"/>
      <c r="AD32" s="119">
        <f t="shared" si="36"/>
        <v>0</v>
      </c>
      <c r="AE32" s="118"/>
      <c r="AF32" s="118"/>
      <c r="AG32" s="118"/>
      <c r="AH32" s="118"/>
      <c r="AI32" s="241"/>
      <c r="AJ32" s="118"/>
      <c r="AK32" s="291">
        <f t="shared" si="37"/>
        <v>0</v>
      </c>
      <c r="AL32" s="121">
        <f t="shared" si="38"/>
        <v>0</v>
      </c>
      <c r="AM32" s="122"/>
      <c r="AN32" s="123">
        <f t="shared" si="39"/>
        <v>0</v>
      </c>
      <c r="AO32" s="124">
        <f t="shared" si="40"/>
        <v>0</v>
      </c>
      <c r="AP32" s="124">
        <f t="shared" si="41"/>
        <v>0</v>
      </c>
      <c r="AQ32" s="124">
        <f t="shared" si="42"/>
        <v>0</v>
      </c>
      <c r="AR32" s="124">
        <f t="shared" si="43"/>
        <v>0</v>
      </c>
      <c r="AS32" s="124">
        <f t="array" ref="AS32">_xlfn.IFS(S32=0,AL32,S32&lt;0,AL32/-S32,S32&gt;0,AL32/S32)</f>
        <v>0</v>
      </c>
      <c r="AT32" s="119">
        <f t="shared" si="44"/>
        <v>0</v>
      </c>
      <c r="AU32" s="119">
        <f t="shared" si="45"/>
        <v>0</v>
      </c>
      <c r="AV32" s="125"/>
      <c r="AW32" s="120">
        <f t="shared" si="46"/>
        <v>0</v>
      </c>
    </row>
    <row r="33" spans="1:49" hidden="1" outlineLevel="1">
      <c r="A33" s="114"/>
      <c r="B33" s="115"/>
      <c r="C33" s="115"/>
      <c r="D33" s="116"/>
      <c r="E33" s="117">
        <f t="shared" si="27"/>
        <v>0</v>
      </c>
      <c r="F33" s="117"/>
      <c r="G33" s="117"/>
      <c r="H33" s="117"/>
      <c r="I33" s="117"/>
      <c r="J33" s="117">
        <f t="shared" si="28"/>
        <v>0</v>
      </c>
      <c r="K33" s="114"/>
      <c r="L33" s="114"/>
      <c r="M33" s="114"/>
      <c r="N33" s="114"/>
      <c r="O33" s="117">
        <f t="shared" si="29"/>
        <v>0</v>
      </c>
      <c r="P33" s="117">
        <f t="shared" si="30"/>
        <v>0</v>
      </c>
      <c r="Q33" s="118"/>
      <c r="R33" s="118"/>
      <c r="S33" s="117">
        <f t="shared" si="31"/>
        <v>0</v>
      </c>
      <c r="T33" s="117"/>
      <c r="U33" s="117"/>
      <c r="V33" s="117">
        <f t="shared" si="32"/>
        <v>0</v>
      </c>
      <c r="W33" s="118"/>
      <c r="X33" s="118"/>
      <c r="Y33" s="117">
        <f t="shared" si="33"/>
        <v>0</v>
      </c>
      <c r="Z33" s="117">
        <f t="shared" si="34"/>
        <v>0</v>
      </c>
      <c r="AA33" s="119">
        <f t="shared" si="47"/>
        <v>0</v>
      </c>
      <c r="AB33" s="117">
        <f t="shared" si="35"/>
        <v>0</v>
      </c>
      <c r="AC33" s="118"/>
      <c r="AD33" s="119">
        <f t="shared" si="36"/>
        <v>0</v>
      </c>
      <c r="AE33" s="118"/>
      <c r="AF33" s="118"/>
      <c r="AG33" s="118"/>
      <c r="AH33" s="118"/>
      <c r="AI33" s="241"/>
      <c r="AJ33" s="118"/>
      <c r="AK33" s="291">
        <f t="shared" si="37"/>
        <v>0</v>
      </c>
      <c r="AL33" s="121">
        <f t="shared" si="38"/>
        <v>0</v>
      </c>
      <c r="AM33" s="122"/>
      <c r="AN33" s="123">
        <f t="shared" si="39"/>
        <v>0</v>
      </c>
      <c r="AO33" s="124">
        <f t="shared" si="40"/>
        <v>0</v>
      </c>
      <c r="AP33" s="124">
        <f t="shared" si="41"/>
        <v>0</v>
      </c>
      <c r="AQ33" s="124">
        <f t="shared" si="42"/>
        <v>0</v>
      </c>
      <c r="AR33" s="124">
        <f t="shared" si="43"/>
        <v>0</v>
      </c>
      <c r="AS33" s="124">
        <f t="array" ref="AS33">_xlfn.IFS(S33=0,AL33,S33&lt;0,AL33/-S33,S33&gt;0,AL33/S33)</f>
        <v>0</v>
      </c>
      <c r="AT33" s="119">
        <f t="shared" si="44"/>
        <v>0</v>
      </c>
      <c r="AU33" s="119">
        <f t="shared" si="45"/>
        <v>0</v>
      </c>
      <c r="AV33" s="125"/>
      <c r="AW33" s="120">
        <f t="shared" si="46"/>
        <v>0</v>
      </c>
    </row>
    <row r="34" spans="1:49" hidden="1" outlineLevel="1">
      <c r="A34" s="114"/>
      <c r="B34" s="115"/>
      <c r="C34" s="115"/>
      <c r="D34" s="116"/>
      <c r="E34" s="117">
        <f t="shared" si="27"/>
        <v>0</v>
      </c>
      <c r="F34" s="117"/>
      <c r="G34" s="117"/>
      <c r="H34" s="117"/>
      <c r="I34" s="117"/>
      <c r="J34" s="117">
        <f t="shared" si="28"/>
        <v>0</v>
      </c>
      <c r="K34" s="114"/>
      <c r="L34" s="114"/>
      <c r="M34" s="114"/>
      <c r="N34" s="114"/>
      <c r="O34" s="117">
        <f t="shared" si="29"/>
        <v>0</v>
      </c>
      <c r="P34" s="117">
        <f t="shared" si="30"/>
        <v>0</v>
      </c>
      <c r="Q34" s="118"/>
      <c r="R34" s="118"/>
      <c r="S34" s="117">
        <f t="shared" si="31"/>
        <v>0</v>
      </c>
      <c r="T34" s="117"/>
      <c r="U34" s="117"/>
      <c r="V34" s="117">
        <f t="shared" si="32"/>
        <v>0</v>
      </c>
      <c r="W34" s="118"/>
      <c r="X34" s="118"/>
      <c r="Y34" s="117">
        <f t="shared" si="33"/>
        <v>0</v>
      </c>
      <c r="Z34" s="117">
        <f t="shared" si="34"/>
        <v>0</v>
      </c>
      <c r="AA34" s="119">
        <f t="shared" si="47"/>
        <v>0</v>
      </c>
      <c r="AB34" s="117">
        <f t="shared" si="35"/>
        <v>0</v>
      </c>
      <c r="AC34" s="118"/>
      <c r="AD34" s="119">
        <f t="shared" si="36"/>
        <v>0</v>
      </c>
      <c r="AE34" s="118"/>
      <c r="AF34" s="118"/>
      <c r="AG34" s="118"/>
      <c r="AH34" s="118"/>
      <c r="AI34" s="241"/>
      <c r="AJ34" s="118"/>
      <c r="AK34" s="291">
        <f t="shared" si="37"/>
        <v>0</v>
      </c>
      <c r="AL34" s="121">
        <f t="shared" si="38"/>
        <v>0</v>
      </c>
      <c r="AM34" s="122"/>
      <c r="AN34" s="123">
        <f t="shared" si="39"/>
        <v>0</v>
      </c>
      <c r="AO34" s="124">
        <f t="shared" si="40"/>
        <v>0</v>
      </c>
      <c r="AP34" s="124">
        <f t="shared" si="41"/>
        <v>0</v>
      </c>
      <c r="AQ34" s="124">
        <f t="shared" si="42"/>
        <v>0</v>
      </c>
      <c r="AR34" s="124">
        <f t="shared" si="43"/>
        <v>0</v>
      </c>
      <c r="AS34" s="124">
        <f t="array" ref="AS34">_xlfn.IFS(S34=0,AL34,S34&lt;0,AL34/-S34,S34&gt;0,AL34/S34)</f>
        <v>0</v>
      </c>
      <c r="AT34" s="119">
        <f t="shared" si="44"/>
        <v>0</v>
      </c>
      <c r="AU34" s="119">
        <f t="shared" si="45"/>
        <v>0</v>
      </c>
      <c r="AV34" s="125"/>
      <c r="AW34" s="120">
        <f t="shared" si="46"/>
        <v>0</v>
      </c>
    </row>
    <row r="35" spans="1:49" hidden="1" outlineLevel="1">
      <c r="A35" s="114"/>
      <c r="B35" s="115"/>
      <c r="C35" s="115"/>
      <c r="D35" s="116"/>
      <c r="E35" s="117">
        <f t="shared" si="27"/>
        <v>0</v>
      </c>
      <c r="F35" s="117"/>
      <c r="G35" s="117"/>
      <c r="H35" s="117"/>
      <c r="I35" s="117"/>
      <c r="J35" s="117">
        <f t="shared" si="28"/>
        <v>0</v>
      </c>
      <c r="K35" s="114"/>
      <c r="L35" s="114"/>
      <c r="M35" s="114"/>
      <c r="N35" s="114"/>
      <c r="O35" s="117">
        <f t="shared" si="29"/>
        <v>0</v>
      </c>
      <c r="P35" s="117">
        <f t="shared" si="30"/>
        <v>0</v>
      </c>
      <c r="Q35" s="118"/>
      <c r="R35" s="118"/>
      <c r="S35" s="117">
        <f t="shared" si="31"/>
        <v>0</v>
      </c>
      <c r="T35" s="117"/>
      <c r="U35" s="117"/>
      <c r="V35" s="117">
        <f t="shared" si="32"/>
        <v>0</v>
      </c>
      <c r="W35" s="118"/>
      <c r="X35" s="118"/>
      <c r="Y35" s="117">
        <f t="shared" si="33"/>
        <v>0</v>
      </c>
      <c r="Z35" s="117">
        <f t="shared" si="34"/>
        <v>0</v>
      </c>
      <c r="AA35" s="119">
        <f t="shared" si="47"/>
        <v>0</v>
      </c>
      <c r="AB35" s="117">
        <f t="shared" si="35"/>
        <v>0</v>
      </c>
      <c r="AC35" s="118"/>
      <c r="AD35" s="119">
        <f t="shared" si="36"/>
        <v>0</v>
      </c>
      <c r="AE35" s="118"/>
      <c r="AF35" s="118"/>
      <c r="AG35" s="118"/>
      <c r="AH35" s="118"/>
      <c r="AI35" s="241"/>
      <c r="AJ35" s="118"/>
      <c r="AK35" s="291">
        <f t="shared" si="37"/>
        <v>0</v>
      </c>
      <c r="AL35" s="121">
        <f t="shared" si="38"/>
        <v>0</v>
      </c>
      <c r="AM35" s="122"/>
      <c r="AN35" s="123">
        <f t="shared" si="39"/>
        <v>0</v>
      </c>
      <c r="AO35" s="124">
        <f t="shared" si="40"/>
        <v>0</v>
      </c>
      <c r="AP35" s="124">
        <f t="shared" si="41"/>
        <v>0</v>
      </c>
      <c r="AQ35" s="124">
        <f t="shared" si="42"/>
        <v>0</v>
      </c>
      <c r="AR35" s="124">
        <f t="shared" si="43"/>
        <v>0</v>
      </c>
      <c r="AS35" s="124">
        <f t="array" ref="AS35">_xlfn.IFS(S35=0,AL35,S35&lt;0,AL35/-S35,S35&gt;0,AL35/S35)</f>
        <v>0</v>
      </c>
      <c r="AT35" s="119">
        <f t="shared" si="44"/>
        <v>0</v>
      </c>
      <c r="AU35" s="119">
        <f t="shared" si="45"/>
        <v>0</v>
      </c>
      <c r="AV35" s="125"/>
      <c r="AW35" s="120">
        <f t="shared" si="46"/>
        <v>0</v>
      </c>
    </row>
    <row r="36" spans="1:49" hidden="1" outlineLevel="1">
      <c r="A36" s="114"/>
      <c r="B36" s="115"/>
      <c r="C36" s="115"/>
      <c r="D36" s="116"/>
      <c r="E36" s="117">
        <f t="shared" si="27"/>
        <v>0</v>
      </c>
      <c r="F36" s="117"/>
      <c r="G36" s="117"/>
      <c r="H36" s="117"/>
      <c r="I36" s="117"/>
      <c r="J36" s="117">
        <f t="shared" si="28"/>
        <v>0</v>
      </c>
      <c r="K36" s="114"/>
      <c r="L36" s="114"/>
      <c r="M36" s="114"/>
      <c r="N36" s="114"/>
      <c r="O36" s="117">
        <f t="shared" si="29"/>
        <v>0</v>
      </c>
      <c r="P36" s="117">
        <f t="shared" si="30"/>
        <v>0</v>
      </c>
      <c r="Q36" s="118"/>
      <c r="R36" s="118"/>
      <c r="S36" s="117">
        <f t="shared" si="31"/>
        <v>0</v>
      </c>
      <c r="T36" s="117"/>
      <c r="U36" s="117"/>
      <c r="V36" s="117">
        <f t="shared" si="32"/>
        <v>0</v>
      </c>
      <c r="W36" s="118"/>
      <c r="X36" s="118"/>
      <c r="Y36" s="117">
        <f t="shared" si="33"/>
        <v>0</v>
      </c>
      <c r="Z36" s="117">
        <f t="shared" si="34"/>
        <v>0</v>
      </c>
      <c r="AA36" s="119">
        <f t="shared" si="47"/>
        <v>0</v>
      </c>
      <c r="AB36" s="117">
        <f t="shared" si="35"/>
        <v>0</v>
      </c>
      <c r="AC36" s="118"/>
      <c r="AD36" s="119">
        <f t="shared" si="36"/>
        <v>0</v>
      </c>
      <c r="AE36" s="118"/>
      <c r="AF36" s="118"/>
      <c r="AG36" s="118"/>
      <c r="AH36" s="118"/>
      <c r="AI36" s="241"/>
      <c r="AJ36" s="118"/>
      <c r="AK36" s="291">
        <f t="shared" si="37"/>
        <v>0</v>
      </c>
      <c r="AL36" s="121">
        <f t="shared" si="38"/>
        <v>0</v>
      </c>
      <c r="AM36" s="122"/>
      <c r="AN36" s="123">
        <f t="shared" si="39"/>
        <v>0</v>
      </c>
      <c r="AO36" s="124">
        <f t="shared" si="40"/>
        <v>0</v>
      </c>
      <c r="AP36" s="124">
        <f t="shared" si="41"/>
        <v>0</v>
      </c>
      <c r="AQ36" s="124">
        <f t="shared" si="42"/>
        <v>0</v>
      </c>
      <c r="AR36" s="124">
        <f t="shared" si="43"/>
        <v>0</v>
      </c>
      <c r="AS36" s="124">
        <f t="array" ref="AS36">_xlfn.IFS(S36=0,AL36,S36&lt;0,AL36/-S36,S36&gt;0,AL36/S36)</f>
        <v>0</v>
      </c>
      <c r="AT36" s="119">
        <f t="shared" si="44"/>
        <v>0</v>
      </c>
      <c r="AU36" s="119">
        <f t="shared" si="45"/>
        <v>0</v>
      </c>
      <c r="AV36" s="125"/>
      <c r="AW36" s="120">
        <f t="shared" si="46"/>
        <v>0</v>
      </c>
    </row>
    <row r="37" spans="1:49" hidden="1" outlineLevel="1">
      <c r="A37" s="114"/>
      <c r="B37" s="115"/>
      <c r="C37" s="115"/>
      <c r="D37" s="116"/>
      <c r="E37" s="117">
        <f t="shared" si="27"/>
        <v>0</v>
      </c>
      <c r="F37" s="117"/>
      <c r="G37" s="117"/>
      <c r="H37" s="117"/>
      <c r="I37" s="117"/>
      <c r="J37" s="117">
        <f t="shared" si="28"/>
        <v>0</v>
      </c>
      <c r="K37" s="114"/>
      <c r="L37" s="114"/>
      <c r="M37" s="114"/>
      <c r="N37" s="114"/>
      <c r="O37" s="117">
        <f t="shared" si="29"/>
        <v>0</v>
      </c>
      <c r="P37" s="117">
        <f t="shared" si="30"/>
        <v>0</v>
      </c>
      <c r="Q37" s="118"/>
      <c r="R37" s="118"/>
      <c r="S37" s="117">
        <f t="shared" si="31"/>
        <v>0</v>
      </c>
      <c r="T37" s="117"/>
      <c r="U37" s="117"/>
      <c r="V37" s="117">
        <f t="shared" si="32"/>
        <v>0</v>
      </c>
      <c r="W37" s="118"/>
      <c r="X37" s="118"/>
      <c r="Y37" s="117">
        <f t="shared" si="33"/>
        <v>0</v>
      </c>
      <c r="Z37" s="117">
        <f t="shared" si="34"/>
        <v>0</v>
      </c>
      <c r="AA37" s="119">
        <f t="shared" si="47"/>
        <v>0</v>
      </c>
      <c r="AB37" s="117">
        <f t="shared" si="35"/>
        <v>0</v>
      </c>
      <c r="AC37" s="118"/>
      <c r="AD37" s="119">
        <f t="shared" si="36"/>
        <v>0</v>
      </c>
      <c r="AE37" s="118"/>
      <c r="AF37" s="118"/>
      <c r="AG37" s="118"/>
      <c r="AH37" s="118"/>
      <c r="AI37" s="241"/>
      <c r="AJ37" s="118"/>
      <c r="AK37" s="291">
        <f t="shared" si="37"/>
        <v>0</v>
      </c>
      <c r="AL37" s="121">
        <f t="shared" si="38"/>
        <v>0</v>
      </c>
      <c r="AM37" s="122"/>
      <c r="AN37" s="123">
        <f t="shared" si="39"/>
        <v>0</v>
      </c>
      <c r="AO37" s="124">
        <f t="shared" si="40"/>
        <v>0</v>
      </c>
      <c r="AP37" s="124">
        <f t="shared" si="41"/>
        <v>0</v>
      </c>
      <c r="AQ37" s="124">
        <f t="shared" si="42"/>
        <v>0</v>
      </c>
      <c r="AR37" s="124">
        <f t="shared" si="43"/>
        <v>0</v>
      </c>
      <c r="AS37" s="124">
        <f t="array" ref="AS37">_xlfn.IFS(S37=0,AL37,S37&lt;0,AL37/-S37,S37&gt;0,AL37/S37)</f>
        <v>0</v>
      </c>
      <c r="AT37" s="119">
        <f t="shared" si="44"/>
        <v>0</v>
      </c>
      <c r="AU37" s="119">
        <f t="shared" si="45"/>
        <v>0</v>
      </c>
      <c r="AV37" s="125"/>
      <c r="AW37" s="120">
        <f t="shared" si="46"/>
        <v>0</v>
      </c>
    </row>
    <row r="38" spans="1:49" hidden="1" outlineLevel="1">
      <c r="A38" s="114"/>
      <c r="B38" s="115"/>
      <c r="C38" s="115"/>
      <c r="D38" s="116"/>
      <c r="E38" s="117">
        <f t="shared" si="27"/>
        <v>0</v>
      </c>
      <c r="F38" s="117"/>
      <c r="G38" s="117"/>
      <c r="H38" s="117"/>
      <c r="I38" s="117"/>
      <c r="J38" s="117">
        <f t="shared" si="28"/>
        <v>0</v>
      </c>
      <c r="K38" s="114"/>
      <c r="L38" s="114"/>
      <c r="M38" s="114"/>
      <c r="N38" s="114"/>
      <c r="O38" s="117">
        <f t="shared" si="29"/>
        <v>0</v>
      </c>
      <c r="P38" s="117">
        <f t="shared" si="30"/>
        <v>0</v>
      </c>
      <c r="Q38" s="118"/>
      <c r="R38" s="118"/>
      <c r="S38" s="117">
        <f t="shared" si="31"/>
        <v>0</v>
      </c>
      <c r="T38" s="117"/>
      <c r="U38" s="117"/>
      <c r="V38" s="117">
        <f t="shared" si="32"/>
        <v>0</v>
      </c>
      <c r="W38" s="118"/>
      <c r="X38" s="118"/>
      <c r="Y38" s="117">
        <f t="shared" si="33"/>
        <v>0</v>
      </c>
      <c r="Z38" s="117">
        <f t="shared" si="34"/>
        <v>0</v>
      </c>
      <c r="AA38" s="119">
        <f t="shared" si="47"/>
        <v>0</v>
      </c>
      <c r="AB38" s="117">
        <f t="shared" si="35"/>
        <v>0</v>
      </c>
      <c r="AC38" s="118"/>
      <c r="AD38" s="119">
        <f t="shared" si="36"/>
        <v>0</v>
      </c>
      <c r="AE38" s="118"/>
      <c r="AF38" s="118"/>
      <c r="AG38" s="118"/>
      <c r="AH38" s="118"/>
      <c r="AI38" s="241"/>
      <c r="AJ38" s="118"/>
      <c r="AK38" s="291">
        <f t="shared" si="37"/>
        <v>0</v>
      </c>
      <c r="AL38" s="121">
        <f t="shared" si="38"/>
        <v>0</v>
      </c>
      <c r="AM38" s="122"/>
      <c r="AN38" s="123">
        <f t="shared" si="39"/>
        <v>0</v>
      </c>
      <c r="AO38" s="124">
        <f t="shared" si="40"/>
        <v>0</v>
      </c>
      <c r="AP38" s="124">
        <f t="shared" si="41"/>
        <v>0</v>
      </c>
      <c r="AQ38" s="124">
        <f t="shared" si="42"/>
        <v>0</v>
      </c>
      <c r="AR38" s="124">
        <f t="shared" si="43"/>
        <v>0</v>
      </c>
      <c r="AS38" s="124">
        <f t="array" ref="AS38">_xlfn.IFS(S38=0,AL38,S38&lt;0,AL38/-S38,S38&gt;0,AL38/S38)</f>
        <v>0</v>
      </c>
      <c r="AT38" s="119">
        <f t="shared" si="44"/>
        <v>0</v>
      </c>
      <c r="AU38" s="119">
        <f t="shared" si="45"/>
        <v>0</v>
      </c>
      <c r="AV38" s="125"/>
      <c r="AW38" s="120">
        <f t="shared" si="46"/>
        <v>0</v>
      </c>
    </row>
    <row r="39" spans="1:49" hidden="1" outlineLevel="1">
      <c r="A39" s="114"/>
      <c r="B39" s="115"/>
      <c r="C39" s="115"/>
      <c r="D39" s="116"/>
      <c r="E39" s="117">
        <f t="shared" si="27"/>
        <v>0</v>
      </c>
      <c r="F39" s="117"/>
      <c r="G39" s="117"/>
      <c r="H39" s="117"/>
      <c r="I39" s="117"/>
      <c r="J39" s="117">
        <f t="shared" si="28"/>
        <v>0</v>
      </c>
      <c r="K39" s="114"/>
      <c r="L39" s="114"/>
      <c r="M39" s="114"/>
      <c r="N39" s="114"/>
      <c r="O39" s="117">
        <f t="shared" si="29"/>
        <v>0</v>
      </c>
      <c r="P39" s="117">
        <f t="shared" si="30"/>
        <v>0</v>
      </c>
      <c r="Q39" s="118"/>
      <c r="R39" s="118"/>
      <c r="S39" s="117">
        <f t="shared" si="31"/>
        <v>0</v>
      </c>
      <c r="T39" s="117"/>
      <c r="U39" s="117"/>
      <c r="V39" s="117">
        <f t="shared" si="32"/>
        <v>0</v>
      </c>
      <c r="W39" s="118"/>
      <c r="X39" s="118"/>
      <c r="Y39" s="117">
        <f t="shared" si="33"/>
        <v>0</v>
      </c>
      <c r="Z39" s="117">
        <f t="shared" si="34"/>
        <v>0</v>
      </c>
      <c r="AA39" s="119">
        <f t="shared" si="47"/>
        <v>0</v>
      </c>
      <c r="AB39" s="117">
        <f t="shared" si="35"/>
        <v>0</v>
      </c>
      <c r="AC39" s="118"/>
      <c r="AD39" s="119">
        <f t="shared" si="36"/>
        <v>0</v>
      </c>
      <c r="AE39" s="118"/>
      <c r="AF39" s="118"/>
      <c r="AG39" s="118"/>
      <c r="AH39" s="118"/>
      <c r="AI39" s="241"/>
      <c r="AJ39" s="118"/>
      <c r="AK39" s="291">
        <f t="shared" si="37"/>
        <v>0</v>
      </c>
      <c r="AL39" s="121">
        <f t="shared" si="38"/>
        <v>0</v>
      </c>
      <c r="AM39" s="122"/>
      <c r="AN39" s="123">
        <f t="shared" si="39"/>
        <v>0</v>
      </c>
      <c r="AO39" s="124">
        <f t="shared" si="40"/>
        <v>0</v>
      </c>
      <c r="AP39" s="124">
        <f t="shared" si="41"/>
        <v>0</v>
      </c>
      <c r="AQ39" s="124">
        <f t="shared" si="42"/>
        <v>0</v>
      </c>
      <c r="AR39" s="124">
        <f t="shared" si="43"/>
        <v>0</v>
      </c>
      <c r="AS39" s="124">
        <f t="array" ref="AS39">_xlfn.IFS(S39=0,AL39,S39&lt;0,AL39/-S39,S39&gt;0,AL39/S39)</f>
        <v>0</v>
      </c>
      <c r="AT39" s="119">
        <f t="shared" si="44"/>
        <v>0</v>
      </c>
      <c r="AU39" s="119">
        <f t="shared" si="45"/>
        <v>0</v>
      </c>
      <c r="AV39" s="125"/>
      <c r="AW39" s="120">
        <f t="shared" si="46"/>
        <v>0</v>
      </c>
    </row>
    <row r="40" spans="1:49" hidden="1" outlineLevel="1">
      <c r="A40" s="114"/>
      <c r="B40" s="115"/>
      <c r="C40" s="115"/>
      <c r="D40" s="116"/>
      <c r="E40" s="117">
        <f t="shared" si="27"/>
        <v>0</v>
      </c>
      <c r="F40" s="117"/>
      <c r="G40" s="117"/>
      <c r="H40" s="117"/>
      <c r="I40" s="117"/>
      <c r="J40" s="117">
        <f t="shared" si="28"/>
        <v>0</v>
      </c>
      <c r="K40" s="114"/>
      <c r="L40" s="114"/>
      <c r="M40" s="114"/>
      <c r="N40" s="114"/>
      <c r="O40" s="117">
        <f t="shared" si="29"/>
        <v>0</v>
      </c>
      <c r="P40" s="117">
        <f t="shared" si="30"/>
        <v>0</v>
      </c>
      <c r="Q40" s="118"/>
      <c r="R40" s="118"/>
      <c r="S40" s="117">
        <f t="shared" si="31"/>
        <v>0</v>
      </c>
      <c r="T40" s="117"/>
      <c r="U40" s="117"/>
      <c r="V40" s="117">
        <f t="shared" si="32"/>
        <v>0</v>
      </c>
      <c r="W40" s="118"/>
      <c r="X40" s="118"/>
      <c r="Y40" s="117">
        <f t="shared" si="33"/>
        <v>0</v>
      </c>
      <c r="Z40" s="117">
        <f t="shared" si="34"/>
        <v>0</v>
      </c>
      <c r="AA40" s="119">
        <f t="shared" si="47"/>
        <v>0</v>
      </c>
      <c r="AB40" s="117">
        <f t="shared" si="35"/>
        <v>0</v>
      </c>
      <c r="AC40" s="118"/>
      <c r="AD40" s="119">
        <f t="shared" si="36"/>
        <v>0</v>
      </c>
      <c r="AE40" s="118"/>
      <c r="AF40" s="118"/>
      <c r="AG40" s="118"/>
      <c r="AH40" s="118"/>
      <c r="AI40" s="241"/>
      <c r="AJ40" s="118"/>
      <c r="AK40" s="291">
        <f t="shared" si="37"/>
        <v>0</v>
      </c>
      <c r="AL40" s="121">
        <f t="shared" si="38"/>
        <v>0</v>
      </c>
      <c r="AM40" s="122"/>
      <c r="AN40" s="123">
        <f t="shared" si="39"/>
        <v>0</v>
      </c>
      <c r="AO40" s="124">
        <f t="shared" si="40"/>
        <v>0</v>
      </c>
      <c r="AP40" s="124">
        <f t="shared" si="41"/>
        <v>0</v>
      </c>
      <c r="AQ40" s="124">
        <f t="shared" si="42"/>
        <v>0</v>
      </c>
      <c r="AR40" s="124">
        <f t="shared" si="43"/>
        <v>0</v>
      </c>
      <c r="AS40" s="124">
        <f t="array" ref="AS40">_xlfn.IFS(S40=0,AL40,S40&lt;0,AL40/-S40,S40&gt;0,AL40/S40)</f>
        <v>0</v>
      </c>
      <c r="AT40" s="119">
        <f t="shared" si="44"/>
        <v>0</v>
      </c>
      <c r="AU40" s="119">
        <f t="shared" si="45"/>
        <v>0</v>
      </c>
      <c r="AV40" s="125"/>
      <c r="AW40" s="120">
        <f t="shared" si="46"/>
        <v>0</v>
      </c>
    </row>
    <row r="41" spans="1:49" hidden="1" outlineLevel="1">
      <c r="A41" s="114"/>
      <c r="B41" s="115"/>
      <c r="C41" s="115"/>
      <c r="D41" s="116"/>
      <c r="E41" s="117">
        <f t="shared" si="27"/>
        <v>0</v>
      </c>
      <c r="F41" s="117"/>
      <c r="G41" s="117"/>
      <c r="H41" s="117"/>
      <c r="I41" s="117"/>
      <c r="J41" s="117">
        <f t="shared" si="28"/>
        <v>0</v>
      </c>
      <c r="K41" s="114"/>
      <c r="L41" s="114"/>
      <c r="M41" s="114"/>
      <c r="N41" s="114"/>
      <c r="O41" s="117">
        <f t="shared" si="29"/>
        <v>0</v>
      </c>
      <c r="P41" s="117">
        <f t="shared" si="30"/>
        <v>0</v>
      </c>
      <c r="Q41" s="118"/>
      <c r="R41" s="118"/>
      <c r="S41" s="117">
        <f t="shared" si="31"/>
        <v>0</v>
      </c>
      <c r="T41" s="117"/>
      <c r="U41" s="117"/>
      <c r="V41" s="117">
        <f t="shared" si="32"/>
        <v>0</v>
      </c>
      <c r="W41" s="118"/>
      <c r="X41" s="118"/>
      <c r="Y41" s="117">
        <f t="shared" si="33"/>
        <v>0</v>
      </c>
      <c r="Z41" s="117">
        <f t="shared" si="34"/>
        <v>0</v>
      </c>
      <c r="AA41" s="119">
        <f t="shared" si="47"/>
        <v>0</v>
      </c>
      <c r="AB41" s="117">
        <f t="shared" si="35"/>
        <v>0</v>
      </c>
      <c r="AC41" s="118"/>
      <c r="AD41" s="119">
        <f t="shared" si="36"/>
        <v>0</v>
      </c>
      <c r="AE41" s="118"/>
      <c r="AF41" s="118"/>
      <c r="AG41" s="118"/>
      <c r="AH41" s="118"/>
      <c r="AI41" s="241"/>
      <c r="AJ41" s="118"/>
      <c r="AK41" s="291">
        <f t="shared" si="37"/>
        <v>0</v>
      </c>
      <c r="AL41" s="121">
        <f t="shared" si="38"/>
        <v>0</v>
      </c>
      <c r="AM41" s="122"/>
      <c r="AN41" s="123">
        <f t="shared" si="39"/>
        <v>0</v>
      </c>
      <c r="AO41" s="124">
        <f t="shared" si="40"/>
        <v>0</v>
      </c>
      <c r="AP41" s="124">
        <f t="shared" si="41"/>
        <v>0</v>
      </c>
      <c r="AQ41" s="124">
        <f t="shared" si="42"/>
        <v>0</v>
      </c>
      <c r="AR41" s="124">
        <f t="shared" si="43"/>
        <v>0</v>
      </c>
      <c r="AS41" s="124">
        <f t="array" ref="AS41">_xlfn.IFS(S41=0,AL41,S41&lt;0,AL41/-S41,S41&gt;0,AL41/S41)</f>
        <v>0</v>
      </c>
      <c r="AT41" s="119">
        <f t="shared" si="44"/>
        <v>0</v>
      </c>
      <c r="AU41" s="119">
        <f t="shared" si="45"/>
        <v>0</v>
      </c>
      <c r="AV41" s="125"/>
      <c r="AW41" s="120">
        <f t="shared" si="46"/>
        <v>0</v>
      </c>
    </row>
    <row r="42" spans="1:49" hidden="1" outlineLevel="1">
      <c r="A42" s="114"/>
      <c r="B42" s="115"/>
      <c r="C42" s="115"/>
      <c r="D42" s="116"/>
      <c r="E42" s="117">
        <f t="shared" si="27"/>
        <v>0</v>
      </c>
      <c r="F42" s="117"/>
      <c r="G42" s="117"/>
      <c r="H42" s="117"/>
      <c r="I42" s="117"/>
      <c r="J42" s="117">
        <f t="shared" si="28"/>
        <v>0</v>
      </c>
      <c r="K42" s="114"/>
      <c r="L42" s="114"/>
      <c r="M42" s="114"/>
      <c r="N42" s="114"/>
      <c r="O42" s="117">
        <f t="shared" si="29"/>
        <v>0</v>
      </c>
      <c r="P42" s="117">
        <f t="shared" si="30"/>
        <v>0</v>
      </c>
      <c r="Q42" s="118"/>
      <c r="R42" s="118"/>
      <c r="S42" s="117">
        <f t="shared" si="31"/>
        <v>0</v>
      </c>
      <c r="T42" s="117"/>
      <c r="U42" s="117"/>
      <c r="V42" s="117">
        <f t="shared" si="32"/>
        <v>0</v>
      </c>
      <c r="W42" s="118"/>
      <c r="X42" s="118"/>
      <c r="Y42" s="117">
        <f t="shared" si="33"/>
        <v>0</v>
      </c>
      <c r="Z42" s="117">
        <f t="shared" si="34"/>
        <v>0</v>
      </c>
      <c r="AA42" s="119">
        <f t="shared" si="47"/>
        <v>0</v>
      </c>
      <c r="AB42" s="117">
        <f t="shared" si="35"/>
        <v>0</v>
      </c>
      <c r="AC42" s="118"/>
      <c r="AD42" s="119">
        <f t="shared" si="36"/>
        <v>0</v>
      </c>
      <c r="AE42" s="118"/>
      <c r="AF42" s="118"/>
      <c r="AG42" s="118"/>
      <c r="AH42" s="118"/>
      <c r="AI42" s="241"/>
      <c r="AJ42" s="118"/>
      <c r="AK42" s="291">
        <f t="shared" si="37"/>
        <v>0</v>
      </c>
      <c r="AL42" s="121">
        <f t="shared" si="38"/>
        <v>0</v>
      </c>
      <c r="AM42" s="122"/>
      <c r="AN42" s="123">
        <f t="shared" si="39"/>
        <v>0</v>
      </c>
      <c r="AO42" s="124">
        <f t="shared" si="40"/>
        <v>0</v>
      </c>
      <c r="AP42" s="124">
        <f t="shared" si="41"/>
        <v>0</v>
      </c>
      <c r="AQ42" s="124">
        <f t="shared" si="42"/>
        <v>0</v>
      </c>
      <c r="AR42" s="124">
        <f t="shared" si="43"/>
        <v>0</v>
      </c>
      <c r="AS42" s="124">
        <f t="array" ref="AS42">_xlfn.IFS(S42=0,AL42,S42&lt;0,AL42/-S42,S42&gt;0,AL42/S42)</f>
        <v>0</v>
      </c>
      <c r="AT42" s="119">
        <f t="shared" si="44"/>
        <v>0</v>
      </c>
      <c r="AU42" s="119">
        <f t="shared" si="45"/>
        <v>0</v>
      </c>
      <c r="AV42" s="125"/>
      <c r="AW42" s="120">
        <f t="shared" si="46"/>
        <v>0</v>
      </c>
    </row>
    <row r="43" spans="1:49" hidden="1" outlineLevel="1">
      <c r="A43" s="114"/>
      <c r="B43" s="115"/>
      <c r="C43" s="115"/>
      <c r="D43" s="116"/>
      <c r="E43" s="117">
        <f t="shared" si="27"/>
        <v>0</v>
      </c>
      <c r="F43" s="117"/>
      <c r="G43" s="117"/>
      <c r="H43" s="117"/>
      <c r="I43" s="117"/>
      <c r="J43" s="117">
        <f t="shared" si="28"/>
        <v>0</v>
      </c>
      <c r="K43" s="114"/>
      <c r="L43" s="114"/>
      <c r="M43" s="114"/>
      <c r="N43" s="114"/>
      <c r="O43" s="117">
        <f t="shared" si="29"/>
        <v>0</v>
      </c>
      <c r="P43" s="117">
        <f t="shared" si="30"/>
        <v>0</v>
      </c>
      <c r="Q43" s="118"/>
      <c r="R43" s="118"/>
      <c r="S43" s="117">
        <f t="shared" si="31"/>
        <v>0</v>
      </c>
      <c r="T43" s="117"/>
      <c r="U43" s="117"/>
      <c r="V43" s="117">
        <f t="shared" si="32"/>
        <v>0</v>
      </c>
      <c r="W43" s="118"/>
      <c r="X43" s="118"/>
      <c r="Y43" s="117">
        <f t="shared" si="33"/>
        <v>0</v>
      </c>
      <c r="Z43" s="117">
        <f t="shared" si="34"/>
        <v>0</v>
      </c>
      <c r="AA43" s="119">
        <f t="shared" si="47"/>
        <v>0</v>
      </c>
      <c r="AB43" s="117">
        <f t="shared" si="35"/>
        <v>0</v>
      </c>
      <c r="AC43" s="118"/>
      <c r="AD43" s="119">
        <f t="shared" si="36"/>
        <v>0</v>
      </c>
      <c r="AE43" s="118"/>
      <c r="AF43" s="118"/>
      <c r="AG43" s="118"/>
      <c r="AH43" s="118"/>
      <c r="AI43" s="241"/>
      <c r="AJ43" s="118"/>
      <c r="AK43" s="291">
        <f t="shared" si="37"/>
        <v>0</v>
      </c>
      <c r="AL43" s="121">
        <f t="shared" si="38"/>
        <v>0</v>
      </c>
      <c r="AM43" s="122"/>
      <c r="AN43" s="123">
        <f t="shared" si="39"/>
        <v>0</v>
      </c>
      <c r="AO43" s="124">
        <f t="shared" si="40"/>
        <v>0</v>
      </c>
      <c r="AP43" s="124">
        <f t="shared" si="41"/>
        <v>0</v>
      </c>
      <c r="AQ43" s="124">
        <f t="shared" si="42"/>
        <v>0</v>
      </c>
      <c r="AR43" s="124">
        <f t="shared" si="43"/>
        <v>0</v>
      </c>
      <c r="AS43" s="124">
        <f t="array" ref="AS43">_xlfn.IFS(S43=0,AL43,S43&lt;0,AL43/-S43,S43&gt;0,AL43/S43)</f>
        <v>0</v>
      </c>
      <c r="AT43" s="119">
        <f t="shared" si="44"/>
        <v>0</v>
      </c>
      <c r="AU43" s="119">
        <f t="shared" si="45"/>
        <v>0</v>
      </c>
      <c r="AV43" s="125"/>
      <c r="AW43" s="120">
        <f t="shared" si="46"/>
        <v>0</v>
      </c>
    </row>
    <row r="44" spans="1:49" hidden="1" outlineLevel="1">
      <c r="A44" s="114"/>
      <c r="B44" s="115"/>
      <c r="C44" s="115"/>
      <c r="D44" s="149"/>
      <c r="E44" s="118">
        <f t="shared" si="27"/>
        <v>0</v>
      </c>
      <c r="F44" s="117"/>
      <c r="G44" s="117"/>
      <c r="H44" s="117"/>
      <c r="I44" s="117"/>
      <c r="J44" s="117">
        <f t="shared" si="28"/>
        <v>0</v>
      </c>
      <c r="K44" s="114"/>
      <c r="L44" s="114"/>
      <c r="M44" s="114"/>
      <c r="N44" s="114"/>
      <c r="O44" s="117">
        <f t="shared" si="29"/>
        <v>0</v>
      </c>
      <c r="P44" s="117">
        <f t="shared" si="30"/>
        <v>0</v>
      </c>
      <c r="Q44" s="118"/>
      <c r="R44" s="118"/>
      <c r="S44" s="117">
        <f t="shared" si="31"/>
        <v>0</v>
      </c>
      <c r="T44" s="117"/>
      <c r="U44" s="117"/>
      <c r="V44" s="117">
        <f t="shared" si="32"/>
        <v>0</v>
      </c>
      <c r="W44" s="118"/>
      <c r="X44" s="118"/>
      <c r="Y44" s="117">
        <f t="shared" si="33"/>
        <v>0</v>
      </c>
      <c r="Z44" s="117">
        <f t="shared" si="34"/>
        <v>0</v>
      </c>
      <c r="AA44" s="119">
        <f t="shared" si="47"/>
        <v>0</v>
      </c>
      <c r="AB44" s="117">
        <f t="shared" si="35"/>
        <v>0</v>
      </c>
      <c r="AC44" s="118"/>
      <c r="AD44" s="119">
        <f t="shared" si="36"/>
        <v>0</v>
      </c>
      <c r="AE44" s="118"/>
      <c r="AF44" s="118"/>
      <c r="AG44" s="118"/>
      <c r="AH44" s="118"/>
      <c r="AI44" s="241"/>
      <c r="AJ44" s="118"/>
      <c r="AK44" s="291">
        <f t="shared" si="37"/>
        <v>0</v>
      </c>
      <c r="AL44" s="121">
        <f t="shared" si="38"/>
        <v>0</v>
      </c>
      <c r="AM44" s="122"/>
      <c r="AN44" s="123">
        <f t="shared" si="39"/>
        <v>0</v>
      </c>
      <c r="AO44" s="124">
        <f t="shared" si="40"/>
        <v>0</v>
      </c>
      <c r="AP44" s="124">
        <f t="shared" si="41"/>
        <v>0</v>
      </c>
      <c r="AQ44" s="124">
        <f t="shared" si="42"/>
        <v>0</v>
      </c>
      <c r="AR44" s="124">
        <f t="shared" si="43"/>
        <v>0</v>
      </c>
      <c r="AS44" s="124">
        <f t="array" ref="AS44">_xlfn.IFS(S44=0,AL44,S44&lt;0,AL44/-S44,S44&gt;0,AL44/S44)</f>
        <v>0</v>
      </c>
      <c r="AT44" s="119">
        <f t="shared" si="44"/>
        <v>0</v>
      </c>
      <c r="AU44" s="119">
        <f t="shared" si="45"/>
        <v>0</v>
      </c>
      <c r="AV44" s="125"/>
      <c r="AW44" s="120">
        <f t="shared" si="46"/>
        <v>0</v>
      </c>
    </row>
    <row r="45" spans="1:49" hidden="1" outlineLevel="1">
      <c r="A45" s="114"/>
      <c r="B45" s="115"/>
      <c r="C45" s="115"/>
      <c r="D45" s="149"/>
      <c r="E45" s="118">
        <f t="shared" si="27"/>
        <v>0</v>
      </c>
      <c r="F45" s="117"/>
      <c r="G45" s="117"/>
      <c r="H45" s="117"/>
      <c r="I45" s="117"/>
      <c r="J45" s="117">
        <f t="shared" si="28"/>
        <v>0</v>
      </c>
      <c r="K45" s="114"/>
      <c r="L45" s="114"/>
      <c r="M45" s="114"/>
      <c r="N45" s="114"/>
      <c r="O45" s="117">
        <f t="shared" si="29"/>
        <v>0</v>
      </c>
      <c r="P45" s="117">
        <f t="shared" si="30"/>
        <v>0</v>
      </c>
      <c r="Q45" s="118"/>
      <c r="R45" s="118"/>
      <c r="S45" s="117">
        <f t="shared" si="31"/>
        <v>0</v>
      </c>
      <c r="T45" s="117"/>
      <c r="U45" s="117"/>
      <c r="V45" s="117">
        <f t="shared" si="32"/>
        <v>0</v>
      </c>
      <c r="W45" s="118"/>
      <c r="X45" s="118"/>
      <c r="Y45" s="117">
        <f t="shared" si="33"/>
        <v>0</v>
      </c>
      <c r="Z45" s="117">
        <f t="shared" si="34"/>
        <v>0</v>
      </c>
      <c r="AA45" s="119">
        <f t="shared" si="47"/>
        <v>0</v>
      </c>
      <c r="AB45" s="117">
        <f t="shared" si="35"/>
        <v>0</v>
      </c>
      <c r="AC45" s="118"/>
      <c r="AD45" s="119">
        <f t="shared" si="36"/>
        <v>0</v>
      </c>
      <c r="AE45" s="118"/>
      <c r="AF45" s="118"/>
      <c r="AG45" s="118"/>
      <c r="AH45" s="118"/>
      <c r="AI45" s="241"/>
      <c r="AJ45" s="118"/>
      <c r="AK45" s="291">
        <f t="shared" si="37"/>
        <v>0</v>
      </c>
      <c r="AL45" s="121">
        <f t="shared" si="38"/>
        <v>0</v>
      </c>
      <c r="AM45" s="122"/>
      <c r="AN45" s="123">
        <f t="shared" si="39"/>
        <v>0</v>
      </c>
      <c r="AO45" s="124">
        <f t="shared" si="40"/>
        <v>0</v>
      </c>
      <c r="AP45" s="124">
        <f t="shared" si="41"/>
        <v>0</v>
      </c>
      <c r="AQ45" s="124">
        <f t="shared" si="42"/>
        <v>0</v>
      </c>
      <c r="AR45" s="124">
        <f t="shared" si="43"/>
        <v>0</v>
      </c>
      <c r="AS45" s="124">
        <f t="array" ref="AS45">_xlfn.IFS(S45=0,AL45,S45&lt;0,AL45/-S45,S45&gt;0,AL45/S45)</f>
        <v>0</v>
      </c>
      <c r="AT45" s="119">
        <f t="shared" si="44"/>
        <v>0</v>
      </c>
      <c r="AU45" s="119">
        <f t="shared" si="45"/>
        <v>0</v>
      </c>
      <c r="AV45" s="125"/>
      <c r="AW45" s="120">
        <f t="shared" si="46"/>
        <v>0</v>
      </c>
    </row>
    <row r="46" spans="1:49" hidden="1" outlineLevel="1">
      <c r="A46" s="114"/>
      <c r="B46" s="115"/>
      <c r="C46" s="115"/>
      <c r="D46" s="149"/>
      <c r="E46" s="118">
        <f t="shared" si="27"/>
        <v>0</v>
      </c>
      <c r="F46" s="117"/>
      <c r="G46" s="117"/>
      <c r="H46" s="117"/>
      <c r="I46" s="117"/>
      <c r="J46" s="117">
        <f t="shared" si="28"/>
        <v>0</v>
      </c>
      <c r="K46" s="114"/>
      <c r="L46" s="114"/>
      <c r="M46" s="114"/>
      <c r="N46" s="114"/>
      <c r="O46" s="117">
        <f t="shared" si="29"/>
        <v>0</v>
      </c>
      <c r="P46" s="117">
        <f t="shared" si="30"/>
        <v>0</v>
      </c>
      <c r="Q46" s="118"/>
      <c r="R46" s="118"/>
      <c r="S46" s="117">
        <f t="shared" si="31"/>
        <v>0</v>
      </c>
      <c r="T46" s="117"/>
      <c r="U46" s="117"/>
      <c r="V46" s="117">
        <f t="shared" si="32"/>
        <v>0</v>
      </c>
      <c r="W46" s="118"/>
      <c r="X46" s="118"/>
      <c r="Y46" s="117">
        <f t="shared" si="33"/>
        <v>0</v>
      </c>
      <c r="Z46" s="117">
        <f t="shared" si="34"/>
        <v>0</v>
      </c>
      <c r="AA46" s="119">
        <f t="shared" si="47"/>
        <v>0</v>
      </c>
      <c r="AB46" s="117">
        <f t="shared" si="35"/>
        <v>0</v>
      </c>
      <c r="AC46" s="118"/>
      <c r="AD46" s="119">
        <f t="shared" si="36"/>
        <v>0</v>
      </c>
      <c r="AE46" s="118"/>
      <c r="AF46" s="118"/>
      <c r="AG46" s="118"/>
      <c r="AH46" s="118"/>
      <c r="AI46" s="241"/>
      <c r="AJ46" s="118"/>
      <c r="AK46" s="291">
        <f t="shared" si="37"/>
        <v>0</v>
      </c>
      <c r="AL46" s="121">
        <f t="shared" si="38"/>
        <v>0</v>
      </c>
      <c r="AM46" s="122"/>
      <c r="AN46" s="123">
        <f t="shared" si="39"/>
        <v>0</v>
      </c>
      <c r="AO46" s="124">
        <f t="shared" si="40"/>
        <v>0</v>
      </c>
      <c r="AP46" s="124">
        <f t="shared" si="41"/>
        <v>0</v>
      </c>
      <c r="AQ46" s="124">
        <f t="shared" si="42"/>
        <v>0</v>
      </c>
      <c r="AR46" s="124">
        <f t="shared" si="43"/>
        <v>0</v>
      </c>
      <c r="AS46" s="124">
        <f t="array" ref="AS46">_xlfn.IFS(S46=0,AL46,S46&lt;0,AL46/-S46,S46&gt;0,AL46/S46)</f>
        <v>0</v>
      </c>
      <c r="AT46" s="119">
        <f t="shared" si="44"/>
        <v>0</v>
      </c>
      <c r="AU46" s="119">
        <f t="shared" si="45"/>
        <v>0</v>
      </c>
      <c r="AV46" s="125"/>
      <c r="AW46" s="120">
        <f t="shared" si="46"/>
        <v>0</v>
      </c>
    </row>
    <row r="47" spans="1:49" hidden="1" outlineLevel="1">
      <c r="A47" s="114"/>
      <c r="B47" s="115"/>
      <c r="C47" s="115"/>
      <c r="D47" s="116"/>
      <c r="E47" s="117">
        <f t="shared" si="27"/>
        <v>0</v>
      </c>
      <c r="F47" s="117"/>
      <c r="G47" s="117"/>
      <c r="H47" s="117"/>
      <c r="I47" s="117"/>
      <c r="J47" s="117">
        <f t="shared" si="28"/>
        <v>0</v>
      </c>
      <c r="K47" s="114"/>
      <c r="L47" s="114"/>
      <c r="M47" s="114"/>
      <c r="N47" s="114"/>
      <c r="O47" s="117">
        <f t="shared" si="29"/>
        <v>0</v>
      </c>
      <c r="P47" s="117">
        <f t="shared" si="30"/>
        <v>0</v>
      </c>
      <c r="Q47" s="118"/>
      <c r="R47" s="118"/>
      <c r="S47" s="117">
        <f t="shared" si="31"/>
        <v>0</v>
      </c>
      <c r="T47" s="117"/>
      <c r="U47" s="117"/>
      <c r="V47" s="117">
        <f t="shared" si="32"/>
        <v>0</v>
      </c>
      <c r="W47" s="118"/>
      <c r="X47" s="118"/>
      <c r="Y47" s="117">
        <f t="shared" si="33"/>
        <v>0</v>
      </c>
      <c r="Z47" s="117">
        <f t="shared" si="34"/>
        <v>0</v>
      </c>
      <c r="AA47" s="119">
        <f t="shared" si="47"/>
        <v>0</v>
      </c>
      <c r="AB47" s="117">
        <f t="shared" si="35"/>
        <v>0</v>
      </c>
      <c r="AC47" s="118"/>
      <c r="AD47" s="119">
        <f t="shared" si="36"/>
        <v>0</v>
      </c>
      <c r="AE47" s="118"/>
      <c r="AF47" s="118"/>
      <c r="AG47" s="118"/>
      <c r="AH47" s="118"/>
      <c r="AI47" s="241"/>
      <c r="AJ47" s="118"/>
      <c r="AK47" s="291">
        <f t="shared" si="37"/>
        <v>0</v>
      </c>
      <c r="AL47" s="121">
        <f t="shared" si="38"/>
        <v>0</v>
      </c>
      <c r="AM47" s="122"/>
      <c r="AN47" s="123">
        <f t="shared" si="39"/>
        <v>0</v>
      </c>
      <c r="AO47" s="124">
        <f t="shared" si="40"/>
        <v>0</v>
      </c>
      <c r="AP47" s="124">
        <f t="shared" si="41"/>
        <v>0</v>
      </c>
      <c r="AQ47" s="124">
        <f t="shared" si="42"/>
        <v>0</v>
      </c>
      <c r="AR47" s="124">
        <f t="shared" si="43"/>
        <v>0</v>
      </c>
      <c r="AS47" s="124">
        <f t="array" ref="AS47">_xlfn.IFS(S47=0,AL47,S47&lt;0,AL47/-S47,S47&gt;0,AL47/S47)</f>
        <v>0</v>
      </c>
      <c r="AT47" s="119">
        <f t="shared" si="44"/>
        <v>0</v>
      </c>
      <c r="AU47" s="119">
        <f t="shared" si="45"/>
        <v>0</v>
      </c>
      <c r="AV47" s="125"/>
      <c r="AW47" s="120">
        <f t="shared" si="46"/>
        <v>0</v>
      </c>
    </row>
    <row r="48" spans="1:49" hidden="1" outlineLevel="1">
      <c r="A48" s="114"/>
      <c r="B48" s="115"/>
      <c r="C48" s="115"/>
      <c r="D48" s="116"/>
      <c r="E48" s="117">
        <f t="shared" si="27"/>
        <v>0</v>
      </c>
      <c r="F48" s="117"/>
      <c r="G48" s="117"/>
      <c r="H48" s="117"/>
      <c r="I48" s="117"/>
      <c r="J48" s="117">
        <f t="shared" si="28"/>
        <v>0</v>
      </c>
      <c r="K48" s="114"/>
      <c r="L48" s="114"/>
      <c r="M48" s="114"/>
      <c r="N48" s="114"/>
      <c r="O48" s="117">
        <f t="shared" si="29"/>
        <v>0</v>
      </c>
      <c r="P48" s="117">
        <f t="shared" si="30"/>
        <v>0</v>
      </c>
      <c r="Q48" s="118"/>
      <c r="R48" s="118"/>
      <c r="S48" s="117">
        <f t="shared" si="31"/>
        <v>0</v>
      </c>
      <c r="T48" s="117"/>
      <c r="U48" s="117"/>
      <c r="V48" s="117">
        <f t="shared" si="32"/>
        <v>0</v>
      </c>
      <c r="W48" s="118"/>
      <c r="X48" s="118"/>
      <c r="Y48" s="117">
        <f t="shared" si="33"/>
        <v>0</v>
      </c>
      <c r="Z48" s="117">
        <f t="shared" si="34"/>
        <v>0</v>
      </c>
      <c r="AA48" s="119">
        <f t="shared" si="47"/>
        <v>0</v>
      </c>
      <c r="AB48" s="117">
        <f t="shared" si="35"/>
        <v>0</v>
      </c>
      <c r="AC48" s="118"/>
      <c r="AD48" s="119">
        <f t="shared" si="36"/>
        <v>0</v>
      </c>
      <c r="AE48" s="118"/>
      <c r="AF48" s="118"/>
      <c r="AG48" s="118"/>
      <c r="AH48" s="118"/>
      <c r="AI48" s="241"/>
      <c r="AJ48" s="118"/>
      <c r="AK48" s="291">
        <f t="shared" si="37"/>
        <v>0</v>
      </c>
      <c r="AL48" s="121">
        <f t="shared" si="38"/>
        <v>0</v>
      </c>
      <c r="AM48" s="122"/>
      <c r="AN48" s="123">
        <f t="shared" si="39"/>
        <v>0</v>
      </c>
      <c r="AO48" s="124">
        <f t="shared" si="40"/>
        <v>0</v>
      </c>
      <c r="AP48" s="124">
        <f t="shared" si="41"/>
        <v>0</v>
      </c>
      <c r="AQ48" s="124">
        <f t="shared" si="42"/>
        <v>0</v>
      </c>
      <c r="AR48" s="124">
        <f t="shared" si="43"/>
        <v>0</v>
      </c>
      <c r="AS48" s="124">
        <f t="array" ref="AS48">_xlfn.IFS(S48=0,AL48,S48&lt;0,AL48/-S48,S48&gt;0,AL48/S48)</f>
        <v>0</v>
      </c>
      <c r="AT48" s="119">
        <f t="shared" si="44"/>
        <v>0</v>
      </c>
      <c r="AU48" s="119">
        <f t="shared" si="45"/>
        <v>0</v>
      </c>
      <c r="AV48" s="125"/>
      <c r="AW48" s="120">
        <f t="shared" si="46"/>
        <v>0</v>
      </c>
    </row>
    <row r="49" spans="1:49" hidden="1" outlineLevel="1">
      <c r="A49" s="114"/>
      <c r="B49" s="115"/>
      <c r="C49" s="115"/>
      <c r="D49" s="116"/>
      <c r="E49" s="117">
        <f t="shared" si="27"/>
        <v>0</v>
      </c>
      <c r="F49" s="117"/>
      <c r="G49" s="117"/>
      <c r="H49" s="117"/>
      <c r="I49" s="117"/>
      <c r="J49" s="117">
        <f t="shared" si="28"/>
        <v>0</v>
      </c>
      <c r="K49" s="114"/>
      <c r="L49" s="114"/>
      <c r="M49" s="114"/>
      <c r="N49" s="114"/>
      <c r="O49" s="117">
        <f t="shared" si="29"/>
        <v>0</v>
      </c>
      <c r="P49" s="117">
        <f t="shared" si="30"/>
        <v>0</v>
      </c>
      <c r="Q49" s="118"/>
      <c r="R49" s="118"/>
      <c r="S49" s="117">
        <f t="shared" si="31"/>
        <v>0</v>
      </c>
      <c r="T49" s="117"/>
      <c r="U49" s="117"/>
      <c r="V49" s="117">
        <f t="shared" si="32"/>
        <v>0</v>
      </c>
      <c r="W49" s="118"/>
      <c r="X49" s="118"/>
      <c r="Y49" s="117">
        <f t="shared" si="33"/>
        <v>0</v>
      </c>
      <c r="Z49" s="117">
        <f t="shared" si="34"/>
        <v>0</v>
      </c>
      <c r="AA49" s="119">
        <f t="shared" si="47"/>
        <v>0</v>
      </c>
      <c r="AB49" s="117">
        <f t="shared" si="35"/>
        <v>0</v>
      </c>
      <c r="AC49" s="118"/>
      <c r="AD49" s="119">
        <f t="shared" si="36"/>
        <v>0</v>
      </c>
      <c r="AE49" s="118"/>
      <c r="AF49" s="118"/>
      <c r="AG49" s="118"/>
      <c r="AH49" s="118"/>
      <c r="AI49" s="241"/>
      <c r="AJ49" s="118"/>
      <c r="AK49" s="291">
        <f t="shared" si="37"/>
        <v>0</v>
      </c>
      <c r="AL49" s="121">
        <f t="shared" si="38"/>
        <v>0</v>
      </c>
      <c r="AM49" s="122"/>
      <c r="AN49" s="123">
        <f t="shared" si="39"/>
        <v>0</v>
      </c>
      <c r="AO49" s="124">
        <f t="shared" si="40"/>
        <v>0</v>
      </c>
      <c r="AP49" s="124">
        <f t="shared" si="41"/>
        <v>0</v>
      </c>
      <c r="AQ49" s="124">
        <f t="shared" si="42"/>
        <v>0</v>
      </c>
      <c r="AR49" s="124">
        <f t="shared" si="43"/>
        <v>0</v>
      </c>
      <c r="AS49" s="124">
        <f t="array" ref="AS49">_xlfn.IFS(S49=0,AL49,S49&lt;0,AL49/-S49,S49&gt;0,AL49/S49)</f>
        <v>0</v>
      </c>
      <c r="AT49" s="119">
        <f t="shared" si="44"/>
        <v>0</v>
      </c>
      <c r="AU49" s="119">
        <f t="shared" si="45"/>
        <v>0</v>
      </c>
      <c r="AV49" s="125"/>
      <c r="AW49" s="120">
        <f t="shared" si="46"/>
        <v>0</v>
      </c>
    </row>
    <row r="50" spans="1:49" hidden="1" outlineLevel="1">
      <c r="A50" s="114"/>
      <c r="B50" s="115"/>
      <c r="C50" s="115"/>
      <c r="D50" s="116"/>
      <c r="E50" s="117">
        <f t="shared" si="27"/>
        <v>0</v>
      </c>
      <c r="F50" s="117"/>
      <c r="G50" s="117"/>
      <c r="H50" s="117"/>
      <c r="I50" s="117"/>
      <c r="J50" s="117">
        <f t="shared" si="28"/>
        <v>0</v>
      </c>
      <c r="K50" s="114"/>
      <c r="L50" s="114"/>
      <c r="M50" s="114"/>
      <c r="N50" s="114"/>
      <c r="O50" s="117">
        <f t="shared" si="29"/>
        <v>0</v>
      </c>
      <c r="P50" s="117">
        <f t="shared" si="30"/>
        <v>0</v>
      </c>
      <c r="Q50" s="118"/>
      <c r="R50" s="118"/>
      <c r="S50" s="117">
        <f t="shared" si="31"/>
        <v>0</v>
      </c>
      <c r="T50" s="117"/>
      <c r="U50" s="117"/>
      <c r="V50" s="117">
        <f t="shared" si="32"/>
        <v>0</v>
      </c>
      <c r="W50" s="118"/>
      <c r="X50" s="118"/>
      <c r="Y50" s="117">
        <f t="shared" si="33"/>
        <v>0</v>
      </c>
      <c r="Z50" s="117">
        <f t="shared" si="34"/>
        <v>0</v>
      </c>
      <c r="AA50" s="119">
        <f t="shared" si="47"/>
        <v>0</v>
      </c>
      <c r="AB50" s="117">
        <f t="shared" si="35"/>
        <v>0</v>
      </c>
      <c r="AC50" s="118"/>
      <c r="AD50" s="119">
        <f t="shared" si="36"/>
        <v>0</v>
      </c>
      <c r="AE50" s="118"/>
      <c r="AF50" s="118"/>
      <c r="AG50" s="118"/>
      <c r="AH50" s="118"/>
      <c r="AI50" s="241"/>
      <c r="AJ50" s="118"/>
      <c r="AK50" s="291">
        <f t="shared" si="37"/>
        <v>0</v>
      </c>
      <c r="AL50" s="121">
        <f t="shared" si="38"/>
        <v>0</v>
      </c>
      <c r="AM50" s="122"/>
      <c r="AN50" s="123">
        <f t="shared" si="39"/>
        <v>0</v>
      </c>
      <c r="AO50" s="124">
        <f t="shared" si="40"/>
        <v>0</v>
      </c>
      <c r="AP50" s="124">
        <f t="shared" si="41"/>
        <v>0</v>
      </c>
      <c r="AQ50" s="124">
        <f t="shared" si="42"/>
        <v>0</v>
      </c>
      <c r="AR50" s="124">
        <f t="shared" si="43"/>
        <v>0</v>
      </c>
      <c r="AS50" s="124">
        <f t="array" ref="AS50">_xlfn.IFS(S50=0,AL50,S50&lt;0,AL50/-S50,S50&gt;0,AL50/S50)</f>
        <v>0</v>
      </c>
      <c r="AT50" s="119">
        <f t="shared" si="44"/>
        <v>0</v>
      </c>
      <c r="AU50" s="119">
        <f t="shared" si="45"/>
        <v>0</v>
      </c>
      <c r="AV50" s="125"/>
      <c r="AW50" s="120">
        <f t="shared" si="46"/>
        <v>0</v>
      </c>
    </row>
    <row r="51" spans="1:49" hidden="1" outlineLevel="1">
      <c r="A51" s="114"/>
      <c r="B51" s="115"/>
      <c r="C51" s="115"/>
      <c r="D51" s="116"/>
      <c r="E51" s="117">
        <f t="shared" ref="E51:E70" si="48">SUM(F51:H51)</f>
        <v>0</v>
      </c>
      <c r="F51" s="117"/>
      <c r="G51" s="117"/>
      <c r="H51" s="117"/>
      <c r="I51" s="117"/>
      <c r="J51" s="117">
        <f t="shared" si="28"/>
        <v>0</v>
      </c>
      <c r="K51" s="114"/>
      <c r="L51" s="114"/>
      <c r="M51" s="114"/>
      <c r="N51" s="114"/>
      <c r="O51" s="117">
        <f t="shared" si="29"/>
        <v>0</v>
      </c>
      <c r="P51" s="117">
        <f t="shared" si="30"/>
        <v>0</v>
      </c>
      <c r="Q51" s="118"/>
      <c r="R51" s="118"/>
      <c r="S51" s="117">
        <f t="shared" si="31"/>
        <v>0</v>
      </c>
      <c r="T51" s="117"/>
      <c r="U51" s="117"/>
      <c r="V51" s="117">
        <f t="shared" si="32"/>
        <v>0</v>
      </c>
      <c r="W51" s="118"/>
      <c r="X51" s="118"/>
      <c r="Y51" s="117">
        <f t="shared" si="33"/>
        <v>0</v>
      </c>
      <c r="Z51" s="117">
        <f t="shared" si="34"/>
        <v>0</v>
      </c>
      <c r="AA51" s="119">
        <f t="shared" si="47"/>
        <v>0</v>
      </c>
      <c r="AB51" s="117">
        <f t="shared" si="35"/>
        <v>0</v>
      </c>
      <c r="AC51" s="118"/>
      <c r="AD51" s="119">
        <f t="shared" si="36"/>
        <v>0</v>
      </c>
      <c r="AE51" s="118"/>
      <c r="AF51" s="118"/>
      <c r="AG51" s="118"/>
      <c r="AH51" s="118"/>
      <c r="AI51" s="241"/>
      <c r="AJ51" s="118"/>
      <c r="AK51" s="291">
        <f t="shared" si="37"/>
        <v>0</v>
      </c>
      <c r="AL51" s="121">
        <f t="shared" si="38"/>
        <v>0</v>
      </c>
      <c r="AM51" s="122"/>
      <c r="AN51" s="123">
        <f t="shared" si="39"/>
        <v>0</v>
      </c>
      <c r="AO51" s="124">
        <f t="shared" si="40"/>
        <v>0</v>
      </c>
      <c r="AP51" s="124">
        <f t="shared" si="41"/>
        <v>0</v>
      </c>
      <c r="AQ51" s="124">
        <f t="shared" si="42"/>
        <v>0</v>
      </c>
      <c r="AR51" s="124">
        <f t="shared" si="43"/>
        <v>0</v>
      </c>
      <c r="AS51" s="124">
        <f t="array" ref="AS51">_xlfn.IFS(S51=0,AL51,S51&lt;0,AL51/-S51,S51&gt;0,AL51/S51)</f>
        <v>0</v>
      </c>
      <c r="AT51" s="119">
        <f t="shared" si="44"/>
        <v>0</v>
      </c>
      <c r="AU51" s="119">
        <f t="shared" si="45"/>
        <v>0</v>
      </c>
      <c r="AV51" s="125"/>
      <c r="AW51" s="120">
        <f t="shared" si="46"/>
        <v>0</v>
      </c>
    </row>
    <row r="52" spans="1:49" hidden="1" outlineLevel="1">
      <c r="A52" s="114"/>
      <c r="B52" s="115"/>
      <c r="C52" s="115"/>
      <c r="D52" s="116"/>
      <c r="E52" s="117">
        <f t="shared" si="48"/>
        <v>0</v>
      </c>
      <c r="F52" s="117"/>
      <c r="G52" s="117"/>
      <c r="H52" s="117"/>
      <c r="I52" s="117"/>
      <c r="J52" s="117">
        <f t="shared" si="28"/>
        <v>0</v>
      </c>
      <c r="K52" s="114"/>
      <c r="L52" s="114"/>
      <c r="M52" s="114"/>
      <c r="N52" s="114"/>
      <c r="O52" s="117">
        <f t="shared" si="29"/>
        <v>0</v>
      </c>
      <c r="P52" s="117">
        <f t="shared" si="30"/>
        <v>0</v>
      </c>
      <c r="Q52" s="118"/>
      <c r="R52" s="118"/>
      <c r="S52" s="117">
        <f t="shared" si="31"/>
        <v>0</v>
      </c>
      <c r="T52" s="117"/>
      <c r="U52" s="117"/>
      <c r="V52" s="117">
        <f t="shared" si="32"/>
        <v>0</v>
      </c>
      <c r="W52" s="118"/>
      <c r="X52" s="118"/>
      <c r="Y52" s="117">
        <f t="shared" si="33"/>
        <v>0</v>
      </c>
      <c r="Z52" s="117">
        <f t="shared" si="34"/>
        <v>0</v>
      </c>
      <c r="AA52" s="119">
        <f t="shared" si="47"/>
        <v>0</v>
      </c>
      <c r="AB52" s="117">
        <f t="shared" si="35"/>
        <v>0</v>
      </c>
      <c r="AC52" s="118"/>
      <c r="AD52" s="119">
        <f t="shared" si="36"/>
        <v>0</v>
      </c>
      <c r="AE52" s="118"/>
      <c r="AF52" s="118"/>
      <c r="AG52" s="118"/>
      <c r="AH52" s="118"/>
      <c r="AI52" s="241"/>
      <c r="AJ52" s="118"/>
      <c r="AK52" s="291">
        <f t="shared" si="37"/>
        <v>0</v>
      </c>
      <c r="AL52" s="121">
        <f t="shared" si="38"/>
        <v>0</v>
      </c>
      <c r="AM52" s="122"/>
      <c r="AN52" s="123">
        <f t="shared" si="39"/>
        <v>0</v>
      </c>
      <c r="AO52" s="124">
        <f t="shared" si="40"/>
        <v>0</v>
      </c>
      <c r="AP52" s="124">
        <f t="shared" si="41"/>
        <v>0</v>
      </c>
      <c r="AQ52" s="124">
        <f t="shared" si="42"/>
        <v>0</v>
      </c>
      <c r="AR52" s="124">
        <f t="shared" si="43"/>
        <v>0</v>
      </c>
      <c r="AS52" s="124">
        <f t="array" ref="AS52">_xlfn.IFS(S52=0,AL52,S52&lt;0,AL52/-S52,S52&gt;0,AL52/S52)</f>
        <v>0</v>
      </c>
      <c r="AT52" s="119">
        <f t="shared" si="44"/>
        <v>0</v>
      </c>
      <c r="AU52" s="119">
        <f t="shared" si="45"/>
        <v>0</v>
      </c>
      <c r="AV52" s="125"/>
      <c r="AW52" s="120">
        <f t="shared" si="46"/>
        <v>0</v>
      </c>
    </row>
    <row r="53" spans="1:49" hidden="1" outlineLevel="1">
      <c r="A53" s="114"/>
      <c r="B53" s="115"/>
      <c r="C53" s="115"/>
      <c r="D53" s="116"/>
      <c r="E53" s="117">
        <f t="shared" si="48"/>
        <v>0</v>
      </c>
      <c r="F53" s="117"/>
      <c r="G53" s="117"/>
      <c r="H53" s="117"/>
      <c r="I53" s="117"/>
      <c r="J53" s="117">
        <f t="shared" si="28"/>
        <v>0</v>
      </c>
      <c r="K53" s="114"/>
      <c r="L53" s="114"/>
      <c r="M53" s="114"/>
      <c r="N53" s="114"/>
      <c r="O53" s="117">
        <f t="shared" si="29"/>
        <v>0</v>
      </c>
      <c r="P53" s="117">
        <f t="shared" si="30"/>
        <v>0</v>
      </c>
      <c r="Q53" s="118"/>
      <c r="R53" s="118"/>
      <c r="S53" s="117">
        <f t="shared" si="31"/>
        <v>0</v>
      </c>
      <c r="T53" s="117"/>
      <c r="U53" s="117"/>
      <c r="V53" s="117">
        <f t="shared" si="32"/>
        <v>0</v>
      </c>
      <c r="W53" s="118"/>
      <c r="X53" s="118"/>
      <c r="Y53" s="117">
        <f t="shared" si="33"/>
        <v>0</v>
      </c>
      <c r="Z53" s="117">
        <f t="shared" si="34"/>
        <v>0</v>
      </c>
      <c r="AA53" s="119">
        <f t="shared" si="47"/>
        <v>0</v>
      </c>
      <c r="AB53" s="117">
        <f t="shared" si="35"/>
        <v>0</v>
      </c>
      <c r="AC53" s="118"/>
      <c r="AD53" s="119">
        <f t="shared" si="36"/>
        <v>0</v>
      </c>
      <c r="AE53" s="118"/>
      <c r="AF53" s="118"/>
      <c r="AG53" s="118"/>
      <c r="AH53" s="118"/>
      <c r="AI53" s="241"/>
      <c r="AJ53" s="118"/>
      <c r="AK53" s="291">
        <f t="shared" si="37"/>
        <v>0</v>
      </c>
      <c r="AL53" s="121">
        <f t="shared" si="38"/>
        <v>0</v>
      </c>
      <c r="AM53" s="122"/>
      <c r="AN53" s="123">
        <f t="shared" si="39"/>
        <v>0</v>
      </c>
      <c r="AO53" s="124">
        <f t="shared" si="40"/>
        <v>0</v>
      </c>
      <c r="AP53" s="124">
        <f t="shared" si="41"/>
        <v>0</v>
      </c>
      <c r="AQ53" s="124">
        <f t="shared" si="42"/>
        <v>0</v>
      </c>
      <c r="AR53" s="124">
        <f t="shared" si="43"/>
        <v>0</v>
      </c>
      <c r="AS53" s="124">
        <f t="array" ref="AS53">_xlfn.IFS(S53=0,AL53,S53&lt;0,AL53/-S53,S53&gt;0,AL53/S53)</f>
        <v>0</v>
      </c>
      <c r="AT53" s="119">
        <f t="shared" si="44"/>
        <v>0</v>
      </c>
      <c r="AU53" s="119">
        <f t="shared" si="45"/>
        <v>0</v>
      </c>
      <c r="AV53" s="125"/>
      <c r="AW53" s="120">
        <f t="shared" si="46"/>
        <v>0</v>
      </c>
    </row>
    <row r="54" spans="1:49" hidden="1" outlineLevel="1">
      <c r="A54" s="114"/>
      <c r="B54" s="115"/>
      <c r="C54" s="115"/>
      <c r="D54" s="116"/>
      <c r="E54" s="117">
        <f t="shared" si="48"/>
        <v>0</v>
      </c>
      <c r="F54" s="117"/>
      <c r="G54" s="117"/>
      <c r="H54" s="117"/>
      <c r="I54" s="117"/>
      <c r="J54" s="117">
        <f t="shared" si="28"/>
        <v>0</v>
      </c>
      <c r="K54" s="114"/>
      <c r="L54" s="114"/>
      <c r="M54" s="114"/>
      <c r="N54" s="114"/>
      <c r="O54" s="117">
        <f t="shared" si="29"/>
        <v>0</v>
      </c>
      <c r="P54" s="117">
        <f t="shared" si="30"/>
        <v>0</v>
      </c>
      <c r="Q54" s="118"/>
      <c r="R54" s="118"/>
      <c r="S54" s="117">
        <f t="shared" si="31"/>
        <v>0</v>
      </c>
      <c r="T54" s="117"/>
      <c r="U54" s="117"/>
      <c r="V54" s="117">
        <f t="shared" si="32"/>
        <v>0</v>
      </c>
      <c r="W54" s="118"/>
      <c r="X54" s="118"/>
      <c r="Y54" s="117">
        <f t="shared" si="33"/>
        <v>0</v>
      </c>
      <c r="Z54" s="117">
        <f t="shared" si="34"/>
        <v>0</v>
      </c>
      <c r="AA54" s="119">
        <f t="shared" si="47"/>
        <v>0</v>
      </c>
      <c r="AB54" s="117">
        <f t="shared" si="35"/>
        <v>0</v>
      </c>
      <c r="AC54" s="118"/>
      <c r="AD54" s="119">
        <f t="shared" si="36"/>
        <v>0</v>
      </c>
      <c r="AE54" s="118"/>
      <c r="AF54" s="118"/>
      <c r="AG54" s="118"/>
      <c r="AH54" s="118"/>
      <c r="AI54" s="241"/>
      <c r="AJ54" s="118"/>
      <c r="AK54" s="291">
        <f t="shared" si="37"/>
        <v>0</v>
      </c>
      <c r="AL54" s="121">
        <f t="shared" si="38"/>
        <v>0</v>
      </c>
      <c r="AM54" s="122"/>
      <c r="AN54" s="123">
        <f t="shared" si="39"/>
        <v>0</v>
      </c>
      <c r="AO54" s="124">
        <f t="shared" si="40"/>
        <v>0</v>
      </c>
      <c r="AP54" s="124">
        <f t="shared" si="41"/>
        <v>0</v>
      </c>
      <c r="AQ54" s="124">
        <f t="shared" si="42"/>
        <v>0</v>
      </c>
      <c r="AR54" s="124">
        <f t="shared" si="43"/>
        <v>0</v>
      </c>
      <c r="AS54" s="124">
        <f t="array" ref="AS54">_xlfn.IFS(S54=0,AL54,S54&lt;0,AL54/-S54,S54&gt;0,AL54/S54)</f>
        <v>0</v>
      </c>
      <c r="AT54" s="119">
        <f t="shared" si="44"/>
        <v>0</v>
      </c>
      <c r="AU54" s="119">
        <f t="shared" si="45"/>
        <v>0</v>
      </c>
      <c r="AV54" s="125"/>
      <c r="AW54" s="120">
        <f t="shared" si="46"/>
        <v>0</v>
      </c>
    </row>
    <row r="55" spans="1:49" hidden="1" outlineLevel="1">
      <c r="A55" s="114"/>
      <c r="B55" s="115"/>
      <c r="C55" s="115"/>
      <c r="D55" s="116"/>
      <c r="E55" s="117">
        <f t="shared" si="48"/>
        <v>0</v>
      </c>
      <c r="F55" s="117"/>
      <c r="G55" s="117"/>
      <c r="H55" s="117"/>
      <c r="I55" s="117"/>
      <c r="J55" s="117">
        <f t="shared" si="28"/>
        <v>0</v>
      </c>
      <c r="K55" s="114"/>
      <c r="L55" s="114"/>
      <c r="M55" s="114"/>
      <c r="N55" s="114"/>
      <c r="O55" s="117">
        <f t="shared" si="29"/>
        <v>0</v>
      </c>
      <c r="P55" s="117">
        <f t="shared" si="30"/>
        <v>0</v>
      </c>
      <c r="Q55" s="118"/>
      <c r="R55" s="118"/>
      <c r="S55" s="117">
        <f t="shared" si="31"/>
        <v>0</v>
      </c>
      <c r="T55" s="117"/>
      <c r="U55" s="117"/>
      <c r="V55" s="117">
        <f t="shared" si="32"/>
        <v>0</v>
      </c>
      <c r="W55" s="118"/>
      <c r="X55" s="118"/>
      <c r="Y55" s="117">
        <f t="shared" si="33"/>
        <v>0</v>
      </c>
      <c r="Z55" s="117">
        <f t="shared" si="34"/>
        <v>0</v>
      </c>
      <c r="AA55" s="119">
        <f t="shared" si="47"/>
        <v>0</v>
      </c>
      <c r="AB55" s="117">
        <f t="shared" si="35"/>
        <v>0</v>
      </c>
      <c r="AC55" s="118"/>
      <c r="AD55" s="119">
        <f t="shared" si="36"/>
        <v>0</v>
      </c>
      <c r="AE55" s="118"/>
      <c r="AF55" s="118"/>
      <c r="AG55" s="118"/>
      <c r="AH55" s="118"/>
      <c r="AI55" s="241"/>
      <c r="AJ55" s="118"/>
      <c r="AK55" s="291">
        <f t="shared" si="37"/>
        <v>0</v>
      </c>
      <c r="AL55" s="121">
        <f t="shared" si="38"/>
        <v>0</v>
      </c>
      <c r="AM55" s="122"/>
      <c r="AN55" s="123">
        <f t="shared" si="39"/>
        <v>0</v>
      </c>
      <c r="AO55" s="124">
        <f t="shared" si="40"/>
        <v>0</v>
      </c>
      <c r="AP55" s="124">
        <f t="shared" si="41"/>
        <v>0</v>
      </c>
      <c r="AQ55" s="124">
        <f t="shared" si="42"/>
        <v>0</v>
      </c>
      <c r="AR55" s="124">
        <f t="shared" si="43"/>
        <v>0</v>
      </c>
      <c r="AS55" s="124">
        <f t="array" ref="AS55">_xlfn.IFS(S55=0,AL55,S55&lt;0,AL55/-S55,S55&gt;0,AL55/S55)</f>
        <v>0</v>
      </c>
      <c r="AT55" s="119">
        <f t="shared" si="44"/>
        <v>0</v>
      </c>
      <c r="AU55" s="119">
        <f t="shared" si="45"/>
        <v>0</v>
      </c>
      <c r="AV55" s="125"/>
      <c r="AW55" s="120">
        <f t="shared" si="46"/>
        <v>0</v>
      </c>
    </row>
    <row r="56" spans="1:49" hidden="1" outlineLevel="1">
      <c r="A56" s="114"/>
      <c r="B56" s="115"/>
      <c r="C56" s="115"/>
      <c r="D56" s="116"/>
      <c r="E56" s="117">
        <f t="shared" si="48"/>
        <v>0</v>
      </c>
      <c r="F56" s="117"/>
      <c r="G56" s="117"/>
      <c r="H56" s="117"/>
      <c r="I56" s="117"/>
      <c r="J56" s="117">
        <f t="shared" si="28"/>
        <v>0</v>
      </c>
      <c r="K56" s="114"/>
      <c r="L56" s="114"/>
      <c r="M56" s="114"/>
      <c r="N56" s="114"/>
      <c r="O56" s="117">
        <f t="shared" si="29"/>
        <v>0</v>
      </c>
      <c r="P56" s="117">
        <f t="shared" si="30"/>
        <v>0</v>
      </c>
      <c r="Q56" s="118"/>
      <c r="R56" s="118"/>
      <c r="S56" s="117">
        <f t="shared" si="31"/>
        <v>0</v>
      </c>
      <c r="T56" s="117"/>
      <c r="U56" s="117"/>
      <c r="V56" s="117">
        <f t="shared" si="32"/>
        <v>0</v>
      </c>
      <c r="W56" s="118"/>
      <c r="X56" s="118"/>
      <c r="Y56" s="117">
        <f t="shared" si="33"/>
        <v>0</v>
      </c>
      <c r="Z56" s="117">
        <f t="shared" si="34"/>
        <v>0</v>
      </c>
      <c r="AA56" s="119">
        <f t="shared" si="47"/>
        <v>0</v>
      </c>
      <c r="AB56" s="117">
        <f t="shared" si="35"/>
        <v>0</v>
      </c>
      <c r="AC56" s="118"/>
      <c r="AD56" s="119">
        <f t="shared" si="36"/>
        <v>0</v>
      </c>
      <c r="AE56" s="118"/>
      <c r="AF56" s="118"/>
      <c r="AG56" s="118"/>
      <c r="AH56" s="118"/>
      <c r="AI56" s="241"/>
      <c r="AJ56" s="118"/>
      <c r="AK56" s="291">
        <f t="shared" si="37"/>
        <v>0</v>
      </c>
      <c r="AL56" s="121">
        <f t="shared" si="38"/>
        <v>0</v>
      </c>
      <c r="AM56" s="122"/>
      <c r="AN56" s="123">
        <f t="shared" si="39"/>
        <v>0</v>
      </c>
      <c r="AO56" s="124">
        <f t="shared" si="40"/>
        <v>0</v>
      </c>
      <c r="AP56" s="124">
        <f t="shared" si="41"/>
        <v>0</v>
      </c>
      <c r="AQ56" s="124">
        <f t="shared" si="42"/>
        <v>0</v>
      </c>
      <c r="AR56" s="124">
        <f t="shared" si="43"/>
        <v>0</v>
      </c>
      <c r="AS56" s="124">
        <f t="array" ref="AS56">_xlfn.IFS(S56=0,AL56,S56&lt;0,AL56/-S56,S56&gt;0,AL56/S56)</f>
        <v>0</v>
      </c>
      <c r="AT56" s="119">
        <f t="shared" si="44"/>
        <v>0</v>
      </c>
      <c r="AU56" s="119">
        <f t="shared" si="45"/>
        <v>0</v>
      </c>
      <c r="AV56" s="125"/>
      <c r="AW56" s="120">
        <f t="shared" si="46"/>
        <v>0</v>
      </c>
    </row>
    <row r="57" spans="1:49" hidden="1" outlineLevel="1">
      <c r="A57" s="114"/>
      <c r="B57" s="115"/>
      <c r="C57" s="115"/>
      <c r="D57" s="116"/>
      <c r="E57" s="117">
        <f t="shared" si="48"/>
        <v>0</v>
      </c>
      <c r="F57" s="117"/>
      <c r="G57" s="117"/>
      <c r="H57" s="117"/>
      <c r="I57" s="117"/>
      <c r="J57" s="117">
        <f t="shared" si="28"/>
        <v>0</v>
      </c>
      <c r="K57" s="114"/>
      <c r="L57" s="114"/>
      <c r="M57" s="114"/>
      <c r="N57" s="114"/>
      <c r="O57" s="117">
        <f t="shared" si="29"/>
        <v>0</v>
      </c>
      <c r="P57" s="117">
        <f t="shared" si="30"/>
        <v>0</v>
      </c>
      <c r="Q57" s="118"/>
      <c r="R57" s="118"/>
      <c r="S57" s="117">
        <f t="shared" si="31"/>
        <v>0</v>
      </c>
      <c r="T57" s="117"/>
      <c r="U57" s="117"/>
      <c r="V57" s="117">
        <f t="shared" si="32"/>
        <v>0</v>
      </c>
      <c r="W57" s="118"/>
      <c r="X57" s="118"/>
      <c r="Y57" s="117">
        <f t="shared" si="33"/>
        <v>0</v>
      </c>
      <c r="Z57" s="117">
        <f t="shared" si="34"/>
        <v>0</v>
      </c>
      <c r="AA57" s="119">
        <f t="shared" si="47"/>
        <v>0</v>
      </c>
      <c r="AB57" s="117">
        <f t="shared" si="35"/>
        <v>0</v>
      </c>
      <c r="AC57" s="118"/>
      <c r="AD57" s="119">
        <f t="shared" si="36"/>
        <v>0</v>
      </c>
      <c r="AE57" s="118"/>
      <c r="AF57" s="118"/>
      <c r="AG57" s="118"/>
      <c r="AH57" s="118"/>
      <c r="AI57" s="241"/>
      <c r="AJ57" s="118"/>
      <c r="AK57" s="291">
        <f t="shared" si="37"/>
        <v>0</v>
      </c>
      <c r="AL57" s="121">
        <f t="shared" si="38"/>
        <v>0</v>
      </c>
      <c r="AM57" s="122"/>
      <c r="AN57" s="123">
        <f t="shared" si="39"/>
        <v>0</v>
      </c>
      <c r="AO57" s="124">
        <f t="shared" si="40"/>
        <v>0</v>
      </c>
      <c r="AP57" s="124">
        <f t="shared" si="41"/>
        <v>0</v>
      </c>
      <c r="AQ57" s="124">
        <f t="shared" si="42"/>
        <v>0</v>
      </c>
      <c r="AR57" s="124">
        <f t="shared" si="43"/>
        <v>0</v>
      </c>
      <c r="AS57" s="124">
        <f t="array" ref="AS57">_xlfn.IFS(S57=0,AL57,S57&lt;0,AL57/-S57,S57&gt;0,AL57/S57)</f>
        <v>0</v>
      </c>
      <c r="AT57" s="119">
        <f t="shared" si="44"/>
        <v>0</v>
      </c>
      <c r="AU57" s="119">
        <f t="shared" si="45"/>
        <v>0</v>
      </c>
      <c r="AV57" s="125"/>
      <c r="AW57" s="120">
        <f t="shared" si="46"/>
        <v>0</v>
      </c>
    </row>
    <row r="58" spans="1:49" hidden="1" outlineLevel="1">
      <c r="A58" s="114"/>
      <c r="B58" s="115"/>
      <c r="C58" s="115"/>
      <c r="D58" s="116"/>
      <c r="E58" s="117">
        <f t="shared" si="48"/>
        <v>0</v>
      </c>
      <c r="F58" s="117"/>
      <c r="G58" s="117"/>
      <c r="H58" s="117"/>
      <c r="I58" s="117"/>
      <c r="J58" s="117">
        <f t="shared" si="28"/>
        <v>0</v>
      </c>
      <c r="K58" s="114"/>
      <c r="L58" s="114"/>
      <c r="M58" s="114"/>
      <c r="N58" s="114"/>
      <c r="O58" s="117">
        <f t="shared" si="29"/>
        <v>0</v>
      </c>
      <c r="P58" s="117">
        <f t="shared" si="30"/>
        <v>0</v>
      </c>
      <c r="Q58" s="118"/>
      <c r="R58" s="118"/>
      <c r="S58" s="117">
        <f t="shared" si="31"/>
        <v>0</v>
      </c>
      <c r="T58" s="117"/>
      <c r="U58" s="117"/>
      <c r="V58" s="117">
        <f t="shared" si="32"/>
        <v>0</v>
      </c>
      <c r="W58" s="118"/>
      <c r="X58" s="118"/>
      <c r="Y58" s="117">
        <f t="shared" si="33"/>
        <v>0</v>
      </c>
      <c r="Z58" s="117">
        <f t="shared" si="34"/>
        <v>0</v>
      </c>
      <c r="AA58" s="119">
        <f t="shared" si="47"/>
        <v>0</v>
      </c>
      <c r="AB58" s="117">
        <f t="shared" si="35"/>
        <v>0</v>
      </c>
      <c r="AC58" s="118"/>
      <c r="AD58" s="119">
        <f t="shared" si="36"/>
        <v>0</v>
      </c>
      <c r="AE58" s="118"/>
      <c r="AF58" s="118"/>
      <c r="AG58" s="118"/>
      <c r="AH58" s="118"/>
      <c r="AI58" s="241"/>
      <c r="AJ58" s="118"/>
      <c r="AK58" s="291">
        <f t="shared" si="37"/>
        <v>0</v>
      </c>
      <c r="AL58" s="121">
        <f t="shared" si="38"/>
        <v>0</v>
      </c>
      <c r="AM58" s="122"/>
      <c r="AN58" s="123">
        <f t="shared" si="39"/>
        <v>0</v>
      </c>
      <c r="AO58" s="124">
        <f t="shared" si="40"/>
        <v>0</v>
      </c>
      <c r="AP58" s="124">
        <f t="shared" si="41"/>
        <v>0</v>
      </c>
      <c r="AQ58" s="124">
        <f t="shared" si="42"/>
        <v>0</v>
      </c>
      <c r="AR58" s="124">
        <f t="shared" si="43"/>
        <v>0</v>
      </c>
      <c r="AS58" s="124">
        <f t="array" ref="AS58">_xlfn.IFS(S58=0,AL58,S58&lt;0,AL58/-S58,S58&gt;0,AL58/S58)</f>
        <v>0</v>
      </c>
      <c r="AT58" s="119">
        <f t="shared" si="44"/>
        <v>0</v>
      </c>
      <c r="AU58" s="119">
        <f t="shared" si="45"/>
        <v>0</v>
      </c>
      <c r="AV58" s="125"/>
      <c r="AW58" s="120">
        <f t="shared" si="46"/>
        <v>0</v>
      </c>
    </row>
    <row r="59" spans="1:49" hidden="1" outlineLevel="1">
      <c r="A59" s="114"/>
      <c r="B59" s="115"/>
      <c r="C59" s="115"/>
      <c r="D59" s="116"/>
      <c r="E59" s="117">
        <f t="shared" si="48"/>
        <v>0</v>
      </c>
      <c r="F59" s="117"/>
      <c r="G59" s="117"/>
      <c r="H59" s="117"/>
      <c r="I59" s="117"/>
      <c r="J59" s="117">
        <f t="shared" si="28"/>
        <v>0</v>
      </c>
      <c r="K59" s="114"/>
      <c r="L59" s="114"/>
      <c r="M59" s="114"/>
      <c r="N59" s="114"/>
      <c r="O59" s="117">
        <f t="shared" si="29"/>
        <v>0</v>
      </c>
      <c r="P59" s="117">
        <f t="shared" si="30"/>
        <v>0</v>
      </c>
      <c r="Q59" s="118"/>
      <c r="R59" s="118"/>
      <c r="S59" s="117">
        <f t="shared" si="31"/>
        <v>0</v>
      </c>
      <c r="T59" s="117"/>
      <c r="U59" s="117"/>
      <c r="V59" s="117">
        <f t="shared" si="32"/>
        <v>0</v>
      </c>
      <c r="W59" s="118"/>
      <c r="X59" s="118"/>
      <c r="Y59" s="117">
        <f t="shared" si="33"/>
        <v>0</v>
      </c>
      <c r="Z59" s="117">
        <f t="shared" si="34"/>
        <v>0</v>
      </c>
      <c r="AA59" s="119">
        <f t="shared" si="47"/>
        <v>0</v>
      </c>
      <c r="AB59" s="117">
        <f t="shared" si="35"/>
        <v>0</v>
      </c>
      <c r="AC59" s="118"/>
      <c r="AD59" s="119">
        <f t="shared" si="36"/>
        <v>0</v>
      </c>
      <c r="AE59" s="118"/>
      <c r="AF59" s="118"/>
      <c r="AG59" s="118"/>
      <c r="AH59" s="118"/>
      <c r="AI59" s="241"/>
      <c r="AJ59" s="118"/>
      <c r="AK59" s="291">
        <f t="shared" si="37"/>
        <v>0</v>
      </c>
      <c r="AL59" s="121">
        <f t="shared" si="38"/>
        <v>0</v>
      </c>
      <c r="AM59" s="122"/>
      <c r="AN59" s="123">
        <f t="shared" si="39"/>
        <v>0</v>
      </c>
      <c r="AO59" s="124">
        <f t="shared" si="40"/>
        <v>0</v>
      </c>
      <c r="AP59" s="124">
        <f t="shared" si="41"/>
        <v>0</v>
      </c>
      <c r="AQ59" s="124">
        <f t="shared" si="42"/>
        <v>0</v>
      </c>
      <c r="AR59" s="124">
        <f t="shared" si="43"/>
        <v>0</v>
      </c>
      <c r="AS59" s="124">
        <f t="array" ref="AS59">_xlfn.IFS(S59=0,AL59,S59&lt;0,AL59/-S59,S59&gt;0,AL59/S59)</f>
        <v>0</v>
      </c>
      <c r="AT59" s="119">
        <f t="shared" si="44"/>
        <v>0</v>
      </c>
      <c r="AU59" s="119">
        <f t="shared" si="45"/>
        <v>0</v>
      </c>
      <c r="AV59" s="125"/>
      <c r="AW59" s="120">
        <f t="shared" si="46"/>
        <v>0</v>
      </c>
    </row>
    <row r="60" spans="1:49" hidden="1" outlineLevel="1">
      <c r="A60" s="114"/>
      <c r="B60" s="115"/>
      <c r="C60" s="115"/>
      <c r="D60" s="116"/>
      <c r="E60" s="117">
        <f t="shared" si="48"/>
        <v>0</v>
      </c>
      <c r="F60" s="117"/>
      <c r="G60" s="117"/>
      <c r="H60" s="117"/>
      <c r="I60" s="117"/>
      <c r="J60" s="117">
        <f t="shared" si="28"/>
        <v>0</v>
      </c>
      <c r="K60" s="114"/>
      <c r="L60" s="114"/>
      <c r="M60" s="114"/>
      <c r="N60" s="114"/>
      <c r="O60" s="117">
        <f t="shared" si="29"/>
        <v>0</v>
      </c>
      <c r="P60" s="117">
        <f t="shared" si="30"/>
        <v>0</v>
      </c>
      <c r="Q60" s="118"/>
      <c r="R60" s="118"/>
      <c r="S60" s="117">
        <f t="shared" si="31"/>
        <v>0</v>
      </c>
      <c r="T60" s="117"/>
      <c r="U60" s="117"/>
      <c r="V60" s="117">
        <f t="shared" si="32"/>
        <v>0</v>
      </c>
      <c r="W60" s="118"/>
      <c r="X60" s="118"/>
      <c r="Y60" s="117">
        <f t="shared" si="33"/>
        <v>0</v>
      </c>
      <c r="Z60" s="117">
        <f t="shared" si="34"/>
        <v>0</v>
      </c>
      <c r="AA60" s="119">
        <f t="shared" si="47"/>
        <v>0</v>
      </c>
      <c r="AB60" s="117">
        <f t="shared" si="35"/>
        <v>0</v>
      </c>
      <c r="AC60" s="118"/>
      <c r="AD60" s="119">
        <f t="shared" si="36"/>
        <v>0</v>
      </c>
      <c r="AE60" s="118"/>
      <c r="AF60" s="118"/>
      <c r="AG60" s="118"/>
      <c r="AH60" s="118"/>
      <c r="AI60" s="241"/>
      <c r="AJ60" s="118"/>
      <c r="AK60" s="291">
        <f t="shared" si="37"/>
        <v>0</v>
      </c>
      <c r="AL60" s="121">
        <f t="shared" si="38"/>
        <v>0</v>
      </c>
      <c r="AM60" s="122"/>
      <c r="AN60" s="123">
        <f t="shared" si="39"/>
        <v>0</v>
      </c>
      <c r="AO60" s="124">
        <f t="shared" si="40"/>
        <v>0</v>
      </c>
      <c r="AP60" s="124">
        <f t="shared" si="41"/>
        <v>0</v>
      </c>
      <c r="AQ60" s="124">
        <f t="shared" si="42"/>
        <v>0</v>
      </c>
      <c r="AR60" s="124">
        <f t="shared" si="43"/>
        <v>0</v>
      </c>
      <c r="AS60" s="124">
        <f t="array" ref="AS60">_xlfn.IFS(S60=0,AL60,S60&lt;0,AL60/-S60,S60&gt;0,AL60/S60)</f>
        <v>0</v>
      </c>
      <c r="AT60" s="119">
        <f t="shared" si="44"/>
        <v>0</v>
      </c>
      <c r="AU60" s="119">
        <f t="shared" si="45"/>
        <v>0</v>
      </c>
      <c r="AV60" s="125"/>
      <c r="AW60" s="120">
        <f t="shared" si="46"/>
        <v>0</v>
      </c>
    </row>
    <row r="61" spans="1:49" hidden="1" outlineLevel="1">
      <c r="A61" s="114"/>
      <c r="B61" s="115"/>
      <c r="C61" s="115"/>
      <c r="D61" s="116"/>
      <c r="E61" s="117">
        <f t="shared" si="48"/>
        <v>0</v>
      </c>
      <c r="F61" s="117"/>
      <c r="G61" s="117"/>
      <c r="H61" s="117"/>
      <c r="I61" s="117"/>
      <c r="J61" s="117">
        <f t="shared" si="28"/>
        <v>0</v>
      </c>
      <c r="K61" s="114"/>
      <c r="L61" s="114"/>
      <c r="M61" s="114"/>
      <c r="N61" s="114"/>
      <c r="O61" s="117">
        <f t="shared" si="29"/>
        <v>0</v>
      </c>
      <c r="P61" s="117">
        <f t="shared" si="30"/>
        <v>0</v>
      </c>
      <c r="Q61" s="118"/>
      <c r="R61" s="118"/>
      <c r="S61" s="117">
        <f t="shared" si="31"/>
        <v>0</v>
      </c>
      <c r="T61" s="117"/>
      <c r="U61" s="117"/>
      <c r="V61" s="117">
        <f t="shared" si="32"/>
        <v>0</v>
      </c>
      <c r="W61" s="118"/>
      <c r="X61" s="118"/>
      <c r="Y61" s="117">
        <f t="shared" si="33"/>
        <v>0</v>
      </c>
      <c r="Z61" s="117">
        <f t="shared" si="34"/>
        <v>0</v>
      </c>
      <c r="AA61" s="119">
        <f t="shared" si="47"/>
        <v>0</v>
      </c>
      <c r="AB61" s="117">
        <f t="shared" si="35"/>
        <v>0</v>
      </c>
      <c r="AC61" s="118"/>
      <c r="AD61" s="119">
        <f t="shared" si="36"/>
        <v>0</v>
      </c>
      <c r="AE61" s="118"/>
      <c r="AF61" s="118"/>
      <c r="AG61" s="118"/>
      <c r="AH61" s="118"/>
      <c r="AI61" s="241"/>
      <c r="AJ61" s="118"/>
      <c r="AK61" s="291">
        <f t="shared" si="37"/>
        <v>0</v>
      </c>
      <c r="AL61" s="121">
        <f t="shared" si="38"/>
        <v>0</v>
      </c>
      <c r="AM61" s="122"/>
      <c r="AN61" s="123">
        <f t="shared" si="39"/>
        <v>0</v>
      </c>
      <c r="AO61" s="124">
        <f t="shared" si="40"/>
        <v>0</v>
      </c>
      <c r="AP61" s="124">
        <f t="shared" si="41"/>
        <v>0</v>
      </c>
      <c r="AQ61" s="124">
        <f t="shared" si="42"/>
        <v>0</v>
      </c>
      <c r="AR61" s="124">
        <f t="shared" si="43"/>
        <v>0</v>
      </c>
      <c r="AS61" s="124">
        <f t="array" ref="AS61">_xlfn.IFS(S61=0,AL61,S61&lt;0,AL61/-S61,S61&gt;0,AL61/S61)</f>
        <v>0</v>
      </c>
      <c r="AT61" s="119">
        <f t="shared" si="44"/>
        <v>0</v>
      </c>
      <c r="AU61" s="119">
        <f t="shared" si="45"/>
        <v>0</v>
      </c>
      <c r="AV61" s="125"/>
      <c r="AW61" s="120">
        <f t="shared" si="46"/>
        <v>0</v>
      </c>
    </row>
    <row r="62" spans="1:49" hidden="1" outlineLevel="1">
      <c r="A62" s="114"/>
      <c r="B62" s="115"/>
      <c r="C62" s="115"/>
      <c r="D62" s="116"/>
      <c r="E62" s="117">
        <f t="shared" si="48"/>
        <v>0</v>
      </c>
      <c r="F62" s="117"/>
      <c r="G62" s="117"/>
      <c r="H62" s="117"/>
      <c r="I62" s="117"/>
      <c r="J62" s="117">
        <f t="shared" si="28"/>
        <v>0</v>
      </c>
      <c r="K62" s="114"/>
      <c r="L62" s="114"/>
      <c r="M62" s="114"/>
      <c r="N62" s="114"/>
      <c r="O62" s="117">
        <f t="shared" si="29"/>
        <v>0</v>
      </c>
      <c r="P62" s="117">
        <f t="shared" si="30"/>
        <v>0</v>
      </c>
      <c r="Q62" s="118"/>
      <c r="R62" s="118"/>
      <c r="S62" s="117">
        <f t="shared" si="31"/>
        <v>0</v>
      </c>
      <c r="T62" s="117"/>
      <c r="U62" s="117"/>
      <c r="V62" s="117">
        <f t="shared" si="32"/>
        <v>0</v>
      </c>
      <c r="W62" s="118"/>
      <c r="X62" s="118"/>
      <c r="Y62" s="117">
        <f t="shared" si="33"/>
        <v>0</v>
      </c>
      <c r="Z62" s="117">
        <f t="shared" si="34"/>
        <v>0</v>
      </c>
      <c r="AA62" s="119">
        <f t="shared" si="47"/>
        <v>0</v>
      </c>
      <c r="AB62" s="117">
        <f t="shared" si="35"/>
        <v>0</v>
      </c>
      <c r="AC62" s="118"/>
      <c r="AD62" s="119">
        <f t="shared" si="36"/>
        <v>0</v>
      </c>
      <c r="AE62" s="118"/>
      <c r="AF62" s="118"/>
      <c r="AG62" s="118"/>
      <c r="AH62" s="118"/>
      <c r="AI62" s="241"/>
      <c r="AJ62" s="118"/>
      <c r="AK62" s="291">
        <f t="shared" si="37"/>
        <v>0</v>
      </c>
      <c r="AL62" s="121">
        <f t="shared" si="38"/>
        <v>0</v>
      </c>
      <c r="AM62" s="122"/>
      <c r="AN62" s="123">
        <f t="shared" si="39"/>
        <v>0</v>
      </c>
      <c r="AO62" s="124">
        <f t="shared" si="40"/>
        <v>0</v>
      </c>
      <c r="AP62" s="124">
        <f t="shared" si="41"/>
        <v>0</v>
      </c>
      <c r="AQ62" s="124">
        <f t="shared" si="42"/>
        <v>0</v>
      </c>
      <c r="AR62" s="124">
        <f t="shared" si="43"/>
        <v>0</v>
      </c>
      <c r="AS62" s="124">
        <f t="array" ref="AS62">_xlfn.IFS(S62=0,AL62,S62&lt;0,AL62/-S62,S62&gt;0,AL62/S62)</f>
        <v>0</v>
      </c>
      <c r="AT62" s="119">
        <f t="shared" si="44"/>
        <v>0</v>
      </c>
      <c r="AU62" s="119">
        <f t="shared" si="45"/>
        <v>0</v>
      </c>
      <c r="AV62" s="125"/>
      <c r="AW62" s="120">
        <f t="shared" si="46"/>
        <v>0</v>
      </c>
    </row>
    <row r="63" spans="1:49" hidden="1" outlineLevel="1">
      <c r="A63" s="114"/>
      <c r="B63" s="115"/>
      <c r="C63" s="115"/>
      <c r="D63" s="149"/>
      <c r="E63" s="118">
        <f t="shared" si="48"/>
        <v>0</v>
      </c>
      <c r="F63" s="117"/>
      <c r="G63" s="117"/>
      <c r="H63" s="117"/>
      <c r="I63" s="117"/>
      <c r="J63" s="117">
        <f t="shared" si="28"/>
        <v>0</v>
      </c>
      <c r="K63" s="114"/>
      <c r="L63" s="114"/>
      <c r="M63" s="114"/>
      <c r="N63" s="114"/>
      <c r="O63" s="117">
        <f t="shared" si="29"/>
        <v>0</v>
      </c>
      <c r="P63" s="117">
        <f t="shared" si="30"/>
        <v>0</v>
      </c>
      <c r="Q63" s="118"/>
      <c r="R63" s="118"/>
      <c r="S63" s="117">
        <f t="shared" si="31"/>
        <v>0</v>
      </c>
      <c r="T63" s="117"/>
      <c r="U63" s="117"/>
      <c r="V63" s="117">
        <f t="shared" si="32"/>
        <v>0</v>
      </c>
      <c r="W63" s="118"/>
      <c r="X63" s="118"/>
      <c r="Y63" s="117">
        <f t="shared" si="33"/>
        <v>0</v>
      </c>
      <c r="Z63" s="117">
        <f t="shared" si="34"/>
        <v>0</v>
      </c>
      <c r="AA63" s="119">
        <f t="shared" si="47"/>
        <v>0</v>
      </c>
      <c r="AB63" s="117">
        <f t="shared" si="35"/>
        <v>0</v>
      </c>
      <c r="AC63" s="118"/>
      <c r="AD63" s="119">
        <f t="shared" si="36"/>
        <v>0</v>
      </c>
      <c r="AE63" s="118"/>
      <c r="AF63" s="118"/>
      <c r="AG63" s="118"/>
      <c r="AH63" s="118"/>
      <c r="AI63" s="241"/>
      <c r="AJ63" s="118"/>
      <c r="AK63" s="291">
        <f t="shared" si="37"/>
        <v>0</v>
      </c>
      <c r="AL63" s="121">
        <f t="shared" si="38"/>
        <v>0</v>
      </c>
      <c r="AM63" s="122"/>
      <c r="AN63" s="123">
        <f t="shared" si="39"/>
        <v>0</v>
      </c>
      <c r="AO63" s="124">
        <f t="shared" si="40"/>
        <v>0</v>
      </c>
      <c r="AP63" s="124">
        <f t="shared" si="41"/>
        <v>0</v>
      </c>
      <c r="AQ63" s="124">
        <f t="shared" si="42"/>
        <v>0</v>
      </c>
      <c r="AR63" s="124">
        <f t="shared" si="43"/>
        <v>0</v>
      </c>
      <c r="AS63" s="124">
        <f t="array" ref="AS63">_xlfn.IFS(S63=0,AL63,S63&lt;0,AL63/-S63,S63&gt;0,AL63/S63)</f>
        <v>0</v>
      </c>
      <c r="AT63" s="119">
        <f t="shared" si="44"/>
        <v>0</v>
      </c>
      <c r="AU63" s="119">
        <f t="shared" si="45"/>
        <v>0</v>
      </c>
      <c r="AV63" s="125"/>
      <c r="AW63" s="120">
        <f t="shared" si="46"/>
        <v>0</v>
      </c>
    </row>
    <row r="64" spans="1:49" hidden="1" outlineLevel="1">
      <c r="A64" s="114"/>
      <c r="B64" s="115"/>
      <c r="C64" s="115"/>
      <c r="D64" s="149"/>
      <c r="E64" s="118">
        <f t="shared" si="48"/>
        <v>0</v>
      </c>
      <c r="F64" s="117"/>
      <c r="G64" s="117"/>
      <c r="H64" s="117"/>
      <c r="I64" s="117"/>
      <c r="J64" s="117">
        <f t="shared" si="28"/>
        <v>0</v>
      </c>
      <c r="K64" s="114"/>
      <c r="L64" s="114"/>
      <c r="M64" s="114"/>
      <c r="N64" s="114"/>
      <c r="O64" s="117">
        <f t="shared" si="29"/>
        <v>0</v>
      </c>
      <c r="P64" s="117">
        <f t="shared" si="30"/>
        <v>0</v>
      </c>
      <c r="Q64" s="118"/>
      <c r="R64" s="118"/>
      <c r="S64" s="117">
        <f t="shared" si="31"/>
        <v>0</v>
      </c>
      <c r="T64" s="117"/>
      <c r="U64" s="117"/>
      <c r="V64" s="117">
        <f t="shared" si="32"/>
        <v>0</v>
      </c>
      <c r="W64" s="118"/>
      <c r="X64" s="118"/>
      <c r="Y64" s="117">
        <f t="shared" si="33"/>
        <v>0</v>
      </c>
      <c r="Z64" s="117">
        <f t="shared" si="34"/>
        <v>0</v>
      </c>
      <c r="AA64" s="119">
        <f t="shared" si="47"/>
        <v>0</v>
      </c>
      <c r="AB64" s="117">
        <f t="shared" si="35"/>
        <v>0</v>
      </c>
      <c r="AC64" s="118"/>
      <c r="AD64" s="119">
        <f t="shared" si="36"/>
        <v>0</v>
      </c>
      <c r="AE64" s="118"/>
      <c r="AF64" s="118"/>
      <c r="AG64" s="118"/>
      <c r="AH64" s="118"/>
      <c r="AI64" s="241"/>
      <c r="AJ64" s="118"/>
      <c r="AK64" s="291">
        <f t="shared" si="37"/>
        <v>0</v>
      </c>
      <c r="AL64" s="121">
        <f t="shared" si="38"/>
        <v>0</v>
      </c>
      <c r="AM64" s="122"/>
      <c r="AN64" s="123">
        <f t="shared" si="39"/>
        <v>0</v>
      </c>
      <c r="AO64" s="124">
        <f t="shared" si="40"/>
        <v>0</v>
      </c>
      <c r="AP64" s="124">
        <f t="shared" si="41"/>
        <v>0</v>
      </c>
      <c r="AQ64" s="124">
        <f t="shared" si="42"/>
        <v>0</v>
      </c>
      <c r="AR64" s="124">
        <f t="shared" si="43"/>
        <v>0</v>
      </c>
      <c r="AS64" s="124">
        <f t="array" ref="AS64">_xlfn.IFS(S64=0,AL64,S64&lt;0,AL64/-S64,S64&gt;0,AL64/S64)</f>
        <v>0</v>
      </c>
      <c r="AT64" s="119">
        <f t="shared" si="44"/>
        <v>0</v>
      </c>
      <c r="AU64" s="119">
        <f t="shared" si="45"/>
        <v>0</v>
      </c>
      <c r="AV64" s="125"/>
      <c r="AW64" s="120">
        <f t="shared" si="46"/>
        <v>0</v>
      </c>
    </row>
    <row r="65" spans="1:49" hidden="1" outlineLevel="1">
      <c r="A65" s="114"/>
      <c r="B65" s="115"/>
      <c r="C65" s="115"/>
      <c r="D65" s="149"/>
      <c r="E65" s="118">
        <f t="shared" si="48"/>
        <v>0</v>
      </c>
      <c r="F65" s="117"/>
      <c r="G65" s="117"/>
      <c r="H65" s="117"/>
      <c r="I65" s="117"/>
      <c r="J65" s="117">
        <f t="shared" si="28"/>
        <v>0</v>
      </c>
      <c r="K65" s="114"/>
      <c r="L65" s="114"/>
      <c r="M65" s="114"/>
      <c r="N65" s="114"/>
      <c r="O65" s="117">
        <f t="shared" si="29"/>
        <v>0</v>
      </c>
      <c r="P65" s="117">
        <f t="shared" si="30"/>
        <v>0</v>
      </c>
      <c r="Q65" s="118"/>
      <c r="R65" s="118"/>
      <c r="S65" s="117">
        <f t="shared" si="31"/>
        <v>0</v>
      </c>
      <c r="T65" s="117"/>
      <c r="U65" s="117"/>
      <c r="V65" s="117">
        <f t="shared" si="32"/>
        <v>0</v>
      </c>
      <c r="W65" s="118"/>
      <c r="X65" s="118"/>
      <c r="Y65" s="117">
        <f t="shared" si="33"/>
        <v>0</v>
      </c>
      <c r="Z65" s="117">
        <f t="shared" si="34"/>
        <v>0</v>
      </c>
      <c r="AA65" s="119">
        <f t="shared" si="47"/>
        <v>0</v>
      </c>
      <c r="AB65" s="117">
        <f t="shared" si="35"/>
        <v>0</v>
      </c>
      <c r="AC65" s="118"/>
      <c r="AD65" s="119">
        <f t="shared" si="36"/>
        <v>0</v>
      </c>
      <c r="AE65" s="118"/>
      <c r="AF65" s="118"/>
      <c r="AG65" s="118"/>
      <c r="AH65" s="118"/>
      <c r="AI65" s="241"/>
      <c r="AJ65" s="118"/>
      <c r="AK65" s="291">
        <f t="shared" si="37"/>
        <v>0</v>
      </c>
      <c r="AL65" s="121">
        <f t="shared" si="38"/>
        <v>0</v>
      </c>
      <c r="AM65" s="122"/>
      <c r="AN65" s="123">
        <f t="shared" si="39"/>
        <v>0</v>
      </c>
      <c r="AO65" s="124">
        <f t="shared" si="40"/>
        <v>0</v>
      </c>
      <c r="AP65" s="124">
        <f t="shared" si="41"/>
        <v>0</v>
      </c>
      <c r="AQ65" s="124">
        <f t="shared" si="42"/>
        <v>0</v>
      </c>
      <c r="AR65" s="124">
        <f t="shared" si="43"/>
        <v>0</v>
      </c>
      <c r="AS65" s="124">
        <f t="array" ref="AS65">_xlfn.IFS(S65=0,AL65,S65&lt;0,AL65/-S65,S65&gt;0,AL65/S65)</f>
        <v>0</v>
      </c>
      <c r="AT65" s="119">
        <f t="shared" si="44"/>
        <v>0</v>
      </c>
      <c r="AU65" s="119">
        <f t="shared" si="45"/>
        <v>0</v>
      </c>
      <c r="AV65" s="125"/>
      <c r="AW65" s="120">
        <f t="shared" si="46"/>
        <v>0</v>
      </c>
    </row>
    <row r="66" spans="1:49" hidden="1" outlineLevel="1">
      <c r="A66" s="114"/>
      <c r="B66" s="115"/>
      <c r="C66" s="115"/>
      <c r="D66" s="149"/>
      <c r="E66" s="118">
        <f t="shared" si="48"/>
        <v>0</v>
      </c>
      <c r="F66" s="117"/>
      <c r="G66" s="117"/>
      <c r="H66" s="117"/>
      <c r="I66" s="117"/>
      <c r="J66" s="117">
        <f t="shared" si="28"/>
        <v>0</v>
      </c>
      <c r="K66" s="114"/>
      <c r="L66" s="114"/>
      <c r="M66" s="114"/>
      <c r="N66" s="114"/>
      <c r="O66" s="117">
        <f t="shared" si="29"/>
        <v>0</v>
      </c>
      <c r="P66" s="117">
        <f t="shared" si="30"/>
        <v>0</v>
      </c>
      <c r="Q66" s="118"/>
      <c r="R66" s="118"/>
      <c r="S66" s="117">
        <f t="shared" si="31"/>
        <v>0</v>
      </c>
      <c r="T66" s="117"/>
      <c r="U66" s="117"/>
      <c r="V66" s="117">
        <f t="shared" si="32"/>
        <v>0</v>
      </c>
      <c r="W66" s="118"/>
      <c r="X66" s="118"/>
      <c r="Y66" s="117">
        <f t="shared" si="33"/>
        <v>0</v>
      </c>
      <c r="Z66" s="117">
        <f>L66*M66*N66/100</f>
        <v>0</v>
      </c>
      <c r="AA66" s="119">
        <f t="shared" si="47"/>
        <v>0</v>
      </c>
      <c r="AB66" s="117">
        <f t="shared" si="35"/>
        <v>0</v>
      </c>
      <c r="AC66" s="118"/>
      <c r="AD66" s="119">
        <f t="shared" si="36"/>
        <v>0</v>
      </c>
      <c r="AE66" s="118"/>
      <c r="AF66" s="118"/>
      <c r="AG66" s="118"/>
      <c r="AH66" s="118"/>
      <c r="AI66" s="241"/>
      <c r="AJ66" s="118"/>
      <c r="AK66" s="291">
        <f t="shared" si="37"/>
        <v>0</v>
      </c>
      <c r="AL66" s="121">
        <f t="shared" si="38"/>
        <v>0</v>
      </c>
      <c r="AM66" s="122"/>
      <c r="AN66" s="123">
        <f t="shared" si="39"/>
        <v>0</v>
      </c>
      <c r="AO66" s="124">
        <f t="shared" si="40"/>
        <v>0</v>
      </c>
      <c r="AP66" s="124">
        <f t="shared" si="41"/>
        <v>0</v>
      </c>
      <c r="AQ66" s="124">
        <f t="shared" si="42"/>
        <v>0</v>
      </c>
      <c r="AR66" s="124">
        <f t="shared" si="43"/>
        <v>0</v>
      </c>
      <c r="AS66" s="124">
        <f t="array" ref="AS66">_xlfn.IFS(S66=0,AL66,S66&lt;0,AL66/-S66,S66&gt;0,AL66/S66)</f>
        <v>0</v>
      </c>
      <c r="AT66" s="119">
        <f t="shared" si="44"/>
        <v>0</v>
      </c>
      <c r="AU66" s="119">
        <f t="shared" si="45"/>
        <v>0</v>
      </c>
      <c r="AV66" s="125"/>
      <c r="AW66" s="120">
        <f t="shared" si="46"/>
        <v>0</v>
      </c>
    </row>
    <row r="67" spans="1:49" hidden="1" outlineLevel="1">
      <c r="A67" s="114"/>
      <c r="B67" s="115"/>
      <c r="C67" s="115"/>
      <c r="D67" s="149"/>
      <c r="E67" s="118">
        <f t="shared" si="48"/>
        <v>0</v>
      </c>
      <c r="F67" s="117"/>
      <c r="G67" s="117"/>
      <c r="H67" s="117"/>
      <c r="I67" s="117"/>
      <c r="J67" s="117">
        <f t="shared" si="28"/>
        <v>0</v>
      </c>
      <c r="K67" s="114"/>
      <c r="L67" s="114"/>
      <c r="M67" s="114"/>
      <c r="N67" s="114"/>
      <c r="O67" s="117">
        <f t="shared" si="29"/>
        <v>0</v>
      </c>
      <c r="P67" s="117">
        <f t="shared" si="30"/>
        <v>0</v>
      </c>
      <c r="Q67" s="118"/>
      <c r="R67" s="118"/>
      <c r="S67" s="117">
        <f t="shared" si="31"/>
        <v>0</v>
      </c>
      <c r="T67" s="117"/>
      <c r="U67" s="117"/>
      <c r="V67" s="117">
        <f t="shared" si="32"/>
        <v>0</v>
      </c>
      <c r="W67" s="118"/>
      <c r="X67" s="118"/>
      <c r="Y67" s="117">
        <f t="shared" si="33"/>
        <v>0</v>
      </c>
      <c r="Z67" s="117">
        <f t="shared" ref="Z67:Z70" si="49">L67*M67*N67/100</f>
        <v>0</v>
      </c>
      <c r="AA67" s="119">
        <f t="shared" si="47"/>
        <v>0</v>
      </c>
      <c r="AB67" s="117">
        <f t="shared" si="35"/>
        <v>0</v>
      </c>
      <c r="AC67" s="118"/>
      <c r="AD67" s="119">
        <f t="shared" si="36"/>
        <v>0</v>
      </c>
      <c r="AE67" s="118"/>
      <c r="AF67" s="118"/>
      <c r="AG67" s="118"/>
      <c r="AH67" s="118"/>
      <c r="AI67" s="241"/>
      <c r="AJ67" s="118"/>
      <c r="AK67" s="291">
        <f t="shared" si="37"/>
        <v>0</v>
      </c>
      <c r="AL67" s="121">
        <f t="shared" si="38"/>
        <v>0</v>
      </c>
      <c r="AM67" s="122"/>
      <c r="AN67" s="123">
        <f t="shared" si="39"/>
        <v>0</v>
      </c>
      <c r="AO67" s="124">
        <f t="shared" si="40"/>
        <v>0</v>
      </c>
      <c r="AP67" s="124">
        <f t="shared" si="41"/>
        <v>0</v>
      </c>
      <c r="AQ67" s="124">
        <f t="shared" si="42"/>
        <v>0</v>
      </c>
      <c r="AR67" s="124">
        <f t="shared" si="43"/>
        <v>0</v>
      </c>
      <c r="AS67" s="124">
        <f t="array" ref="AS67">_xlfn.IFS(S67=0,AL67,S67&lt;0,AL67/-S67,S67&gt;0,AL67/S67)</f>
        <v>0</v>
      </c>
      <c r="AT67" s="119">
        <f t="shared" si="44"/>
        <v>0</v>
      </c>
      <c r="AU67" s="119">
        <f t="shared" si="45"/>
        <v>0</v>
      </c>
      <c r="AV67" s="125"/>
      <c r="AW67" s="120">
        <f t="shared" si="46"/>
        <v>0</v>
      </c>
    </row>
    <row r="68" spans="1:49" hidden="1" outlineLevel="1">
      <c r="A68" s="114"/>
      <c r="B68" s="115"/>
      <c r="C68" s="115"/>
      <c r="D68" s="116"/>
      <c r="E68" s="117">
        <f t="shared" si="48"/>
        <v>0</v>
      </c>
      <c r="F68" s="117"/>
      <c r="G68" s="117"/>
      <c r="H68" s="117"/>
      <c r="I68" s="117"/>
      <c r="J68" s="117">
        <f t="shared" si="28"/>
        <v>0</v>
      </c>
      <c r="K68" s="114"/>
      <c r="L68" s="114"/>
      <c r="M68" s="114"/>
      <c r="N68" s="114"/>
      <c r="O68" s="117">
        <f t="shared" si="29"/>
        <v>0</v>
      </c>
      <c r="P68" s="117">
        <f t="shared" si="30"/>
        <v>0</v>
      </c>
      <c r="Q68" s="118"/>
      <c r="R68" s="118"/>
      <c r="S68" s="117">
        <f t="shared" si="31"/>
        <v>0</v>
      </c>
      <c r="T68" s="117"/>
      <c r="U68" s="117"/>
      <c r="V68" s="117">
        <f t="shared" si="32"/>
        <v>0</v>
      </c>
      <c r="W68" s="118"/>
      <c r="X68" s="118"/>
      <c r="Y68" s="117">
        <f t="shared" si="33"/>
        <v>0</v>
      </c>
      <c r="Z68" s="117">
        <f t="shared" si="49"/>
        <v>0</v>
      </c>
      <c r="AA68" s="119">
        <f t="shared" si="47"/>
        <v>0</v>
      </c>
      <c r="AB68" s="117">
        <f t="shared" si="35"/>
        <v>0</v>
      </c>
      <c r="AC68" s="118"/>
      <c r="AD68" s="119">
        <f t="shared" si="36"/>
        <v>0</v>
      </c>
      <c r="AE68" s="118"/>
      <c r="AF68" s="118"/>
      <c r="AG68" s="118"/>
      <c r="AH68" s="118"/>
      <c r="AI68" s="241"/>
      <c r="AJ68" s="118"/>
      <c r="AK68" s="291">
        <f t="shared" si="37"/>
        <v>0</v>
      </c>
      <c r="AL68" s="121">
        <f t="shared" si="38"/>
        <v>0</v>
      </c>
      <c r="AM68" s="122"/>
      <c r="AN68" s="123">
        <f t="shared" si="39"/>
        <v>0</v>
      </c>
      <c r="AO68" s="124">
        <f t="shared" si="40"/>
        <v>0</v>
      </c>
      <c r="AP68" s="124">
        <f t="shared" si="41"/>
        <v>0</v>
      </c>
      <c r="AQ68" s="124">
        <f t="shared" si="42"/>
        <v>0</v>
      </c>
      <c r="AR68" s="124">
        <f t="shared" si="43"/>
        <v>0</v>
      </c>
      <c r="AS68" s="124">
        <f t="array" ref="AS68">_xlfn.IFS(S68=0,AL68,S68&lt;0,AL68/-S68,S68&gt;0,AL68/S68)</f>
        <v>0</v>
      </c>
      <c r="AT68" s="119">
        <f t="shared" si="44"/>
        <v>0</v>
      </c>
      <c r="AU68" s="119">
        <f t="shared" si="45"/>
        <v>0</v>
      </c>
      <c r="AV68" s="125"/>
      <c r="AW68" s="120">
        <f t="shared" si="46"/>
        <v>0</v>
      </c>
    </row>
    <row r="69" spans="1:49" hidden="1" outlineLevel="1">
      <c r="A69" s="114"/>
      <c r="B69" s="115"/>
      <c r="C69" s="115"/>
      <c r="D69" s="116"/>
      <c r="E69" s="117">
        <f t="shared" si="48"/>
        <v>0</v>
      </c>
      <c r="F69" s="117"/>
      <c r="G69" s="117"/>
      <c r="H69" s="117"/>
      <c r="I69" s="117"/>
      <c r="J69" s="117">
        <f t="shared" si="28"/>
        <v>0</v>
      </c>
      <c r="K69" s="114"/>
      <c r="L69" s="114"/>
      <c r="M69" s="114"/>
      <c r="N69" s="114"/>
      <c r="O69" s="117">
        <f t="shared" si="29"/>
        <v>0</v>
      </c>
      <c r="P69" s="117">
        <f t="shared" si="30"/>
        <v>0</v>
      </c>
      <c r="Q69" s="118"/>
      <c r="R69" s="118"/>
      <c r="S69" s="117">
        <f t="shared" si="31"/>
        <v>0</v>
      </c>
      <c r="T69" s="117"/>
      <c r="U69" s="117"/>
      <c r="V69" s="117">
        <f t="shared" si="32"/>
        <v>0</v>
      </c>
      <c r="W69" s="118"/>
      <c r="X69" s="118"/>
      <c r="Y69" s="117">
        <f t="shared" si="33"/>
        <v>0</v>
      </c>
      <c r="Z69" s="117">
        <f t="shared" si="49"/>
        <v>0</v>
      </c>
      <c r="AA69" s="119">
        <f t="shared" si="47"/>
        <v>0</v>
      </c>
      <c r="AB69" s="117">
        <f t="shared" si="35"/>
        <v>0</v>
      </c>
      <c r="AC69" s="118"/>
      <c r="AD69" s="119">
        <f t="shared" si="36"/>
        <v>0</v>
      </c>
      <c r="AE69" s="118"/>
      <c r="AF69" s="118"/>
      <c r="AG69" s="118"/>
      <c r="AH69" s="118"/>
      <c r="AI69" s="241"/>
      <c r="AJ69" s="118"/>
      <c r="AK69" s="291">
        <f t="shared" si="37"/>
        <v>0</v>
      </c>
      <c r="AL69" s="121">
        <f t="shared" si="38"/>
        <v>0</v>
      </c>
      <c r="AM69" s="122"/>
      <c r="AN69" s="123">
        <f t="shared" si="39"/>
        <v>0</v>
      </c>
      <c r="AO69" s="124">
        <f t="shared" si="40"/>
        <v>0</v>
      </c>
      <c r="AP69" s="124">
        <f t="shared" si="41"/>
        <v>0</v>
      </c>
      <c r="AQ69" s="124">
        <f t="shared" si="42"/>
        <v>0</v>
      </c>
      <c r="AR69" s="124">
        <f t="shared" si="43"/>
        <v>0</v>
      </c>
      <c r="AS69" s="124">
        <f t="array" ref="AS69">_xlfn.IFS(S69=0,AL69,S69&lt;0,AL69/-S69,S69&gt;0,AL69/S69)</f>
        <v>0</v>
      </c>
      <c r="AT69" s="119">
        <f t="shared" si="44"/>
        <v>0</v>
      </c>
      <c r="AU69" s="119">
        <f t="shared" si="45"/>
        <v>0</v>
      </c>
      <c r="AV69" s="125"/>
      <c r="AW69" s="120">
        <f t="shared" si="46"/>
        <v>0</v>
      </c>
    </row>
    <row r="70" spans="1:49" hidden="1" outlineLevel="1">
      <c r="A70" s="114"/>
      <c r="B70" s="115"/>
      <c r="C70" s="115"/>
      <c r="D70" s="116"/>
      <c r="E70" s="117">
        <f t="shared" si="48"/>
        <v>0</v>
      </c>
      <c r="F70" s="117"/>
      <c r="G70" s="117"/>
      <c r="H70" s="117"/>
      <c r="I70" s="117"/>
      <c r="J70" s="117">
        <f t="shared" si="28"/>
        <v>0</v>
      </c>
      <c r="K70" s="114"/>
      <c r="L70" s="114"/>
      <c r="M70" s="114"/>
      <c r="N70" s="114"/>
      <c r="O70" s="117">
        <f t="shared" si="29"/>
        <v>0</v>
      </c>
      <c r="P70" s="117">
        <f t="shared" si="30"/>
        <v>0</v>
      </c>
      <c r="Q70" s="118"/>
      <c r="R70" s="118"/>
      <c r="S70" s="117">
        <f t="shared" si="31"/>
        <v>0</v>
      </c>
      <c r="T70" s="117"/>
      <c r="U70" s="117"/>
      <c r="V70" s="117">
        <f t="shared" si="32"/>
        <v>0</v>
      </c>
      <c r="W70" s="118"/>
      <c r="X70" s="118"/>
      <c r="Y70" s="117">
        <f t="shared" si="33"/>
        <v>0</v>
      </c>
      <c r="Z70" s="117">
        <f t="shared" si="49"/>
        <v>0</v>
      </c>
      <c r="AA70" s="119">
        <f t="shared" si="47"/>
        <v>0</v>
      </c>
      <c r="AB70" s="117">
        <f t="shared" si="35"/>
        <v>0</v>
      </c>
      <c r="AC70" s="118"/>
      <c r="AD70" s="119">
        <f t="shared" si="36"/>
        <v>0</v>
      </c>
      <c r="AE70" s="118"/>
      <c r="AF70" s="118"/>
      <c r="AG70" s="118"/>
      <c r="AH70" s="118"/>
      <c r="AI70" s="241"/>
      <c r="AJ70" s="118"/>
      <c r="AK70" s="291">
        <f t="shared" si="37"/>
        <v>0</v>
      </c>
      <c r="AL70" s="121">
        <f t="shared" si="38"/>
        <v>0</v>
      </c>
      <c r="AM70" s="122"/>
      <c r="AN70" s="123">
        <f t="shared" si="39"/>
        <v>0</v>
      </c>
      <c r="AO70" s="124">
        <f t="shared" si="40"/>
        <v>0</v>
      </c>
      <c r="AP70" s="124">
        <f t="shared" si="41"/>
        <v>0</v>
      </c>
      <c r="AQ70" s="124">
        <f t="shared" si="42"/>
        <v>0</v>
      </c>
      <c r="AR70" s="124">
        <f t="shared" si="43"/>
        <v>0</v>
      </c>
      <c r="AS70" s="124">
        <f t="array" ref="AS70">_xlfn.IFS(S70=0,AL70,S70&lt;0,AL70/-S70,S70&gt;0,AL70/S70)</f>
        <v>0</v>
      </c>
      <c r="AT70" s="119">
        <f t="shared" si="44"/>
        <v>0</v>
      </c>
      <c r="AU70" s="119">
        <f t="shared" si="45"/>
        <v>0</v>
      </c>
      <c r="AV70" s="125"/>
      <c r="AW70" s="120">
        <f t="shared" si="46"/>
        <v>0</v>
      </c>
    </row>
    <row r="71" spans="1:49" collapsed="1">
      <c r="A71" s="158"/>
      <c r="B71" s="126"/>
      <c r="C71" s="114"/>
      <c r="D71" s="158"/>
      <c r="E71" s="117"/>
      <c r="F71" s="117"/>
      <c r="G71" s="117"/>
      <c r="H71" s="117"/>
      <c r="I71" s="117"/>
      <c r="J71" s="117"/>
      <c r="K71" s="159"/>
      <c r="L71" s="160"/>
      <c r="M71" s="160"/>
      <c r="N71" s="160"/>
      <c r="O71" s="159"/>
      <c r="P71" s="159"/>
      <c r="Q71" s="117"/>
      <c r="R71" s="117"/>
      <c r="S71" s="117"/>
      <c r="T71" s="117"/>
      <c r="U71" s="117"/>
      <c r="V71" s="117"/>
      <c r="W71" s="117"/>
      <c r="X71" s="117"/>
      <c r="Y71" s="117"/>
      <c r="Z71" s="117"/>
      <c r="AA71" s="119"/>
      <c r="AB71" s="117"/>
      <c r="AC71" s="117"/>
      <c r="AD71" s="119"/>
      <c r="AE71" s="117"/>
      <c r="AF71" s="118"/>
      <c r="AG71" s="118"/>
      <c r="AH71" s="118"/>
      <c r="AI71" s="152"/>
      <c r="AJ71" s="118"/>
      <c r="AK71" s="291"/>
      <c r="AL71" s="121"/>
      <c r="AM71" s="122"/>
      <c r="AN71" s="161">
        <f>AVERAGE(AN19:AN70)</f>
        <v>0</v>
      </c>
      <c r="AO71" s="161">
        <f t="shared" ref="AO71:AU71" si="50">AVERAGE(AO19:AO70)</f>
        <v>0</v>
      </c>
      <c r="AP71" s="161">
        <f t="shared" si="50"/>
        <v>0</v>
      </c>
      <c r="AQ71" s="161">
        <f t="shared" si="50"/>
        <v>0</v>
      </c>
      <c r="AR71" s="161">
        <f t="shared" si="50"/>
        <v>0</v>
      </c>
      <c r="AS71" s="161">
        <f t="shared" si="50"/>
        <v>0</v>
      </c>
      <c r="AT71" s="162">
        <f t="shared" si="50"/>
        <v>0</v>
      </c>
      <c r="AU71" s="162">
        <f t="shared" si="50"/>
        <v>0</v>
      </c>
      <c r="AV71" s="125"/>
      <c r="AW71" s="120"/>
    </row>
    <row r="72" spans="1:49" s="171" customFormat="1" ht="15" customHeight="1">
      <c r="A72" s="163" t="s">
        <v>107</v>
      </c>
      <c r="B72" s="164"/>
      <c r="C72" s="165"/>
      <c r="D72" s="165"/>
      <c r="E72" s="165">
        <f>SUM(E19:E70)</f>
        <v>0</v>
      </c>
      <c r="F72" s="165">
        <f>SUM(F19:F70)</f>
        <v>0</v>
      </c>
      <c r="G72" s="165">
        <f>SUM(G19:G70)</f>
        <v>0</v>
      </c>
      <c r="H72" s="165">
        <f>SUM(H19:H70)</f>
        <v>0</v>
      </c>
      <c r="I72" s="165"/>
      <c r="J72" s="165">
        <f>SUM(J19:J70)</f>
        <v>0</v>
      </c>
      <c r="K72" s="165"/>
      <c r="L72" s="165">
        <f>SUM(L19:L70)</f>
        <v>0</v>
      </c>
      <c r="M72" s="165"/>
      <c r="N72" s="165"/>
      <c r="O72" s="165"/>
      <c r="P72" s="165"/>
      <c r="Q72" s="165">
        <f t="shared" ref="Q72:AC72" si="51">SUM(Q19:Q70)</f>
        <v>0</v>
      </c>
      <c r="R72" s="165">
        <f t="shared" si="51"/>
        <v>0</v>
      </c>
      <c r="S72" s="165">
        <f t="shared" si="51"/>
        <v>0</v>
      </c>
      <c r="T72" s="165">
        <f t="shared" si="51"/>
        <v>0</v>
      </c>
      <c r="U72" s="165">
        <f t="shared" si="51"/>
        <v>0</v>
      </c>
      <c r="V72" s="165">
        <f t="shared" si="51"/>
        <v>0</v>
      </c>
      <c r="W72" s="165">
        <f t="shared" si="51"/>
        <v>0</v>
      </c>
      <c r="X72" s="165">
        <f t="shared" si="51"/>
        <v>0</v>
      </c>
      <c r="Y72" s="165">
        <f t="shared" si="51"/>
        <v>0</v>
      </c>
      <c r="Z72" s="165">
        <f t="shared" si="51"/>
        <v>0</v>
      </c>
      <c r="AA72" s="166">
        <f t="shared" si="51"/>
        <v>0</v>
      </c>
      <c r="AB72" s="167">
        <f t="shared" si="51"/>
        <v>0</v>
      </c>
      <c r="AC72" s="165">
        <f t="shared" si="51"/>
        <v>0</v>
      </c>
      <c r="AD72" s="166" t="e">
        <f>AC72/Y72</f>
        <v>#DIV/0!</v>
      </c>
      <c r="AE72" s="165">
        <f t="shared" ref="AE72:AK72" si="52">SUM(AE19:AE70)</f>
        <v>0</v>
      </c>
      <c r="AF72" s="165">
        <f t="shared" si="52"/>
        <v>0</v>
      </c>
      <c r="AG72" s="165">
        <f>SUM(AG19:AG70)</f>
        <v>0</v>
      </c>
      <c r="AH72" s="165">
        <f>SUM(AH19:AH70)</f>
        <v>0</v>
      </c>
      <c r="AI72" s="168">
        <f>SUM(AI19:AI70)</f>
        <v>0</v>
      </c>
      <c r="AJ72" s="165">
        <f t="shared" si="52"/>
        <v>0</v>
      </c>
      <c r="AK72" s="295">
        <f t="shared" si="52"/>
        <v>0</v>
      </c>
      <c r="AL72" s="165">
        <f>SUM(AL19:AL70)</f>
        <v>0</v>
      </c>
      <c r="AM72" s="169"/>
      <c r="AN72" s="165"/>
      <c r="AO72" s="165"/>
      <c r="AP72" s="165"/>
      <c r="AQ72" s="165"/>
      <c r="AR72" s="165" t="e">
        <f>(AF72+AG72)/Q72</f>
        <v>#DIV/0!</v>
      </c>
      <c r="AS72" s="165"/>
      <c r="AT72" s="165"/>
      <c r="AU72" s="165"/>
      <c r="AV72" s="170"/>
      <c r="AW72" s="165">
        <f>SUM(AW19:AW70)</f>
        <v>0</v>
      </c>
    </row>
    <row r="73" spans="1:49" s="175" customFormat="1">
      <c r="A73" s="172"/>
      <c r="B73" s="173"/>
      <c r="C73" s="174"/>
      <c r="D73" s="174"/>
      <c r="L73" s="176"/>
      <c r="M73" s="176"/>
      <c r="N73" s="176"/>
      <c r="P73" s="177"/>
      <c r="Q73" s="178"/>
      <c r="R73" s="178"/>
      <c r="S73" s="179"/>
      <c r="T73" s="179"/>
      <c r="U73" s="179"/>
      <c r="V73" s="179"/>
      <c r="W73" s="178"/>
      <c r="X73" s="179"/>
      <c r="Y73" s="179"/>
      <c r="Z73" s="179"/>
      <c r="AC73" s="180"/>
      <c r="AE73" s="178"/>
      <c r="AF73" s="347"/>
      <c r="AG73" s="347"/>
      <c r="AH73" s="237"/>
      <c r="AI73" s="182"/>
      <c r="AJ73" s="183"/>
      <c r="AK73" s="296"/>
      <c r="AM73" s="184"/>
      <c r="AN73" s="176"/>
      <c r="AO73" s="176"/>
      <c r="AP73" s="176"/>
      <c r="AQ73" s="176"/>
      <c r="AR73" s="176"/>
      <c r="AS73" s="176"/>
      <c r="AT73" s="176"/>
      <c r="AU73" s="176"/>
      <c r="AV73" s="185"/>
    </row>
    <row r="74" spans="1:49" s="194" customFormat="1">
      <c r="A74" s="186" t="s">
        <v>7</v>
      </c>
      <c r="B74" s="187"/>
      <c r="C74" s="188"/>
      <c r="D74" s="188"/>
      <c r="E74" s="188">
        <f t="shared" ref="E74:AC74" si="53">E17+E72</f>
        <v>2244</v>
      </c>
      <c r="F74" s="188">
        <f t="shared" si="53"/>
        <v>99</v>
      </c>
      <c r="G74" s="188">
        <f t="shared" si="53"/>
        <v>19</v>
      </c>
      <c r="H74" s="188">
        <f t="shared" si="53"/>
        <v>2126</v>
      </c>
      <c r="I74" s="188">
        <f t="shared" si="53"/>
        <v>0</v>
      </c>
      <c r="J74" s="188">
        <f t="shared" si="53"/>
        <v>306013.86</v>
      </c>
      <c r="K74" s="188">
        <f t="shared" si="53"/>
        <v>0</v>
      </c>
      <c r="L74" s="188">
        <f t="shared" si="53"/>
        <v>457</v>
      </c>
      <c r="M74" s="188">
        <f t="shared" si="53"/>
        <v>0</v>
      </c>
      <c r="N74" s="188">
        <f t="shared" si="53"/>
        <v>0</v>
      </c>
      <c r="O74" s="188">
        <f t="shared" si="53"/>
        <v>0</v>
      </c>
      <c r="P74" s="188">
        <f t="shared" si="53"/>
        <v>0</v>
      </c>
      <c r="Q74" s="188">
        <f t="shared" si="53"/>
        <v>256</v>
      </c>
      <c r="R74" s="188">
        <f t="shared" si="53"/>
        <v>-5</v>
      </c>
      <c r="S74" s="188">
        <f t="shared" si="53"/>
        <v>251</v>
      </c>
      <c r="T74" s="188">
        <f t="shared" si="53"/>
        <v>233222.72</v>
      </c>
      <c r="U74" s="188">
        <f t="shared" si="53"/>
        <v>-4580</v>
      </c>
      <c r="V74" s="188">
        <f t="shared" si="53"/>
        <v>228642.71999999997</v>
      </c>
      <c r="W74" s="188">
        <f t="shared" si="53"/>
        <v>303779.89</v>
      </c>
      <c r="X74" s="188">
        <f t="shared" si="53"/>
        <v>-6023</v>
      </c>
      <c r="Y74" s="188">
        <f t="shared" si="53"/>
        <v>297756.89</v>
      </c>
      <c r="Z74" s="188">
        <f t="shared" si="53"/>
        <v>0</v>
      </c>
      <c r="AA74" s="189">
        <f t="shared" si="53"/>
        <v>1</v>
      </c>
      <c r="AB74" s="190">
        <f t="shared" si="53"/>
        <v>34328.369999999988</v>
      </c>
      <c r="AC74" s="188">
        <f t="shared" si="53"/>
        <v>106888.70000000001</v>
      </c>
      <c r="AD74" s="189">
        <f>AC74/Y74</f>
        <v>0.35897977037575857</v>
      </c>
      <c r="AE74" s="190">
        <f t="shared" ref="AE74:AL74" si="54">AE17+AE72</f>
        <v>30976.05</v>
      </c>
      <c r="AF74" s="191">
        <f t="shared" si="54"/>
        <v>22451</v>
      </c>
      <c r="AG74" s="191">
        <f t="shared" si="54"/>
        <v>26402</v>
      </c>
      <c r="AH74" s="191">
        <f t="shared" si="54"/>
        <v>0</v>
      </c>
      <c r="AI74" s="191">
        <f t="shared" si="54"/>
        <v>6310.98</v>
      </c>
      <c r="AJ74" s="188">
        <f t="shared" si="54"/>
        <v>0</v>
      </c>
      <c r="AK74" s="297">
        <f t="shared" si="54"/>
        <v>2280.91</v>
      </c>
      <c r="AL74" s="188">
        <f t="shared" si="54"/>
        <v>68118.87999999999</v>
      </c>
      <c r="AM74" s="188"/>
      <c r="AN74" s="188"/>
      <c r="AO74" s="188"/>
      <c r="AP74" s="188"/>
      <c r="AQ74" s="188"/>
      <c r="AR74" s="188">
        <f>(AF74+AG74)/Q74</f>
        <v>190.83203125</v>
      </c>
      <c r="AS74" s="188"/>
      <c r="AT74" s="188"/>
      <c r="AU74" s="188"/>
      <c r="AV74" s="193"/>
      <c r="AW74" s="188">
        <f>AW17+AW72</f>
        <v>82469.701918177481</v>
      </c>
    </row>
    <row r="75" spans="1:49" s="175" customFormat="1">
      <c r="A75" s="174"/>
      <c r="B75" s="173"/>
      <c r="C75" s="195"/>
      <c r="D75" s="174"/>
      <c r="L75" s="176"/>
      <c r="M75" s="176"/>
      <c r="N75" s="176"/>
      <c r="P75" s="177"/>
      <c r="Q75" s="178"/>
      <c r="R75" s="178"/>
      <c r="S75" s="179"/>
      <c r="T75" s="179"/>
      <c r="U75" s="179"/>
      <c r="V75" s="179"/>
      <c r="W75" s="178"/>
      <c r="X75" s="179"/>
      <c r="Y75" s="179"/>
      <c r="Z75" s="179"/>
      <c r="AC75" s="180"/>
      <c r="AE75" s="196"/>
      <c r="AF75" s="347"/>
      <c r="AG75" s="347"/>
      <c r="AH75" s="237"/>
      <c r="AI75" s="182"/>
      <c r="AJ75" s="183"/>
      <c r="AL75" s="175">
        <f>Сводная!AC18+Сводная!V18</f>
        <v>68118.87999999999</v>
      </c>
      <c r="AM75" s="184"/>
      <c r="AN75" s="184"/>
      <c r="AO75" s="184"/>
      <c r="AP75" s="184"/>
      <c r="AQ75" s="184"/>
      <c r="AR75" s="184"/>
      <c r="AS75" s="184"/>
      <c r="AT75" s="184"/>
      <c r="AU75" s="184"/>
      <c r="AV75" s="185"/>
    </row>
    <row r="76" spans="1:49">
      <c r="C76" s="198"/>
      <c r="D76" s="198"/>
    </row>
    <row r="77" spans="1:49">
      <c r="C77" s="198"/>
      <c r="D77" s="198"/>
    </row>
  </sheetData>
  <mergeCells count="10">
    <mergeCell ref="AN1:AU1"/>
    <mergeCell ref="AF18:AG18"/>
    <mergeCell ref="AF73:AG73"/>
    <mergeCell ref="AF75:AG75"/>
    <mergeCell ref="F1:H1"/>
    <mergeCell ref="L1:N1"/>
    <mergeCell ref="Q1:R1"/>
    <mergeCell ref="T1:U1"/>
    <mergeCell ref="W1:X1"/>
    <mergeCell ref="AF1:AG1"/>
  </mergeCells>
  <conditionalFormatting sqref="K71:M71 K18:K70 K3:K16">
    <cfRule type="cellIs" dxfId="22" priority="4" operator="greaterThan">
      <formula>120</formula>
    </cfRule>
  </conditionalFormatting>
  <conditionalFormatting sqref="O71">
    <cfRule type="cellIs" dxfId="21" priority="3" operator="between">
      <formula>0.000001</formula>
      <formula>25</formula>
    </cfRule>
  </conditionalFormatting>
  <conditionalFormatting sqref="AA73 AA75:AA1048576">
    <cfRule type="cellIs" dxfId="20" priority="5" operator="greaterThan">
      <formula>0.23</formula>
    </cfRule>
  </conditionalFormatting>
  <conditionalFormatting sqref="Y18:AA71 Y3:AA16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{F7C4768C-B903-4893-961C-4CC8910F0065}</x14:id>
        </ext>
      </extLst>
    </cfRule>
  </conditionalFormatting>
  <conditionalFormatting sqref="AS18:AS70 AS3:AS15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{5E4574B8-A1DC-4C2C-A229-D415B6A8BEAF}</x14:id>
        </ext>
      </extLst>
    </cfRule>
  </conditionalFormatting>
  <conditionalFormatting sqref="AT18:AU70 AT3:AU15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{A242085A-F8F1-4D1A-998C-5555509AC099}</x14:id>
        </ext>
      </extLst>
    </cfRule>
  </conditionalFormatting>
  <conditionalFormatting sqref="AW18:AW71 AW3:AW16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{119CA0E1-3DA0-4F6A-BDED-2FD1177FB397}</x14:id>
        </ext>
      </extLst>
    </cfRule>
  </conditionalFormatting>
  <conditionalFormatting sqref="AA18:AA70 AA3:AA16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{029B0F16-F51E-49A3-AA3E-81DE9A8F3C44}</x14:id>
        </ext>
      </extLst>
    </cfRule>
  </conditionalFormatting>
  <conditionalFormatting sqref="AW18:AW70 AW3:AW16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{FA9B8B32-5FD3-4CCF-BC0C-9CE7A385C8C3}</x14:id>
        </ext>
      </extLst>
    </cfRule>
  </conditionalFormatting>
  <conditionalFormatting sqref="AL18:AL71 AL3:AL16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{55120079-AAAE-481F-862A-7EA6DD1992F6}</x14:id>
        </ext>
      </extLst>
    </cfRule>
  </conditionalFormatting>
  <conditionalFormatting sqref="AL18:AL70 AL3:AL16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{2E3C8A49-07EB-48BE-BEDB-311A8CE86CB8}</x14:id>
        </ext>
      </extLst>
    </cfRule>
  </conditionalFormatting>
  <conditionalFormatting sqref="AA1">
    <cfRule type="cellIs" dxfId="19" priority="1" operator="greaterThan">
      <formula>0.23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7C4768C-B903-4893-961C-4CC8910F006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Y18:AA71 Y3:AA16</xm:sqref>
        </x14:conditionalFormatting>
        <x14:conditionalFormatting xmlns:xm="http://schemas.microsoft.com/office/excel/2006/main">
          <x14:cfRule type="dataBar" id="{5E4574B8-A1DC-4C2C-A229-D415B6A8BEA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AS18:AS70 AS3:AS15</xm:sqref>
        </x14:conditionalFormatting>
        <x14:conditionalFormatting xmlns:xm="http://schemas.microsoft.com/office/excel/2006/main">
          <x14:cfRule type="dataBar" id="{A242085A-F8F1-4D1A-998C-5555509AC09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AT18:AU70 AT3:AU15</xm:sqref>
        </x14:conditionalFormatting>
        <x14:conditionalFormatting xmlns:xm="http://schemas.microsoft.com/office/excel/2006/main">
          <x14:cfRule type="dataBar" id="{119CA0E1-3DA0-4F6A-BDED-2FD1177FB39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AW18:AW71 AW3:AW16</xm:sqref>
        </x14:conditionalFormatting>
        <x14:conditionalFormatting xmlns:xm="http://schemas.microsoft.com/office/excel/2006/main">
          <x14:cfRule type="dataBar" id="{029B0F16-F51E-49A3-AA3E-81DE9A8F3C4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AA18:AA70 AA3:AA16</xm:sqref>
        </x14:conditionalFormatting>
        <x14:conditionalFormatting xmlns:xm="http://schemas.microsoft.com/office/excel/2006/main">
          <x14:cfRule type="dataBar" id="{FA9B8B32-5FD3-4CCF-BC0C-9CE7A385C8C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AW18:AW70 AW3:AW16</xm:sqref>
        </x14:conditionalFormatting>
        <x14:conditionalFormatting xmlns:xm="http://schemas.microsoft.com/office/excel/2006/main">
          <x14:cfRule type="dataBar" id="{55120079-AAAE-481F-862A-7EA6DD1992F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AL18:AL71 AL3:AL16</xm:sqref>
        </x14:conditionalFormatting>
        <x14:conditionalFormatting xmlns:xm="http://schemas.microsoft.com/office/excel/2006/main">
          <x14:cfRule type="dataBar" id="{2E3C8A49-07EB-48BE-BEDB-311A8CE86CB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AL18:AL70 AL3:AL16</xm:sqref>
        </x14:conditionalFormatting>
      </x14:conditionalFormatting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A7DE4-DE2A-40D1-8048-07B549B4C433}">
  <dimension ref="A1:AW77"/>
  <sheetViews>
    <sheetView zoomScale="70" zoomScaleNormal="7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F16" sqref="F16"/>
    </sheetView>
  </sheetViews>
  <sheetFormatPr defaultColWidth="12.54296875" defaultRowHeight="14.5" outlineLevelRow="1"/>
  <cols>
    <col min="1" max="1" width="9.08984375" style="197" customWidth="1"/>
    <col min="2" max="2" width="12.54296875" style="202"/>
    <col min="3" max="3" width="19.90625" style="197" customWidth="1"/>
    <col min="4" max="4" width="16.6328125" style="197" customWidth="1"/>
    <col min="5" max="5" width="12.36328125" style="126" customWidth="1"/>
    <col min="6" max="6" width="10.90625" style="126" customWidth="1"/>
    <col min="7" max="8" width="12.36328125" style="126" customWidth="1"/>
    <col min="9" max="9" width="13.36328125" style="126" customWidth="1"/>
    <col min="10" max="10" width="14.1796875" style="126" customWidth="1"/>
    <col min="11" max="11" width="14.26953125" style="126" customWidth="1"/>
    <col min="12" max="12" width="13.6328125" style="126" customWidth="1"/>
    <col min="13" max="13" width="15.08984375" style="126" customWidth="1"/>
    <col min="14" max="14" width="14.54296875" style="126" customWidth="1"/>
    <col min="15" max="16" width="11" style="126" customWidth="1"/>
    <col min="17" max="17" width="11.1796875" style="126" customWidth="1"/>
    <col min="18" max="18" width="12.08984375" style="126" customWidth="1"/>
    <col min="19" max="22" width="11.26953125" style="199" customWidth="1"/>
    <col min="23" max="23" width="13.1796875" style="199" customWidth="1"/>
    <col min="24" max="24" width="12.36328125" style="199" customWidth="1"/>
    <col min="25" max="25" width="20.7265625" style="199" customWidth="1"/>
    <col min="26" max="26" width="15.90625" style="199" customWidth="1"/>
    <col min="27" max="27" width="13.36328125" style="200" customWidth="1"/>
    <col min="28" max="28" width="14.453125" style="126" customWidth="1"/>
    <col min="29" max="29" width="17.81640625" style="126" customWidth="1"/>
    <col min="30" max="30" width="14.26953125" style="126" customWidth="1"/>
    <col min="31" max="31" width="19.08984375" style="126" customWidth="1"/>
    <col min="32" max="34" width="10.36328125" style="117" customWidth="1"/>
    <col min="35" max="35" width="18.08984375" style="201" customWidth="1"/>
    <col min="36" max="36" width="18.6328125" style="117" customWidth="1"/>
    <col min="37" max="37" width="12.54296875" style="126"/>
    <col min="38" max="38" width="18.90625" style="126" customWidth="1"/>
    <col min="39" max="39" width="3.08984375" style="126" customWidth="1"/>
    <col min="40" max="40" width="19.90625" style="126" customWidth="1"/>
    <col min="41" max="41" width="14.26953125" style="126" customWidth="1"/>
    <col min="42" max="42" width="9.6328125" style="126" customWidth="1"/>
    <col min="43" max="43" width="11.1796875" style="126" customWidth="1"/>
    <col min="44" max="44" width="9.54296875" style="126" customWidth="1"/>
    <col min="45" max="45" width="10.1796875" style="126" customWidth="1"/>
    <col min="46" max="46" width="11.7265625" style="126" customWidth="1"/>
    <col min="47" max="47" width="12.54296875" style="126"/>
    <col min="48" max="48" width="3.36328125" style="140" customWidth="1"/>
    <col min="49" max="16384" width="12.54296875" style="126"/>
  </cols>
  <sheetData>
    <row r="1" spans="1:49" s="95" customFormat="1" ht="16" customHeight="1">
      <c r="A1" s="92" t="s">
        <v>133</v>
      </c>
      <c r="B1" s="93"/>
      <c r="C1" s="92"/>
      <c r="D1" s="92"/>
      <c r="E1" s="94"/>
      <c r="F1" s="348" t="s">
        <v>47</v>
      </c>
      <c r="G1" s="348"/>
      <c r="H1" s="348"/>
      <c r="K1" s="234" t="s">
        <v>48</v>
      </c>
      <c r="L1" s="348" t="s">
        <v>49</v>
      </c>
      <c r="M1" s="348"/>
      <c r="N1" s="348"/>
      <c r="P1" s="96"/>
      <c r="Q1" s="349"/>
      <c r="R1" s="349"/>
      <c r="S1" s="240"/>
      <c r="T1" s="350"/>
      <c r="U1" s="351"/>
      <c r="V1" s="240"/>
      <c r="W1" s="349"/>
      <c r="X1" s="349"/>
      <c r="Y1" s="96"/>
      <c r="Z1" s="96"/>
      <c r="AA1" s="96"/>
      <c r="AB1" s="96"/>
      <c r="AC1" s="239"/>
      <c r="AD1" s="240"/>
      <c r="AE1" s="239"/>
      <c r="AF1" s="352"/>
      <c r="AG1" s="352"/>
      <c r="AH1" s="235"/>
      <c r="AI1" s="97" t="s">
        <v>50</v>
      </c>
      <c r="AJ1" s="239"/>
      <c r="AM1" s="98"/>
      <c r="AN1" s="343" t="s">
        <v>51</v>
      </c>
      <c r="AO1" s="344"/>
      <c r="AP1" s="344"/>
      <c r="AQ1" s="344"/>
      <c r="AR1" s="344"/>
      <c r="AS1" s="344"/>
      <c r="AT1" s="344"/>
      <c r="AU1" s="345"/>
      <c r="AV1" s="99"/>
    </row>
    <row r="2" spans="1:49" s="113" customFormat="1" ht="50.5" customHeight="1">
      <c r="A2" s="100" t="s">
        <v>52</v>
      </c>
      <c r="B2" s="101" t="s">
        <v>53</v>
      </c>
      <c r="C2" s="100" t="s">
        <v>54</v>
      </c>
      <c r="D2" s="100" t="s">
        <v>55</v>
      </c>
      <c r="E2" s="100" t="s">
        <v>139</v>
      </c>
      <c r="F2" s="102" t="s">
        <v>57</v>
      </c>
      <c r="G2" s="102" t="s">
        <v>58</v>
      </c>
      <c r="H2" s="102" t="s">
        <v>59</v>
      </c>
      <c r="I2" s="100" t="s">
        <v>60</v>
      </c>
      <c r="J2" s="100" t="s">
        <v>61</v>
      </c>
      <c r="K2" s="103" t="s">
        <v>62</v>
      </c>
      <c r="L2" s="103" t="s">
        <v>63</v>
      </c>
      <c r="M2" s="103" t="s">
        <v>64</v>
      </c>
      <c r="N2" s="103" t="s">
        <v>65</v>
      </c>
      <c r="O2" s="104" t="s">
        <v>66</v>
      </c>
      <c r="P2" s="104" t="s">
        <v>67</v>
      </c>
      <c r="Q2" s="105" t="s">
        <v>68</v>
      </c>
      <c r="R2" s="105" t="s">
        <v>69</v>
      </c>
      <c r="S2" s="100" t="s">
        <v>70</v>
      </c>
      <c r="T2" s="102" t="s">
        <v>71</v>
      </c>
      <c r="U2" s="102" t="s">
        <v>72</v>
      </c>
      <c r="V2" s="106" t="s">
        <v>73</v>
      </c>
      <c r="W2" s="105" t="s">
        <v>74</v>
      </c>
      <c r="X2" s="105" t="s">
        <v>75</v>
      </c>
      <c r="Y2" s="107" t="s">
        <v>76</v>
      </c>
      <c r="Z2" s="108" t="s">
        <v>77</v>
      </c>
      <c r="AA2" s="107" t="s">
        <v>78</v>
      </c>
      <c r="AB2" s="107" t="s">
        <v>18</v>
      </c>
      <c r="AC2" s="109" t="s">
        <v>79</v>
      </c>
      <c r="AD2" s="110" t="s">
        <v>80</v>
      </c>
      <c r="AE2" s="105" t="s">
        <v>8</v>
      </c>
      <c r="AF2" s="104" t="s">
        <v>25</v>
      </c>
      <c r="AG2" s="104" t="s">
        <v>26</v>
      </c>
      <c r="AH2" s="104" t="s">
        <v>27</v>
      </c>
      <c r="AI2" s="105" t="s">
        <v>9</v>
      </c>
      <c r="AJ2" s="105" t="s">
        <v>81</v>
      </c>
      <c r="AK2" s="100" t="s">
        <v>82</v>
      </c>
      <c r="AL2" s="100" t="s">
        <v>11</v>
      </c>
      <c r="AM2" s="111"/>
      <c r="AN2" s="110" t="s">
        <v>83</v>
      </c>
      <c r="AO2" s="110" t="s">
        <v>84</v>
      </c>
      <c r="AP2" s="110" t="s">
        <v>85</v>
      </c>
      <c r="AQ2" s="110" t="s">
        <v>86</v>
      </c>
      <c r="AR2" s="110" t="s">
        <v>87</v>
      </c>
      <c r="AS2" s="110" t="s">
        <v>88</v>
      </c>
      <c r="AT2" s="110" t="s">
        <v>89</v>
      </c>
      <c r="AU2" s="110" t="s">
        <v>90</v>
      </c>
      <c r="AV2" s="112"/>
      <c r="AW2" s="100" t="s">
        <v>91</v>
      </c>
    </row>
    <row r="3" spans="1:49" outlineLevel="1">
      <c r="A3" s="114"/>
      <c r="B3" s="115">
        <v>341479791</v>
      </c>
      <c r="C3" s="115" t="s">
        <v>92</v>
      </c>
      <c r="D3" s="116" t="s">
        <v>93</v>
      </c>
      <c r="E3" s="117">
        <f>F3+G3+H3</f>
        <v>390</v>
      </c>
      <c r="F3" s="117">
        <v>36</v>
      </c>
      <c r="G3" s="117">
        <v>5</v>
      </c>
      <c r="H3" s="117">
        <v>349</v>
      </c>
      <c r="I3" s="117">
        <v>142.97999999999999</v>
      </c>
      <c r="J3" s="117">
        <f t="shared" ref="J3:J15" si="0">E3*I3</f>
        <v>55762.2</v>
      </c>
      <c r="K3" s="114">
        <v>133</v>
      </c>
      <c r="L3" s="114">
        <v>51</v>
      </c>
      <c r="M3" s="114">
        <v>1238</v>
      </c>
      <c r="N3" s="114">
        <v>59</v>
      </c>
      <c r="O3" s="213">
        <f t="shared" ref="O3:O15" si="1">L3/7</f>
        <v>7.2857142857142856</v>
      </c>
      <c r="P3" s="117">
        <f t="shared" ref="P3" si="2">S3/7</f>
        <v>2.7142857142857144</v>
      </c>
      <c r="Q3" s="118">
        <v>20</v>
      </c>
      <c r="R3" s="118">
        <v>-1</v>
      </c>
      <c r="S3" s="117">
        <f>Q3+R3</f>
        <v>19</v>
      </c>
      <c r="T3" s="118">
        <v>16491.900000000001</v>
      </c>
      <c r="U3" s="118">
        <v>-813</v>
      </c>
      <c r="V3" s="117">
        <f>T3+U3</f>
        <v>15678.900000000001</v>
      </c>
      <c r="W3" s="118">
        <v>24760.02</v>
      </c>
      <c r="X3" s="118">
        <v>-1238</v>
      </c>
      <c r="Y3" s="117">
        <f t="shared" ref="Y3:Y15" si="3">W3+X3</f>
        <v>23522.02</v>
      </c>
      <c r="Z3" s="117">
        <f>L3*M3*N3/100</f>
        <v>37251.42</v>
      </c>
      <c r="AA3" s="119">
        <f t="shared" ref="AA3:AA15" si="4">Y3/$Y$74</f>
        <v>0.29731804737467454</v>
      </c>
      <c r="AB3" s="117">
        <f>S3*I3</f>
        <v>2716.62</v>
      </c>
      <c r="AC3" s="118">
        <v>8499.4400000000023</v>
      </c>
      <c r="AD3" s="119">
        <f t="shared" ref="AD3:AD15" si="5">IF(Y3=0,0,AC3/Y3)</f>
        <v>0.36133971487142696</v>
      </c>
      <c r="AE3" s="118">
        <v>2693.7000000000007</v>
      </c>
      <c r="AF3" s="118">
        <f>3000+1000</f>
        <v>4000</v>
      </c>
      <c r="AG3" s="118">
        <v>3416</v>
      </c>
      <c r="AH3" s="118"/>
      <c r="AI3" s="152">
        <f t="shared" ref="AI3:AI15" si="6">IFERROR($AI$74*H3/$H$74,0)</f>
        <v>226.13919567262465</v>
      </c>
      <c r="AJ3" s="118">
        <v>0</v>
      </c>
      <c r="AK3" s="120">
        <f>V3*1%</f>
        <v>156.78900000000002</v>
      </c>
      <c r="AL3" s="121">
        <f>Y3-AB3-AC3-AE3-AF3-AG3-AH3-AI3-AK3-AJ3</f>
        <v>1813.3318043273737</v>
      </c>
      <c r="AM3" s="122"/>
      <c r="AN3" s="123">
        <f t="shared" ref="AN3:AN15" si="7">IF(S3=0,0,Y3/S3)</f>
        <v>1238.0010526315789</v>
      </c>
      <c r="AO3" s="124">
        <f t="shared" ref="AO3:AO15" si="8">I3</f>
        <v>142.97999999999999</v>
      </c>
      <c r="AP3" s="124">
        <f t="shared" ref="AP3:AP15" si="9">IF(S3=0,0,AC3/S3)</f>
        <v>447.3389473684212</v>
      </c>
      <c r="AQ3" s="124">
        <f>IF(Q3=0,AE3/1,AE3/Q3)</f>
        <v>134.68500000000003</v>
      </c>
      <c r="AR3" s="124">
        <f>IF(Q3=0,0,(AF3+AG3)/Q3)</f>
        <v>370.8</v>
      </c>
      <c r="AS3" s="124">
        <f>_xlfn.IFS(S3=0,AL3,S3&lt;0,AL3/-S3,S3&gt;0,AL3/S3)</f>
        <v>95.438516017230199</v>
      </c>
      <c r="AT3" s="119">
        <f t="shared" ref="AT3" si="10">IF(AN3=0,0,AS3/AN3)</f>
        <v>7.7090819764942545E-2</v>
      </c>
      <c r="AU3" s="119">
        <f t="shared" ref="AU3" si="11">IF(AO3=0,0,AS3/AO3)</f>
        <v>0.66749556593390824</v>
      </c>
      <c r="AV3" s="125"/>
      <c r="AW3" s="120">
        <f t="shared" ref="AW3:AW15" si="12">AS3*E3</f>
        <v>37221.021246719778</v>
      </c>
    </row>
    <row r="4" spans="1:49" outlineLevel="1">
      <c r="A4" s="114"/>
      <c r="B4" s="115">
        <v>340343575</v>
      </c>
      <c r="C4" s="115" t="s">
        <v>94</v>
      </c>
      <c r="D4" s="116" t="s">
        <v>93</v>
      </c>
      <c r="E4" s="117">
        <f t="shared" ref="E4:E15" si="13">F4+G4+H4</f>
        <v>279</v>
      </c>
      <c r="F4" s="117">
        <v>15</v>
      </c>
      <c r="G4" s="117">
        <v>4</v>
      </c>
      <c r="H4" s="117">
        <v>260</v>
      </c>
      <c r="I4" s="117">
        <v>123.09</v>
      </c>
      <c r="J4" s="117">
        <f t="shared" si="0"/>
        <v>34342.11</v>
      </c>
      <c r="K4" s="114">
        <v>314</v>
      </c>
      <c r="L4" s="114">
        <v>29</v>
      </c>
      <c r="M4" s="114">
        <v>929</v>
      </c>
      <c r="N4" s="114">
        <v>60</v>
      </c>
      <c r="O4" s="213">
        <f t="shared" si="1"/>
        <v>4.1428571428571432</v>
      </c>
      <c r="P4" s="117">
        <f>S4/7</f>
        <v>1.4285714285714286</v>
      </c>
      <c r="Q4" s="118">
        <v>10</v>
      </c>
      <c r="R4" s="118">
        <v>0</v>
      </c>
      <c r="S4" s="117">
        <f t="shared" ref="S4:S15" si="14">Q4+R4</f>
        <v>10</v>
      </c>
      <c r="T4" s="118">
        <v>6321.49</v>
      </c>
      <c r="U4" s="118">
        <v>0</v>
      </c>
      <c r="V4" s="117">
        <f t="shared" ref="V4:V15" si="15">T4+U4</f>
        <v>6321.49</v>
      </c>
      <c r="W4" s="118">
        <v>9289.3799999999992</v>
      </c>
      <c r="X4" s="118">
        <v>0</v>
      </c>
      <c r="Y4" s="117">
        <f t="shared" si="3"/>
        <v>9289.3799999999992</v>
      </c>
      <c r="Z4" s="117">
        <f t="shared" ref="Z4:Z15" si="16">L4*M4*N4/100</f>
        <v>16164.6</v>
      </c>
      <c r="AA4" s="119">
        <f t="shared" si="4"/>
        <v>0.11741765047905553</v>
      </c>
      <c r="AB4" s="117">
        <f t="shared" ref="AB4:AB15" si="17">S4*I4</f>
        <v>1230.9000000000001</v>
      </c>
      <c r="AC4" s="118">
        <v>3407.1899999999987</v>
      </c>
      <c r="AD4" s="119">
        <f t="shared" si="5"/>
        <v>0.366783359061638</v>
      </c>
      <c r="AE4" s="118">
        <v>1035.9000000000001</v>
      </c>
      <c r="AF4" s="118">
        <v>892</v>
      </c>
      <c r="AG4" s="118">
        <v>2314</v>
      </c>
      <c r="AH4" s="118"/>
      <c r="AI4" s="152">
        <f t="shared" si="6"/>
        <v>168.47046095954846</v>
      </c>
      <c r="AJ4" s="118">
        <v>0</v>
      </c>
      <c r="AK4" s="120">
        <f t="shared" ref="AK4:AK15" si="18">V4*1%</f>
        <v>63.2149</v>
      </c>
      <c r="AL4" s="121">
        <f t="shared" ref="AL4:AL15" si="19">Y4-AB4-AC4-AE4-AF4-AG4-AH4-AI4-AK4-AJ4</f>
        <v>177.70463904045232</v>
      </c>
      <c r="AM4" s="122"/>
      <c r="AN4" s="123">
        <f t="shared" si="7"/>
        <v>928.93799999999987</v>
      </c>
      <c r="AO4" s="124">
        <f t="shared" si="8"/>
        <v>123.09</v>
      </c>
      <c r="AP4" s="124">
        <f t="shared" si="9"/>
        <v>340.71899999999988</v>
      </c>
      <c r="AQ4" s="124">
        <f t="shared" ref="AQ4:AQ15" si="20">IF(Q4=0,AE4/1,AE4/Q4)</f>
        <v>103.59</v>
      </c>
      <c r="AR4" s="124">
        <f t="shared" ref="AR4:AR15" si="21">IF(Q4=0,0,(AF4+AG4)/Q4)</f>
        <v>320.60000000000002</v>
      </c>
      <c r="AS4" s="124">
        <f t="array" ref="AS4">_xlfn.IFS(S4=0,AL4,S4&lt;0,AL4/-S4,S4&gt;0,AL4/S4)</f>
        <v>17.770463904045233</v>
      </c>
      <c r="AT4" s="119">
        <f>IF(AN4=0,0,AS4/AN4)</f>
        <v>1.9129870781521733E-2</v>
      </c>
      <c r="AU4" s="119">
        <f>IF(AO4=0,0,AS4/AO4)</f>
        <v>0.14436967994187369</v>
      </c>
      <c r="AV4" s="125"/>
      <c r="AW4" s="120">
        <f t="shared" si="12"/>
        <v>4957.9594292286201</v>
      </c>
    </row>
    <row r="5" spans="1:49" outlineLevel="1">
      <c r="A5" s="114"/>
      <c r="B5" s="115">
        <v>340332621</v>
      </c>
      <c r="C5" s="115" t="s">
        <v>95</v>
      </c>
      <c r="D5" s="116" t="s">
        <v>93</v>
      </c>
      <c r="E5" s="117">
        <f t="shared" si="13"/>
        <v>375</v>
      </c>
      <c r="F5" s="117">
        <v>3</v>
      </c>
      <c r="G5" s="117">
        <v>0</v>
      </c>
      <c r="H5" s="117">
        <v>372</v>
      </c>
      <c r="I5" s="117">
        <v>123.09</v>
      </c>
      <c r="J5" s="117">
        <f t="shared" si="0"/>
        <v>46158.75</v>
      </c>
      <c r="K5" s="114">
        <v>999</v>
      </c>
      <c r="L5" s="114">
        <v>5</v>
      </c>
      <c r="M5" s="114">
        <v>1052</v>
      </c>
      <c r="N5" s="114">
        <v>100</v>
      </c>
      <c r="O5" s="213">
        <f t="shared" si="1"/>
        <v>0.7142857142857143</v>
      </c>
      <c r="P5" s="117">
        <f>S5/7</f>
        <v>0.42857142857142855</v>
      </c>
      <c r="Q5" s="118">
        <v>3</v>
      </c>
      <c r="R5" s="118">
        <v>0</v>
      </c>
      <c r="S5" s="117">
        <f t="shared" si="14"/>
        <v>3</v>
      </c>
      <c r="T5" s="118">
        <v>2054</v>
      </c>
      <c r="U5" s="118">
        <v>0</v>
      </c>
      <c r="V5" s="117">
        <f t="shared" si="15"/>
        <v>2054</v>
      </c>
      <c r="W5" s="118">
        <v>3156</v>
      </c>
      <c r="X5" s="118">
        <v>0</v>
      </c>
      <c r="Y5" s="117">
        <f t="shared" si="3"/>
        <v>3156</v>
      </c>
      <c r="Z5" s="117">
        <f t="shared" si="16"/>
        <v>5260</v>
      </c>
      <c r="AA5" s="119">
        <f t="shared" si="4"/>
        <v>3.9891801703870362E-2</v>
      </c>
      <c r="AB5" s="117">
        <f t="shared" si="17"/>
        <v>369.27</v>
      </c>
      <c r="AC5" s="118">
        <v>1149.9100000000001</v>
      </c>
      <c r="AD5" s="119">
        <f t="shared" si="5"/>
        <v>0.36435678073510774</v>
      </c>
      <c r="AE5" s="118">
        <v>187.05</v>
      </c>
      <c r="AF5" s="118">
        <v>1691</v>
      </c>
      <c r="AG5" s="118">
        <f>309+106</f>
        <v>415</v>
      </c>
      <c r="AH5" s="118"/>
      <c r="AI5" s="152">
        <f t="shared" si="6"/>
        <v>241.04235183443083</v>
      </c>
      <c r="AJ5" s="118">
        <v>0</v>
      </c>
      <c r="AK5" s="120">
        <f t="shared" si="18"/>
        <v>20.54</v>
      </c>
      <c r="AL5" s="121">
        <f t="shared" si="19"/>
        <v>-917.81235183443084</v>
      </c>
      <c r="AM5" s="122"/>
      <c r="AN5" s="123">
        <f t="shared" si="7"/>
        <v>1052</v>
      </c>
      <c r="AO5" s="124">
        <f t="shared" si="8"/>
        <v>123.09</v>
      </c>
      <c r="AP5" s="124">
        <f t="shared" si="9"/>
        <v>383.30333333333334</v>
      </c>
      <c r="AQ5" s="124">
        <f t="shared" si="20"/>
        <v>62.35</v>
      </c>
      <c r="AR5" s="124">
        <f t="shared" si="21"/>
        <v>702</v>
      </c>
      <c r="AS5" s="124">
        <f t="array" ref="AS5">_xlfn.IFS(S5=0,AL5,S5&lt;0,AL5/-S5,S5&gt;0,AL5/S5)</f>
        <v>-305.93745061147695</v>
      </c>
      <c r="AT5" s="119">
        <f>IF(AN5=0,0,AS5/AN5)</f>
        <v>-0.29081506712117583</v>
      </c>
      <c r="AU5" s="119">
        <f>IF(AO5=0,0,AS5/AO5)</f>
        <v>-2.4854777042121774</v>
      </c>
      <c r="AV5" s="125"/>
      <c r="AW5" s="120">
        <f t="shared" si="12"/>
        <v>-114726.54397930385</v>
      </c>
    </row>
    <row r="6" spans="1:49" outlineLevel="1">
      <c r="A6" s="114"/>
      <c r="B6" s="115">
        <v>340341838</v>
      </c>
      <c r="C6" s="115" t="s">
        <v>96</v>
      </c>
      <c r="D6" s="116" t="s">
        <v>93</v>
      </c>
      <c r="E6" s="117">
        <f t="shared" si="13"/>
        <v>347</v>
      </c>
      <c r="F6" s="117">
        <v>4</v>
      </c>
      <c r="G6" s="117">
        <v>2</v>
      </c>
      <c r="H6" s="117">
        <v>341</v>
      </c>
      <c r="I6" s="117">
        <v>123.09</v>
      </c>
      <c r="J6" s="117">
        <f t="shared" si="0"/>
        <v>42712.23</v>
      </c>
      <c r="K6" s="114">
        <v>551</v>
      </c>
      <c r="L6" s="114">
        <v>7</v>
      </c>
      <c r="M6" s="114">
        <v>1158</v>
      </c>
      <c r="N6" s="114">
        <v>100</v>
      </c>
      <c r="O6" s="213">
        <f t="shared" si="1"/>
        <v>1</v>
      </c>
      <c r="P6" s="117">
        <f t="shared" ref="P6:P15" si="22">S6/7</f>
        <v>0.42857142857142855</v>
      </c>
      <c r="Q6" s="118">
        <v>3</v>
      </c>
      <c r="R6" s="118">
        <v>0</v>
      </c>
      <c r="S6" s="117">
        <f t="shared" si="14"/>
        <v>3</v>
      </c>
      <c r="T6" s="118">
        <v>2282</v>
      </c>
      <c r="U6" s="118">
        <v>0</v>
      </c>
      <c r="V6" s="117">
        <f t="shared" si="15"/>
        <v>2282</v>
      </c>
      <c r="W6" s="118">
        <v>3466</v>
      </c>
      <c r="X6" s="118">
        <v>0</v>
      </c>
      <c r="Y6" s="117">
        <f t="shared" si="3"/>
        <v>3466</v>
      </c>
      <c r="Z6" s="117">
        <f t="shared" si="16"/>
        <v>8106</v>
      </c>
      <c r="AA6" s="119">
        <f t="shared" si="4"/>
        <v>4.3810197942209979E-2</v>
      </c>
      <c r="AB6" s="117">
        <f t="shared" si="17"/>
        <v>369.27</v>
      </c>
      <c r="AC6" s="118">
        <v>1258.3499999999999</v>
      </c>
      <c r="AD6" s="119">
        <f t="shared" si="5"/>
        <v>0.36305539526832081</v>
      </c>
      <c r="AE6" s="118">
        <v>440</v>
      </c>
      <c r="AF6" s="118"/>
      <c r="AG6" s="118"/>
      <c r="AH6" s="118"/>
      <c r="AI6" s="152">
        <f t="shared" si="6"/>
        <v>220.9554891815616</v>
      </c>
      <c r="AJ6" s="118">
        <v>0</v>
      </c>
      <c r="AK6" s="120">
        <f t="shared" si="18"/>
        <v>22.82</v>
      </c>
      <c r="AL6" s="121">
        <f t="shared" si="19"/>
        <v>1154.6045108184385</v>
      </c>
      <c r="AM6" s="122"/>
      <c r="AN6" s="123">
        <f t="shared" si="7"/>
        <v>1155.3333333333333</v>
      </c>
      <c r="AO6" s="124">
        <f t="shared" si="8"/>
        <v>123.09</v>
      </c>
      <c r="AP6" s="124">
        <f t="shared" si="9"/>
        <v>419.45</v>
      </c>
      <c r="AQ6" s="124">
        <f t="shared" si="20"/>
        <v>146.66666666666666</v>
      </c>
      <c r="AR6" s="124">
        <f t="shared" si="21"/>
        <v>0</v>
      </c>
      <c r="AS6" s="124">
        <f t="array" ref="AS6">_xlfn.IFS(S6=0,AL6,S6&lt;0,AL6/-S6,S6&gt;0,AL6/S6)</f>
        <v>384.86817027281285</v>
      </c>
      <c r="AT6" s="119">
        <f t="shared" ref="AT6:AT15" si="23">IF(AN6=0,0,AS6/AN6)</f>
        <v>0.33312305563140182</v>
      </c>
      <c r="AU6" s="119">
        <f t="shared" ref="AU6:AU15" si="24">IF(AO6=0,0,AS6/AO6)</f>
        <v>3.1267216692892421</v>
      </c>
      <c r="AV6" s="125"/>
      <c r="AW6" s="120">
        <f t="shared" si="12"/>
        <v>133549.25508466605</v>
      </c>
    </row>
    <row r="7" spans="1:49" outlineLevel="1">
      <c r="A7" s="114"/>
      <c r="B7" s="115">
        <v>445291724</v>
      </c>
      <c r="C7" s="115" t="s">
        <v>97</v>
      </c>
      <c r="D7" s="116" t="s">
        <v>93</v>
      </c>
      <c r="E7" s="117">
        <f t="shared" si="13"/>
        <v>283</v>
      </c>
      <c r="F7" s="117">
        <v>4</v>
      </c>
      <c r="G7" s="117">
        <v>0</v>
      </c>
      <c r="H7" s="117">
        <v>279</v>
      </c>
      <c r="I7" s="117">
        <v>123.09</v>
      </c>
      <c r="J7" s="117">
        <f t="shared" si="0"/>
        <v>34834.47</v>
      </c>
      <c r="K7" s="114">
        <v>999</v>
      </c>
      <c r="L7" s="114">
        <v>4</v>
      </c>
      <c r="M7" s="114">
        <v>1079</v>
      </c>
      <c r="N7" s="114">
        <v>100</v>
      </c>
      <c r="O7" s="213">
        <f t="shared" si="1"/>
        <v>0.5714285714285714</v>
      </c>
      <c r="P7" s="117">
        <f t="shared" si="22"/>
        <v>0.14285714285714285</v>
      </c>
      <c r="Q7" s="118">
        <v>1</v>
      </c>
      <c r="R7" s="118">
        <v>0</v>
      </c>
      <c r="S7" s="117">
        <f t="shared" si="14"/>
        <v>1</v>
      </c>
      <c r="T7" s="118">
        <v>672</v>
      </c>
      <c r="U7" s="118">
        <v>0</v>
      </c>
      <c r="V7" s="117">
        <f t="shared" si="15"/>
        <v>672</v>
      </c>
      <c r="W7" s="118">
        <v>1079</v>
      </c>
      <c r="X7" s="118">
        <v>0</v>
      </c>
      <c r="Y7" s="117">
        <f t="shared" si="3"/>
        <v>1079</v>
      </c>
      <c r="Z7" s="117">
        <f t="shared" si="16"/>
        <v>4316</v>
      </c>
      <c r="AA7" s="119">
        <f t="shared" si="4"/>
        <v>1.363854690699497E-2</v>
      </c>
      <c r="AB7" s="117">
        <f t="shared" si="17"/>
        <v>123.09</v>
      </c>
      <c r="AC7" s="118">
        <v>394.09000000000003</v>
      </c>
      <c r="AD7" s="119">
        <f t="shared" si="5"/>
        <v>0.36523632993512517</v>
      </c>
      <c r="AE7" s="118">
        <v>63.8</v>
      </c>
      <c r="AF7" s="118">
        <v>1067</v>
      </c>
      <c r="AG7" s="118">
        <f>17+79</f>
        <v>96</v>
      </c>
      <c r="AH7" s="118"/>
      <c r="AI7" s="152">
        <f t="shared" si="6"/>
        <v>180.78176387582312</v>
      </c>
      <c r="AJ7" s="118">
        <v>0</v>
      </c>
      <c r="AK7" s="120">
        <f t="shared" si="18"/>
        <v>6.72</v>
      </c>
      <c r="AL7" s="121">
        <f t="shared" si="19"/>
        <v>-852.48176387582316</v>
      </c>
      <c r="AM7" s="122"/>
      <c r="AN7" s="123">
        <f t="shared" si="7"/>
        <v>1079</v>
      </c>
      <c r="AO7" s="124">
        <f t="shared" si="8"/>
        <v>123.09</v>
      </c>
      <c r="AP7" s="124">
        <f t="shared" si="9"/>
        <v>394.09000000000003</v>
      </c>
      <c r="AQ7" s="124">
        <f t="shared" si="20"/>
        <v>63.8</v>
      </c>
      <c r="AR7" s="124">
        <f t="shared" si="21"/>
        <v>1163</v>
      </c>
      <c r="AS7" s="124">
        <f t="array" ref="AS7">_xlfn.IFS(S7=0,AL7,S7&lt;0,AL7/-S7,S7&gt;0,AL7/S7)</f>
        <v>-852.48176387582316</v>
      </c>
      <c r="AT7" s="119">
        <f t="shared" si="23"/>
        <v>-0.79006650961614755</v>
      </c>
      <c r="AU7" s="119">
        <f t="shared" si="24"/>
        <v>-6.9256784781527596</v>
      </c>
      <c r="AV7" s="125"/>
      <c r="AW7" s="120">
        <f t="shared" si="12"/>
        <v>-241252.33917685796</v>
      </c>
    </row>
    <row r="8" spans="1:49" outlineLevel="1">
      <c r="A8" s="114"/>
      <c r="B8" s="115">
        <v>445336740</v>
      </c>
      <c r="C8" s="115" t="s">
        <v>98</v>
      </c>
      <c r="D8" s="116" t="s">
        <v>93</v>
      </c>
      <c r="E8" s="117">
        <f t="shared" si="13"/>
        <v>99</v>
      </c>
      <c r="F8" s="117">
        <v>23</v>
      </c>
      <c r="G8" s="117">
        <v>1</v>
      </c>
      <c r="H8" s="117">
        <v>75</v>
      </c>
      <c r="I8" s="117">
        <v>123.09</v>
      </c>
      <c r="J8" s="117">
        <f t="shared" si="0"/>
        <v>12185.91</v>
      </c>
      <c r="K8" s="114">
        <v>50</v>
      </c>
      <c r="L8" s="114">
        <v>31</v>
      </c>
      <c r="M8" s="114">
        <v>1150</v>
      </c>
      <c r="N8" s="114">
        <v>71</v>
      </c>
      <c r="O8" s="213">
        <f t="shared" si="1"/>
        <v>4.4285714285714288</v>
      </c>
      <c r="P8" s="117">
        <f t="shared" si="22"/>
        <v>2</v>
      </c>
      <c r="Q8" s="118">
        <v>14</v>
      </c>
      <c r="R8" s="118">
        <v>0</v>
      </c>
      <c r="S8" s="117">
        <f t="shared" si="14"/>
        <v>14</v>
      </c>
      <c r="T8" s="118">
        <v>10725.07</v>
      </c>
      <c r="U8" s="118">
        <v>0</v>
      </c>
      <c r="V8" s="117">
        <f t="shared" si="15"/>
        <v>10725.07</v>
      </c>
      <c r="W8" s="118">
        <v>16236.869999999999</v>
      </c>
      <c r="X8" s="118">
        <v>0</v>
      </c>
      <c r="Y8" s="117">
        <f t="shared" si="3"/>
        <v>16236.869999999999</v>
      </c>
      <c r="Z8" s="117">
        <f t="shared" si="16"/>
        <v>25311.5</v>
      </c>
      <c r="AA8" s="119">
        <f t="shared" si="4"/>
        <v>0.20523383977551379</v>
      </c>
      <c r="AB8" s="117">
        <f t="shared" si="17"/>
        <v>1723.26</v>
      </c>
      <c r="AC8" s="118">
        <v>5923.7499999999982</v>
      </c>
      <c r="AD8" s="119">
        <f t="shared" si="5"/>
        <v>0.36483324680187734</v>
      </c>
      <c r="AE8" s="118">
        <v>1425.8999999999999</v>
      </c>
      <c r="AF8" s="118">
        <v>3963</v>
      </c>
      <c r="AG8" s="118">
        <v>1000</v>
      </c>
      <c r="AH8" s="118"/>
      <c r="AI8" s="152">
        <f t="shared" si="6"/>
        <v>48.597248353715898</v>
      </c>
      <c r="AJ8" s="118">
        <v>0</v>
      </c>
      <c r="AK8" s="120">
        <f t="shared" si="18"/>
        <v>107.25069999999999</v>
      </c>
      <c r="AL8" s="121">
        <f t="shared" si="19"/>
        <v>2045.1120516462852</v>
      </c>
      <c r="AM8" s="122"/>
      <c r="AN8" s="123">
        <f t="shared" si="7"/>
        <v>1159.7764285714286</v>
      </c>
      <c r="AO8" s="124">
        <f t="shared" si="8"/>
        <v>123.09</v>
      </c>
      <c r="AP8" s="124">
        <f t="shared" si="9"/>
        <v>423.12499999999989</v>
      </c>
      <c r="AQ8" s="124">
        <f t="shared" si="20"/>
        <v>101.85</v>
      </c>
      <c r="AR8" s="124">
        <f t="shared" si="21"/>
        <v>354.5</v>
      </c>
      <c r="AS8" s="124">
        <f t="array" ref="AS8">_xlfn.IFS(S8=0,AL8,S8&lt;0,AL8/-S8,S8&gt;0,AL8/S8)</f>
        <v>146.07943226044895</v>
      </c>
      <c r="AT8" s="119">
        <f t="shared" si="23"/>
        <v>0.12595482082730755</v>
      </c>
      <c r="AU8" s="119">
        <f t="shared" si="24"/>
        <v>1.1867692928787794</v>
      </c>
      <c r="AV8" s="125"/>
      <c r="AW8" s="120">
        <f t="shared" si="12"/>
        <v>14461.863793784447</v>
      </c>
    </row>
    <row r="9" spans="1:49" outlineLevel="1">
      <c r="A9" s="114"/>
      <c r="B9" s="115">
        <v>445341507</v>
      </c>
      <c r="C9" s="115" t="s">
        <v>99</v>
      </c>
      <c r="D9" s="116" t="s">
        <v>93</v>
      </c>
      <c r="E9" s="117">
        <f t="shared" si="13"/>
        <v>247</v>
      </c>
      <c r="F9" s="117">
        <v>14</v>
      </c>
      <c r="G9" s="117">
        <v>4</v>
      </c>
      <c r="H9" s="117">
        <v>229</v>
      </c>
      <c r="I9" s="117">
        <v>169.89</v>
      </c>
      <c r="J9" s="117">
        <f t="shared" si="0"/>
        <v>41962.829999999994</v>
      </c>
      <c r="K9" s="114">
        <v>207</v>
      </c>
      <c r="L9" s="114">
        <v>26</v>
      </c>
      <c r="M9" s="114">
        <v>1174</v>
      </c>
      <c r="N9" s="114">
        <v>64</v>
      </c>
      <c r="O9" s="213">
        <f t="shared" si="1"/>
        <v>3.7142857142857144</v>
      </c>
      <c r="P9" s="117">
        <f t="shared" si="22"/>
        <v>1.5714285714285714</v>
      </c>
      <c r="Q9" s="118">
        <v>11</v>
      </c>
      <c r="R9" s="118">
        <v>0</v>
      </c>
      <c r="S9" s="117">
        <f t="shared" si="14"/>
        <v>11</v>
      </c>
      <c r="T9" s="118">
        <v>8595.9599999999991</v>
      </c>
      <c r="U9" s="118">
        <v>0</v>
      </c>
      <c r="V9" s="117">
        <f t="shared" si="15"/>
        <v>8595.9599999999991</v>
      </c>
      <c r="W9" s="118">
        <v>12913.73</v>
      </c>
      <c r="X9" s="118">
        <v>0</v>
      </c>
      <c r="Y9" s="117">
        <f t="shared" si="3"/>
        <v>12913.73</v>
      </c>
      <c r="Z9" s="117">
        <f t="shared" si="16"/>
        <v>19535.36</v>
      </c>
      <c r="AA9" s="119">
        <f t="shared" si="4"/>
        <v>0.1632293904997851</v>
      </c>
      <c r="AB9" s="117">
        <f t="shared" si="17"/>
        <v>1868.79</v>
      </c>
      <c r="AC9" s="118">
        <v>4666.2700000000004</v>
      </c>
      <c r="AD9" s="119">
        <f t="shared" si="5"/>
        <v>0.36134176570208609</v>
      </c>
      <c r="AE9" s="118">
        <v>1456.3000000000002</v>
      </c>
      <c r="AF9" s="118">
        <v>2000</v>
      </c>
      <c r="AG9" s="118">
        <v>2391</v>
      </c>
      <c r="AH9" s="118"/>
      <c r="AI9" s="152">
        <f t="shared" si="6"/>
        <v>148.3835983066792</v>
      </c>
      <c r="AJ9" s="118">
        <v>0</v>
      </c>
      <c r="AK9" s="120">
        <f t="shared" si="18"/>
        <v>85.959599999999995</v>
      </c>
      <c r="AL9" s="121">
        <f t="shared" si="19"/>
        <v>297.02680169331882</v>
      </c>
      <c r="AM9" s="122"/>
      <c r="AN9" s="123">
        <f t="shared" si="7"/>
        <v>1173.9754545454546</v>
      </c>
      <c r="AO9" s="124">
        <f t="shared" si="8"/>
        <v>169.89</v>
      </c>
      <c r="AP9" s="124">
        <f t="shared" si="9"/>
        <v>424.20636363636368</v>
      </c>
      <c r="AQ9" s="124">
        <f t="shared" si="20"/>
        <v>132.3909090909091</v>
      </c>
      <c r="AR9" s="124">
        <f t="shared" si="21"/>
        <v>399.18181818181819</v>
      </c>
      <c r="AS9" s="124">
        <f t="array" ref="AS9">_xlfn.IFS(S9=0,AL9,S9&lt;0,AL9/-S9,S9&gt;0,AL9/S9)</f>
        <v>27.002436517574438</v>
      </c>
      <c r="AT9" s="119">
        <f t="shared" si="23"/>
        <v>2.3000852712060638E-2</v>
      </c>
      <c r="AU9" s="119">
        <f t="shared" si="24"/>
        <v>0.1589407058542259</v>
      </c>
      <c r="AV9" s="125"/>
      <c r="AW9" s="120">
        <f t="shared" si="12"/>
        <v>6669.6018198408865</v>
      </c>
    </row>
    <row r="10" spans="1:49" outlineLevel="1">
      <c r="A10" s="114"/>
      <c r="B10" s="115">
        <v>497825485</v>
      </c>
      <c r="C10" s="115" t="s">
        <v>100</v>
      </c>
      <c r="D10" s="116" t="s">
        <v>93</v>
      </c>
      <c r="E10" s="117">
        <f t="shared" si="13"/>
        <v>40</v>
      </c>
      <c r="F10" s="117">
        <v>0</v>
      </c>
      <c r="G10" s="117">
        <v>1</v>
      </c>
      <c r="H10" s="117">
        <v>39</v>
      </c>
      <c r="I10" s="117">
        <v>169.89</v>
      </c>
      <c r="J10" s="117">
        <f t="shared" si="0"/>
        <v>6795.5999999999995</v>
      </c>
      <c r="K10" s="114">
        <v>399</v>
      </c>
      <c r="L10" s="114">
        <v>0</v>
      </c>
      <c r="M10" s="114">
        <v>0</v>
      </c>
      <c r="N10" s="114">
        <v>0</v>
      </c>
      <c r="O10" s="213">
        <f t="shared" si="1"/>
        <v>0</v>
      </c>
      <c r="P10" s="117">
        <f t="shared" si="22"/>
        <v>0.14285714285714285</v>
      </c>
      <c r="Q10" s="118">
        <v>1</v>
      </c>
      <c r="R10" s="118">
        <v>0</v>
      </c>
      <c r="S10" s="117">
        <f t="shared" si="14"/>
        <v>1</v>
      </c>
      <c r="T10" s="118">
        <v>876</v>
      </c>
      <c r="U10" s="118">
        <v>0</v>
      </c>
      <c r="V10" s="117">
        <f t="shared" si="15"/>
        <v>876</v>
      </c>
      <c r="W10" s="118">
        <v>1199</v>
      </c>
      <c r="X10" s="118">
        <v>0</v>
      </c>
      <c r="Y10" s="117">
        <f t="shared" si="3"/>
        <v>1199</v>
      </c>
      <c r="Z10" s="117">
        <f t="shared" si="16"/>
        <v>0</v>
      </c>
      <c r="AA10" s="119">
        <f t="shared" si="4"/>
        <v>1.5155345450868368E-2</v>
      </c>
      <c r="AB10" s="117">
        <f t="shared" si="17"/>
        <v>169.89</v>
      </c>
      <c r="AC10" s="118">
        <v>433.02</v>
      </c>
      <c r="AD10" s="119">
        <f t="shared" si="5"/>
        <v>0.36115095913261047</v>
      </c>
      <c r="AE10" s="118">
        <v>163.1</v>
      </c>
      <c r="AF10" s="118"/>
      <c r="AG10" s="118"/>
      <c r="AH10" s="118"/>
      <c r="AI10" s="152">
        <f t="shared" si="6"/>
        <v>25.270569143932264</v>
      </c>
      <c r="AJ10" s="118">
        <v>0</v>
      </c>
      <c r="AK10" s="120">
        <f t="shared" si="18"/>
        <v>8.76</v>
      </c>
      <c r="AL10" s="121">
        <f t="shared" si="19"/>
        <v>398.95943085606785</v>
      </c>
      <c r="AM10" s="122"/>
      <c r="AN10" s="123">
        <f t="shared" si="7"/>
        <v>1199</v>
      </c>
      <c r="AO10" s="124">
        <f t="shared" si="8"/>
        <v>169.89</v>
      </c>
      <c r="AP10" s="124">
        <f t="shared" si="9"/>
        <v>433.02</v>
      </c>
      <c r="AQ10" s="124">
        <f t="shared" si="20"/>
        <v>163.1</v>
      </c>
      <c r="AR10" s="124">
        <f t="shared" si="21"/>
        <v>0</v>
      </c>
      <c r="AS10" s="124">
        <f t="array" ref="AS10">_xlfn.IFS(S10=0,AL10,S10&lt;0,AL10/-S10,S10&gt;0,AL10/S10)</f>
        <v>398.95943085606785</v>
      </c>
      <c r="AT10" s="119">
        <f t="shared" si="23"/>
        <v>0.33274347861223341</v>
      </c>
      <c r="AU10" s="119">
        <f t="shared" si="24"/>
        <v>2.3483396954268518</v>
      </c>
      <c r="AV10" s="125"/>
      <c r="AW10" s="120">
        <f t="shared" si="12"/>
        <v>15958.377234242715</v>
      </c>
    </row>
    <row r="11" spans="1:49" outlineLevel="1">
      <c r="A11" s="114"/>
      <c r="B11" s="115">
        <v>497825962</v>
      </c>
      <c r="C11" s="115" t="s">
        <v>101</v>
      </c>
      <c r="D11" s="116" t="s">
        <v>93</v>
      </c>
      <c r="E11" s="117">
        <f t="shared" si="13"/>
        <v>39</v>
      </c>
      <c r="F11" s="117">
        <v>0</v>
      </c>
      <c r="G11" s="117">
        <v>1</v>
      </c>
      <c r="H11" s="117">
        <v>38</v>
      </c>
      <c r="I11" s="117">
        <v>169.89</v>
      </c>
      <c r="J11" s="117">
        <f t="shared" si="0"/>
        <v>6625.7099999999991</v>
      </c>
      <c r="K11" s="114">
        <v>399</v>
      </c>
      <c r="L11" s="114">
        <v>2</v>
      </c>
      <c r="M11" s="114">
        <v>1145</v>
      </c>
      <c r="N11" s="114">
        <v>50</v>
      </c>
      <c r="O11" s="213">
        <f t="shared" si="1"/>
        <v>0.2857142857142857</v>
      </c>
      <c r="P11" s="117">
        <f t="shared" si="22"/>
        <v>0.2857142857142857</v>
      </c>
      <c r="Q11" s="118">
        <v>2</v>
      </c>
      <c r="R11" s="118">
        <v>0</v>
      </c>
      <c r="S11" s="117">
        <f t="shared" si="14"/>
        <v>2</v>
      </c>
      <c r="T11" s="118">
        <v>1563</v>
      </c>
      <c r="U11" s="118">
        <v>0</v>
      </c>
      <c r="V11" s="117">
        <f t="shared" si="15"/>
        <v>1563</v>
      </c>
      <c r="W11" s="118">
        <v>2290</v>
      </c>
      <c r="X11" s="118">
        <v>0</v>
      </c>
      <c r="Y11" s="117">
        <f t="shared" si="3"/>
        <v>2290</v>
      </c>
      <c r="Z11" s="117">
        <f t="shared" si="16"/>
        <v>1145</v>
      </c>
      <c r="AA11" s="119">
        <f t="shared" si="4"/>
        <v>2.8945572212250675E-2</v>
      </c>
      <c r="AB11" s="117">
        <f t="shared" si="17"/>
        <v>339.78</v>
      </c>
      <c r="AC11" s="118">
        <v>817.75</v>
      </c>
      <c r="AD11" s="119">
        <f t="shared" si="5"/>
        <v>0.35709606986899561</v>
      </c>
      <c r="AE11" s="118">
        <v>333.45</v>
      </c>
      <c r="AF11" s="118"/>
      <c r="AG11" s="118"/>
      <c r="AH11" s="118"/>
      <c r="AI11" s="152">
        <f t="shared" si="6"/>
        <v>24.622605832549386</v>
      </c>
      <c r="AJ11" s="118">
        <v>0</v>
      </c>
      <c r="AK11" s="120">
        <f t="shared" si="18"/>
        <v>15.63</v>
      </c>
      <c r="AL11" s="121">
        <f t="shared" si="19"/>
        <v>758.76739416745056</v>
      </c>
      <c r="AM11" s="122"/>
      <c r="AN11" s="123">
        <f t="shared" si="7"/>
        <v>1145</v>
      </c>
      <c r="AO11" s="124">
        <f t="shared" si="8"/>
        <v>169.89</v>
      </c>
      <c r="AP11" s="124">
        <f t="shared" si="9"/>
        <v>408.875</v>
      </c>
      <c r="AQ11" s="124">
        <f t="shared" si="20"/>
        <v>166.72499999999999</v>
      </c>
      <c r="AR11" s="124">
        <f t="shared" si="21"/>
        <v>0</v>
      </c>
      <c r="AS11" s="124">
        <f t="array" ref="AS11">_xlfn.IFS(S11=0,AL11,S11&lt;0,AL11/-S11,S11&gt;0,AL11/S11)</f>
        <v>379.38369708372528</v>
      </c>
      <c r="AT11" s="119">
        <f t="shared" si="23"/>
        <v>0.33133947343556791</v>
      </c>
      <c r="AU11" s="119">
        <f t="shared" si="24"/>
        <v>2.2331137623387209</v>
      </c>
      <c r="AV11" s="125"/>
      <c r="AW11" s="120">
        <f t="shared" si="12"/>
        <v>14795.964186265286</v>
      </c>
    </row>
    <row r="12" spans="1:49" outlineLevel="1">
      <c r="A12" s="114"/>
      <c r="B12" s="115">
        <v>497821775</v>
      </c>
      <c r="C12" s="115" t="s">
        <v>102</v>
      </c>
      <c r="D12" s="116" t="s">
        <v>93</v>
      </c>
      <c r="E12" s="117">
        <f t="shared" si="13"/>
        <v>44</v>
      </c>
      <c r="F12" s="117">
        <v>0</v>
      </c>
      <c r="G12" s="117">
        <v>0</v>
      </c>
      <c r="H12" s="117">
        <v>44</v>
      </c>
      <c r="I12" s="117">
        <v>169.89</v>
      </c>
      <c r="J12" s="117">
        <f t="shared" si="0"/>
        <v>7475.16</v>
      </c>
      <c r="K12" s="114">
        <v>264</v>
      </c>
      <c r="L12" s="114">
        <v>0</v>
      </c>
      <c r="M12" s="114">
        <v>0</v>
      </c>
      <c r="N12" s="114">
        <v>0</v>
      </c>
      <c r="O12" s="213">
        <f t="shared" si="1"/>
        <v>0</v>
      </c>
      <c r="P12" s="117">
        <f t="shared" si="22"/>
        <v>0.2857142857142857</v>
      </c>
      <c r="Q12" s="118">
        <v>2</v>
      </c>
      <c r="R12" s="118">
        <v>0</v>
      </c>
      <c r="S12" s="117">
        <f t="shared" si="14"/>
        <v>2</v>
      </c>
      <c r="T12" s="118">
        <v>1779</v>
      </c>
      <c r="U12" s="118">
        <v>0</v>
      </c>
      <c r="V12" s="117">
        <f t="shared" si="15"/>
        <v>1779</v>
      </c>
      <c r="W12" s="118">
        <v>2332</v>
      </c>
      <c r="X12" s="118">
        <v>0</v>
      </c>
      <c r="Y12" s="117">
        <f t="shared" si="3"/>
        <v>2332</v>
      </c>
      <c r="Z12" s="117">
        <f t="shared" si="16"/>
        <v>0</v>
      </c>
      <c r="AA12" s="119">
        <f t="shared" si="4"/>
        <v>2.9476451702606366E-2</v>
      </c>
      <c r="AB12" s="117">
        <f t="shared" si="17"/>
        <v>339.78</v>
      </c>
      <c r="AC12" s="118">
        <v>836.55</v>
      </c>
      <c r="AD12" s="119">
        <f t="shared" si="5"/>
        <v>0.35872641509433961</v>
      </c>
      <c r="AE12" s="118">
        <v>326.2</v>
      </c>
      <c r="AF12" s="118"/>
      <c r="AG12" s="118"/>
      <c r="AH12" s="118"/>
      <c r="AI12" s="152">
        <f t="shared" si="6"/>
        <v>28.510385700846658</v>
      </c>
      <c r="AJ12" s="118">
        <v>0</v>
      </c>
      <c r="AK12" s="120">
        <f t="shared" si="18"/>
        <v>17.79</v>
      </c>
      <c r="AL12" s="121">
        <f t="shared" si="19"/>
        <v>783.16961429915341</v>
      </c>
      <c r="AM12" s="122"/>
      <c r="AN12" s="123">
        <f t="shared" si="7"/>
        <v>1166</v>
      </c>
      <c r="AO12" s="124">
        <f t="shared" si="8"/>
        <v>169.89</v>
      </c>
      <c r="AP12" s="124">
        <f t="shared" si="9"/>
        <v>418.27499999999998</v>
      </c>
      <c r="AQ12" s="124">
        <f t="shared" si="20"/>
        <v>163.1</v>
      </c>
      <c r="AR12" s="124">
        <f t="shared" si="21"/>
        <v>0</v>
      </c>
      <c r="AS12" s="124">
        <f t="array" ref="AS12">_xlfn.IFS(S12=0,AL12,S12&lt;0,AL12/-S12,S12&gt;0,AL12/S12)</f>
        <v>391.5848071495767</v>
      </c>
      <c r="AT12" s="119">
        <f t="shared" si="23"/>
        <v>0.33583602671490281</v>
      </c>
      <c r="AU12" s="119">
        <f t="shared" si="24"/>
        <v>2.3049314683005284</v>
      </c>
      <c r="AV12" s="125"/>
      <c r="AW12" s="120">
        <f t="shared" si="12"/>
        <v>17229.731514581374</v>
      </c>
    </row>
    <row r="13" spans="1:49" outlineLevel="1">
      <c r="A13" s="114"/>
      <c r="B13" s="115">
        <v>497823770</v>
      </c>
      <c r="C13" s="115" t="s">
        <v>103</v>
      </c>
      <c r="D13" s="116" t="s">
        <v>93</v>
      </c>
      <c r="E13" s="117">
        <f t="shared" si="13"/>
        <v>8</v>
      </c>
      <c r="F13" s="117">
        <v>0</v>
      </c>
      <c r="G13" s="117">
        <v>0</v>
      </c>
      <c r="H13" s="117">
        <v>8</v>
      </c>
      <c r="I13" s="117">
        <v>169.89</v>
      </c>
      <c r="J13" s="117">
        <f t="shared" si="0"/>
        <v>1359.12</v>
      </c>
      <c r="K13" s="114">
        <v>92</v>
      </c>
      <c r="L13" s="114">
        <v>0</v>
      </c>
      <c r="M13" s="114">
        <v>0</v>
      </c>
      <c r="N13" s="114">
        <v>0</v>
      </c>
      <c r="O13" s="213">
        <f t="shared" si="1"/>
        <v>0</v>
      </c>
      <c r="P13" s="117">
        <f t="shared" si="22"/>
        <v>0.14285714285714285</v>
      </c>
      <c r="Q13" s="118">
        <v>1</v>
      </c>
      <c r="R13" s="118">
        <v>0</v>
      </c>
      <c r="S13" s="117">
        <f t="shared" si="14"/>
        <v>1</v>
      </c>
      <c r="T13" s="118">
        <v>788</v>
      </c>
      <c r="U13" s="118">
        <v>0</v>
      </c>
      <c r="V13" s="117">
        <f t="shared" si="15"/>
        <v>788</v>
      </c>
      <c r="W13" s="118">
        <v>1166</v>
      </c>
      <c r="X13" s="118">
        <v>0</v>
      </c>
      <c r="Y13" s="117">
        <f t="shared" si="3"/>
        <v>1166</v>
      </c>
      <c r="Z13" s="117">
        <f t="shared" si="16"/>
        <v>0</v>
      </c>
      <c r="AA13" s="119">
        <f t="shared" si="4"/>
        <v>1.4738225851303183E-2</v>
      </c>
      <c r="AB13" s="117">
        <f t="shared" si="17"/>
        <v>169.89</v>
      </c>
      <c r="AC13" s="118">
        <v>427.88</v>
      </c>
      <c r="AD13" s="119">
        <f t="shared" si="5"/>
        <v>0.36696397941680958</v>
      </c>
      <c r="AE13" s="118">
        <v>46.4</v>
      </c>
      <c r="AF13" s="118"/>
      <c r="AG13" s="118"/>
      <c r="AH13" s="118"/>
      <c r="AI13" s="152">
        <f t="shared" si="6"/>
        <v>5.1837064910630293</v>
      </c>
      <c r="AJ13" s="118">
        <v>0</v>
      </c>
      <c r="AK13" s="120">
        <f t="shared" si="18"/>
        <v>7.88</v>
      </c>
      <c r="AL13" s="121">
        <f t="shared" si="19"/>
        <v>508.766293508937</v>
      </c>
      <c r="AM13" s="122"/>
      <c r="AN13" s="123">
        <f t="shared" si="7"/>
        <v>1166</v>
      </c>
      <c r="AO13" s="124">
        <f t="shared" si="8"/>
        <v>169.89</v>
      </c>
      <c r="AP13" s="124">
        <f t="shared" si="9"/>
        <v>427.88</v>
      </c>
      <c r="AQ13" s="124">
        <f t="shared" si="20"/>
        <v>46.4</v>
      </c>
      <c r="AR13" s="124">
        <f t="shared" si="21"/>
        <v>0</v>
      </c>
      <c r="AS13" s="124">
        <f t="array" ref="AS13">_xlfn.IFS(S13=0,AL13,S13&lt;0,AL13/-S13,S13&gt;0,AL13/S13)</f>
        <v>508.766293508937</v>
      </c>
      <c r="AT13" s="119">
        <f t="shared" si="23"/>
        <v>0.43633472856684136</v>
      </c>
      <c r="AU13" s="119">
        <f t="shared" si="24"/>
        <v>2.9946806375239099</v>
      </c>
      <c r="AV13" s="125"/>
      <c r="AW13" s="120">
        <f t="shared" si="12"/>
        <v>4070.130348071496</v>
      </c>
    </row>
    <row r="14" spans="1:49" outlineLevel="1">
      <c r="A14" s="114"/>
      <c r="B14" s="115">
        <v>497824253</v>
      </c>
      <c r="C14" s="115" t="s">
        <v>104</v>
      </c>
      <c r="D14" s="116" t="s">
        <v>93</v>
      </c>
      <c r="E14" s="117">
        <f t="shared" si="13"/>
        <v>59</v>
      </c>
      <c r="F14" s="117">
        <v>0</v>
      </c>
      <c r="G14" s="117">
        <v>1</v>
      </c>
      <c r="H14" s="117">
        <v>58</v>
      </c>
      <c r="I14" s="117">
        <v>169.89</v>
      </c>
      <c r="J14" s="117">
        <f t="shared" si="0"/>
        <v>10023.509999999998</v>
      </c>
      <c r="K14" s="114">
        <v>259</v>
      </c>
      <c r="L14" s="114">
        <v>2</v>
      </c>
      <c r="M14" s="114">
        <v>1232</v>
      </c>
      <c r="N14" s="114">
        <v>100</v>
      </c>
      <c r="O14" s="213">
        <f t="shared" si="1"/>
        <v>0.2857142857142857</v>
      </c>
      <c r="P14" s="117">
        <f t="shared" si="22"/>
        <v>0.2857142857142857</v>
      </c>
      <c r="Q14" s="118">
        <v>2</v>
      </c>
      <c r="R14" s="118">
        <v>0</v>
      </c>
      <c r="S14" s="117">
        <f t="shared" si="14"/>
        <v>2</v>
      </c>
      <c r="T14" s="118">
        <v>1559</v>
      </c>
      <c r="U14" s="118">
        <v>0</v>
      </c>
      <c r="V14" s="117">
        <f t="shared" si="15"/>
        <v>1559</v>
      </c>
      <c r="W14" s="118">
        <v>2464</v>
      </c>
      <c r="X14" s="118">
        <v>0</v>
      </c>
      <c r="Y14" s="117">
        <f t="shared" si="3"/>
        <v>2464</v>
      </c>
      <c r="Z14" s="117">
        <f t="shared" si="16"/>
        <v>2464</v>
      </c>
      <c r="AA14" s="119">
        <f t="shared" si="4"/>
        <v>3.1144930100867104E-2</v>
      </c>
      <c r="AB14" s="117">
        <f t="shared" si="17"/>
        <v>339.78</v>
      </c>
      <c r="AC14" s="118">
        <v>906.46</v>
      </c>
      <c r="AD14" s="119">
        <f t="shared" si="5"/>
        <v>0.36788149350649352</v>
      </c>
      <c r="AE14" s="118">
        <v>337.8</v>
      </c>
      <c r="AF14" s="118"/>
      <c r="AG14" s="118"/>
      <c r="AH14" s="118"/>
      <c r="AI14" s="152">
        <f t="shared" si="6"/>
        <v>37.581872060206962</v>
      </c>
      <c r="AJ14" s="118">
        <v>0</v>
      </c>
      <c r="AK14" s="120">
        <f t="shared" si="18"/>
        <v>15.59</v>
      </c>
      <c r="AL14" s="121">
        <f t="shared" si="19"/>
        <v>826.7881279397933</v>
      </c>
      <c r="AM14" s="122"/>
      <c r="AN14" s="123">
        <f t="shared" si="7"/>
        <v>1232</v>
      </c>
      <c r="AO14" s="124">
        <f t="shared" si="8"/>
        <v>169.89</v>
      </c>
      <c r="AP14" s="124">
        <f t="shared" si="9"/>
        <v>453.23</v>
      </c>
      <c r="AQ14" s="124">
        <f t="shared" si="20"/>
        <v>168.9</v>
      </c>
      <c r="AR14" s="124">
        <f t="shared" si="21"/>
        <v>0</v>
      </c>
      <c r="AS14" s="124">
        <f t="array" ref="AS14">_xlfn.IFS(S14=0,AL14,S14&lt;0,AL14/-S14,S14&gt;0,AL14/S14)</f>
        <v>413.39406396989665</v>
      </c>
      <c r="AT14" s="119">
        <f t="shared" si="23"/>
        <v>0.33554712984569535</v>
      </c>
      <c r="AU14" s="119">
        <f t="shared" si="24"/>
        <v>2.4333042790623147</v>
      </c>
      <c r="AV14" s="125"/>
      <c r="AW14" s="120">
        <f t="shared" si="12"/>
        <v>24390.249774223903</v>
      </c>
    </row>
    <row r="15" spans="1:49" outlineLevel="1">
      <c r="A15" s="114"/>
      <c r="B15" s="115">
        <v>497824944</v>
      </c>
      <c r="C15" s="115" t="s">
        <v>105</v>
      </c>
      <c r="D15" s="116" t="s">
        <v>93</v>
      </c>
      <c r="E15" s="117">
        <f t="shared" si="13"/>
        <v>34</v>
      </c>
      <c r="F15" s="117">
        <v>0</v>
      </c>
      <c r="G15" s="117">
        <v>0</v>
      </c>
      <c r="H15" s="117">
        <v>34</v>
      </c>
      <c r="I15" s="117">
        <v>169.89</v>
      </c>
      <c r="J15" s="117">
        <f t="shared" si="0"/>
        <v>5776.2599999999993</v>
      </c>
      <c r="K15" s="114">
        <v>524</v>
      </c>
      <c r="L15" s="114">
        <v>0</v>
      </c>
      <c r="M15" s="114">
        <v>0</v>
      </c>
      <c r="N15" s="114">
        <v>0</v>
      </c>
      <c r="O15" s="213">
        <f t="shared" si="1"/>
        <v>0</v>
      </c>
      <c r="P15" s="117">
        <f t="shared" si="22"/>
        <v>0</v>
      </c>
      <c r="Q15" s="118">
        <v>0</v>
      </c>
      <c r="R15" s="118">
        <v>0</v>
      </c>
      <c r="S15" s="117">
        <f t="shared" si="14"/>
        <v>0</v>
      </c>
      <c r="T15" s="118">
        <v>0</v>
      </c>
      <c r="U15" s="118">
        <v>0</v>
      </c>
      <c r="V15" s="117">
        <f t="shared" si="15"/>
        <v>0</v>
      </c>
      <c r="W15" s="118">
        <v>0</v>
      </c>
      <c r="X15" s="118">
        <v>0</v>
      </c>
      <c r="Y15" s="117">
        <f t="shared" si="3"/>
        <v>0</v>
      </c>
      <c r="Z15" s="117">
        <f t="shared" si="16"/>
        <v>0</v>
      </c>
      <c r="AA15" s="119">
        <f t="shared" si="4"/>
        <v>0</v>
      </c>
      <c r="AB15" s="117">
        <f t="shared" si="17"/>
        <v>0</v>
      </c>
      <c r="AC15" s="118">
        <v>0</v>
      </c>
      <c r="AD15" s="119">
        <f t="shared" si="5"/>
        <v>0</v>
      </c>
      <c r="AE15" s="118">
        <v>0</v>
      </c>
      <c r="AF15" s="118"/>
      <c r="AG15" s="118"/>
      <c r="AH15" s="118"/>
      <c r="AI15" s="152">
        <f t="shared" si="6"/>
        <v>22.030752587017872</v>
      </c>
      <c r="AJ15" s="118">
        <v>0</v>
      </c>
      <c r="AK15" s="120">
        <f t="shared" si="18"/>
        <v>0</v>
      </c>
      <c r="AL15" s="121">
        <f t="shared" si="19"/>
        <v>-22.030752587017872</v>
      </c>
      <c r="AM15" s="122"/>
      <c r="AN15" s="123">
        <f t="shared" si="7"/>
        <v>0</v>
      </c>
      <c r="AO15" s="124">
        <f t="shared" si="8"/>
        <v>169.89</v>
      </c>
      <c r="AP15" s="124">
        <f t="shared" si="9"/>
        <v>0</v>
      </c>
      <c r="AQ15" s="124">
        <f t="shared" si="20"/>
        <v>0</v>
      </c>
      <c r="AR15" s="124">
        <f t="shared" si="21"/>
        <v>0</v>
      </c>
      <c r="AS15" s="124">
        <f t="array" ref="AS15">_xlfn.IFS(S15=0,AL15,S15&lt;0,AL15/-S15,S15&gt;0,AL15/S15)</f>
        <v>-22.030752587017872</v>
      </c>
      <c r="AT15" s="119">
        <f t="shared" si="23"/>
        <v>0</v>
      </c>
      <c r="AU15" s="119">
        <f t="shared" si="24"/>
        <v>-0.12967657064581714</v>
      </c>
      <c r="AV15" s="125"/>
      <c r="AW15" s="120">
        <f t="shared" si="12"/>
        <v>-749.04558795860771</v>
      </c>
    </row>
    <row r="16" spans="1:49" s="140" customFormat="1" outlineLevel="1">
      <c r="A16" s="127"/>
      <c r="B16" s="128"/>
      <c r="C16" s="129"/>
      <c r="D16" s="130"/>
      <c r="E16" s="131"/>
      <c r="F16" s="131"/>
      <c r="G16" s="131"/>
      <c r="H16" s="131"/>
      <c r="I16" s="131"/>
      <c r="J16" s="131"/>
      <c r="K16" s="129"/>
      <c r="L16" s="129"/>
      <c r="M16" s="129"/>
      <c r="N16" s="129"/>
      <c r="O16" s="131"/>
      <c r="P16" s="131"/>
      <c r="Q16" s="132"/>
      <c r="R16" s="132"/>
      <c r="S16" s="131"/>
      <c r="T16" s="118"/>
      <c r="U16" s="118"/>
      <c r="V16" s="131"/>
      <c r="W16" s="132"/>
      <c r="X16" s="132"/>
      <c r="Y16" s="131"/>
      <c r="Z16" s="131"/>
      <c r="AA16" s="133"/>
      <c r="AB16" s="131"/>
      <c r="AC16" s="132"/>
      <c r="AD16" s="133"/>
      <c r="AE16" s="132"/>
      <c r="AF16" s="132"/>
      <c r="AG16" s="132"/>
      <c r="AH16" s="132"/>
      <c r="AI16" s="134"/>
      <c r="AJ16" s="132"/>
      <c r="AK16" s="135"/>
      <c r="AL16" s="136"/>
      <c r="AM16" s="137"/>
      <c r="AN16" s="138">
        <f t="shared" ref="AN16:AU16" si="25">AVERAGE(AN3:AN6)</f>
        <v>1093.5680964912281</v>
      </c>
      <c r="AO16" s="138">
        <f t="shared" si="25"/>
        <v>128.0625</v>
      </c>
      <c r="AP16" s="138">
        <f t="shared" si="25"/>
        <v>397.7028201754386</v>
      </c>
      <c r="AQ16" s="138">
        <f t="shared" si="25"/>
        <v>111.82291666666669</v>
      </c>
      <c r="AR16" s="138">
        <f t="shared" si="25"/>
        <v>348.35</v>
      </c>
      <c r="AS16" s="138">
        <f t="shared" si="25"/>
        <v>48.034924895652836</v>
      </c>
      <c r="AT16" s="139">
        <f t="shared" si="25"/>
        <v>3.4632169764172563E-2</v>
      </c>
      <c r="AU16" s="138">
        <f t="shared" si="25"/>
        <v>0.36327730273821168</v>
      </c>
      <c r="AV16" s="125"/>
      <c r="AW16" s="135"/>
    </row>
    <row r="17" spans="1:49" s="148" customFormat="1">
      <c r="A17" s="141" t="s">
        <v>106</v>
      </c>
      <c r="B17" s="142"/>
      <c r="C17" s="143"/>
      <c r="D17" s="143"/>
      <c r="E17" s="143">
        <f t="shared" ref="E17:G17" si="26">SUM(E3:E15)</f>
        <v>2244</v>
      </c>
      <c r="F17" s="143">
        <f t="shared" si="26"/>
        <v>99</v>
      </c>
      <c r="G17" s="143">
        <f t="shared" si="26"/>
        <v>19</v>
      </c>
      <c r="H17" s="143">
        <f>SUM(H3:H15)</f>
        <v>2126</v>
      </c>
      <c r="I17" s="143"/>
      <c r="J17" s="143">
        <f>SUM(J3:J15)</f>
        <v>306013.86</v>
      </c>
      <c r="K17" s="143"/>
      <c r="L17" s="143">
        <f>SUM(L3:L15)</f>
        <v>157</v>
      </c>
      <c r="M17" s="143"/>
      <c r="N17" s="143"/>
      <c r="O17" s="143"/>
      <c r="P17" s="143"/>
      <c r="Q17" s="143">
        <f>SUM(Q3:Q15)</f>
        <v>70</v>
      </c>
      <c r="R17" s="143">
        <f t="shared" ref="R17:Z17" si="27">SUM(R3:R15)</f>
        <v>-1</v>
      </c>
      <c r="S17" s="143">
        <f t="shared" si="27"/>
        <v>69</v>
      </c>
      <c r="T17" s="143">
        <f t="shared" si="27"/>
        <v>53707.42</v>
      </c>
      <c r="U17" s="143">
        <f t="shared" si="27"/>
        <v>-813</v>
      </c>
      <c r="V17" s="143">
        <f t="shared" si="27"/>
        <v>52894.42</v>
      </c>
      <c r="W17" s="143">
        <f t="shared" si="27"/>
        <v>80352</v>
      </c>
      <c r="X17" s="143">
        <f t="shared" si="27"/>
        <v>-1238</v>
      </c>
      <c r="Y17" s="143">
        <f t="shared" si="27"/>
        <v>79114</v>
      </c>
      <c r="Z17" s="143">
        <f t="shared" si="27"/>
        <v>119553.87999999999</v>
      </c>
      <c r="AA17" s="144">
        <f>SUM(AA3:AA15)</f>
        <v>1</v>
      </c>
      <c r="AB17" s="145">
        <f>SUM(AB3:AB15)</f>
        <v>9760.3200000000015</v>
      </c>
      <c r="AC17" s="145">
        <f>SUM(AC3:AC15)</f>
        <v>28720.66</v>
      </c>
      <c r="AD17" s="144">
        <f>AC17/Y17</f>
        <v>0.36302879389235787</v>
      </c>
      <c r="AE17" s="143">
        <f>SUM(AE3:AE15)</f>
        <v>8509.6</v>
      </c>
      <c r="AF17" s="143">
        <f t="shared" ref="AF17:AL17" si="28">SUM(AF3:AF15)</f>
        <v>13613</v>
      </c>
      <c r="AG17" s="143">
        <f t="shared" si="28"/>
        <v>9632</v>
      </c>
      <c r="AH17" s="143">
        <f t="shared" si="28"/>
        <v>0</v>
      </c>
      <c r="AI17" s="143">
        <f>SUM(AI3:AI15)</f>
        <v>1377.5700000000002</v>
      </c>
      <c r="AJ17" s="143">
        <f>SUM(AJ3:AJ15)</f>
        <v>0</v>
      </c>
      <c r="AK17" s="143">
        <f t="shared" si="28"/>
        <v>528.94420000000014</v>
      </c>
      <c r="AL17" s="143">
        <f t="shared" si="28"/>
        <v>6971.9057999999986</v>
      </c>
      <c r="AM17" s="146"/>
      <c r="AN17" s="143"/>
      <c r="AO17" s="143"/>
      <c r="AP17" s="143"/>
      <c r="AQ17" s="143"/>
      <c r="AR17" s="143">
        <f>(AF17+AG17)/Q17</f>
        <v>332.07142857142856</v>
      </c>
      <c r="AS17" s="143"/>
      <c r="AT17" s="143"/>
      <c r="AU17" s="143"/>
      <c r="AV17" s="147"/>
      <c r="AW17" s="143">
        <f>SUM(AW3:AW6)</f>
        <v>61001.691781310597</v>
      </c>
    </row>
    <row r="18" spans="1:49">
      <c r="A18" s="114"/>
      <c r="B18" s="115"/>
      <c r="C18" s="115"/>
      <c r="D18" s="149"/>
      <c r="E18" s="118"/>
      <c r="F18" s="118"/>
      <c r="G18" s="118"/>
      <c r="H18" s="118"/>
      <c r="I18" s="118"/>
      <c r="J18" s="118"/>
      <c r="K18" s="114"/>
      <c r="L18" s="114"/>
      <c r="M18" s="114"/>
      <c r="N18" s="114"/>
      <c r="O18" s="118"/>
      <c r="P18" s="118"/>
      <c r="Q18" s="118"/>
      <c r="R18" s="118"/>
      <c r="S18" s="118"/>
      <c r="T18" s="118"/>
      <c r="U18" s="118"/>
      <c r="V18" s="118"/>
      <c r="W18" s="118"/>
      <c r="X18" s="118"/>
      <c r="Y18" s="118"/>
      <c r="Z18" s="118"/>
      <c r="AA18" s="150"/>
      <c r="AB18" s="118"/>
      <c r="AC18" s="118"/>
      <c r="AD18" s="150"/>
      <c r="AE18" s="118"/>
      <c r="AF18" s="346"/>
      <c r="AG18" s="346"/>
      <c r="AH18" s="236"/>
      <c r="AI18" s="152"/>
      <c r="AJ18" s="118"/>
      <c r="AK18" s="153"/>
      <c r="AL18" s="154"/>
      <c r="AM18" s="122"/>
      <c r="AN18" s="155"/>
      <c r="AO18" s="156"/>
      <c r="AP18" s="156"/>
      <c r="AQ18" s="156"/>
      <c r="AR18" s="156"/>
      <c r="AS18" s="156"/>
      <c r="AT18" s="157"/>
      <c r="AU18" s="157"/>
      <c r="AV18" s="125"/>
      <c r="AW18" s="153"/>
    </row>
    <row r="19" spans="1:49" hidden="1" outlineLevel="1">
      <c r="A19" s="114"/>
      <c r="B19" s="115"/>
      <c r="C19" s="115"/>
      <c r="D19" s="116"/>
      <c r="E19" s="117">
        <f t="shared" ref="E19:E50" si="29">SUM(F19:H19)</f>
        <v>0</v>
      </c>
      <c r="F19" s="117"/>
      <c r="G19" s="117"/>
      <c r="H19" s="117"/>
      <c r="I19" s="117"/>
      <c r="J19" s="117">
        <f t="shared" ref="J19:J70" si="30">E19*I19</f>
        <v>0</v>
      </c>
      <c r="K19" s="114"/>
      <c r="L19" s="114"/>
      <c r="M19" s="114"/>
      <c r="N19" s="114"/>
      <c r="O19" s="117">
        <f t="shared" ref="O19:O70" si="31">L19/7</f>
        <v>0</v>
      </c>
      <c r="P19" s="117">
        <f t="shared" ref="P19:P70" si="32">S19/7</f>
        <v>0</v>
      </c>
      <c r="Q19" s="118"/>
      <c r="R19" s="118"/>
      <c r="S19" s="117">
        <f t="shared" ref="S19:S70" si="33">Q19+R19</f>
        <v>0</v>
      </c>
      <c r="T19" s="117"/>
      <c r="U19" s="117"/>
      <c r="V19" s="117">
        <f t="shared" ref="V19:V70" si="34">T19+U19</f>
        <v>0</v>
      </c>
      <c r="W19" s="118"/>
      <c r="X19" s="118"/>
      <c r="Y19" s="117">
        <f t="shared" ref="Y19:Y70" si="35">W19+X19</f>
        <v>0</v>
      </c>
      <c r="Z19" s="117">
        <f t="shared" ref="Z19:Z65" si="36">L19*M19*N19/100</f>
        <v>0</v>
      </c>
      <c r="AA19" s="119">
        <f>Y19/$Y$74</f>
        <v>0</v>
      </c>
      <c r="AB19" s="117">
        <f t="shared" ref="AB19:AB70" si="37">S19*I19</f>
        <v>0</v>
      </c>
      <c r="AC19" s="118"/>
      <c r="AD19" s="119">
        <f t="shared" ref="AD19:AD70" si="38">IF(Y19=0,0,AC19/Y19)</f>
        <v>0</v>
      </c>
      <c r="AE19" s="118"/>
      <c r="AF19" s="118"/>
      <c r="AG19" s="118"/>
      <c r="AH19" s="118"/>
      <c r="AI19" s="152">
        <f t="shared" ref="AI19:AI70" si="39">$AI$74*H19/$H$74</f>
        <v>0</v>
      </c>
      <c r="AJ19" s="118"/>
      <c r="AK19" s="120">
        <f t="shared" ref="AK19:AK70" si="40">V19*1%</f>
        <v>0</v>
      </c>
      <c r="AL19" s="121">
        <f t="shared" ref="AL19:AL70" si="41">Y19-AB19-AC19-AE19-AF19-AG19-AH19-AI19-AK19-AJ19</f>
        <v>0</v>
      </c>
      <c r="AM19" s="122"/>
      <c r="AN19" s="123">
        <f t="shared" ref="AN19:AN70" si="42">IF(S19=0,0,Y19/S19)</f>
        <v>0</v>
      </c>
      <c r="AO19" s="124">
        <f t="shared" ref="AO19:AO70" si="43">I19</f>
        <v>0</v>
      </c>
      <c r="AP19" s="124">
        <f t="shared" ref="AP19:AP70" si="44">IF(S19=0,0,AC19/S19)</f>
        <v>0</v>
      </c>
      <c r="AQ19" s="124">
        <f t="shared" ref="AQ19:AQ70" si="45">IF(Q19=0,AE19/1,AE19/Q19)</f>
        <v>0</v>
      </c>
      <c r="AR19" s="124">
        <f t="shared" ref="AR19:AR70" si="46">IF(Q19=0,0,(AF19+AG19)/Q19)</f>
        <v>0</v>
      </c>
      <c r="AS19" s="124">
        <f t="array" ref="AS19">_xlfn.IFS(S19=0,AL19,S19&lt;0,AL19/-S19,S19&gt;0,AL19/S19)</f>
        <v>0</v>
      </c>
      <c r="AT19" s="119">
        <f t="shared" ref="AT19:AT70" si="47">IF(AN19=0,0,AS19/AN19)</f>
        <v>0</v>
      </c>
      <c r="AU19" s="119">
        <f t="shared" ref="AU19:AU70" si="48">IF(AO19=0,0,AS19/AO19)</f>
        <v>0</v>
      </c>
      <c r="AV19" s="125"/>
      <c r="AW19" s="120">
        <f t="shared" ref="AW19:AW70" si="49">AS19*E19</f>
        <v>0</v>
      </c>
    </row>
    <row r="20" spans="1:49" hidden="1" outlineLevel="1">
      <c r="A20" s="114"/>
      <c r="B20" s="115"/>
      <c r="C20" s="115"/>
      <c r="D20" s="116"/>
      <c r="E20" s="117">
        <f t="shared" si="29"/>
        <v>0</v>
      </c>
      <c r="F20" s="117"/>
      <c r="G20" s="117"/>
      <c r="H20" s="117"/>
      <c r="I20" s="117"/>
      <c r="J20" s="117">
        <f t="shared" si="30"/>
        <v>0</v>
      </c>
      <c r="K20" s="114"/>
      <c r="L20" s="114"/>
      <c r="M20" s="114"/>
      <c r="N20" s="114"/>
      <c r="O20" s="117">
        <f t="shared" si="31"/>
        <v>0</v>
      </c>
      <c r="P20" s="117">
        <f t="shared" si="32"/>
        <v>0</v>
      </c>
      <c r="Q20" s="118"/>
      <c r="R20" s="118"/>
      <c r="S20" s="117">
        <f t="shared" si="33"/>
        <v>0</v>
      </c>
      <c r="T20" s="117"/>
      <c r="U20" s="117"/>
      <c r="V20" s="117">
        <f t="shared" si="34"/>
        <v>0</v>
      </c>
      <c r="W20" s="118"/>
      <c r="X20" s="118"/>
      <c r="Y20" s="117">
        <f t="shared" si="35"/>
        <v>0</v>
      </c>
      <c r="Z20" s="117">
        <f t="shared" si="36"/>
        <v>0</v>
      </c>
      <c r="AA20" s="119">
        <f t="shared" ref="AA20:AA70" si="50">Y20/$Y$74</f>
        <v>0</v>
      </c>
      <c r="AB20" s="117">
        <f t="shared" si="37"/>
        <v>0</v>
      </c>
      <c r="AC20" s="118"/>
      <c r="AD20" s="119">
        <f t="shared" si="38"/>
        <v>0</v>
      </c>
      <c r="AE20" s="118"/>
      <c r="AF20" s="118"/>
      <c r="AG20" s="118"/>
      <c r="AH20" s="118"/>
      <c r="AI20" s="152">
        <f t="shared" si="39"/>
        <v>0</v>
      </c>
      <c r="AJ20" s="118"/>
      <c r="AK20" s="120">
        <f t="shared" si="40"/>
        <v>0</v>
      </c>
      <c r="AL20" s="121">
        <f t="shared" si="41"/>
        <v>0</v>
      </c>
      <c r="AM20" s="122"/>
      <c r="AN20" s="123">
        <f t="shared" si="42"/>
        <v>0</v>
      </c>
      <c r="AO20" s="124">
        <f t="shared" si="43"/>
        <v>0</v>
      </c>
      <c r="AP20" s="124">
        <f t="shared" si="44"/>
        <v>0</v>
      </c>
      <c r="AQ20" s="124">
        <f t="shared" si="45"/>
        <v>0</v>
      </c>
      <c r="AR20" s="124">
        <f t="shared" si="46"/>
        <v>0</v>
      </c>
      <c r="AS20" s="124">
        <f t="array" ref="AS20">_xlfn.IFS(S20=0,AL20,S20&lt;0,AL20/-S20,S20&gt;0,AL20/S20)</f>
        <v>0</v>
      </c>
      <c r="AT20" s="119">
        <f t="shared" si="47"/>
        <v>0</v>
      </c>
      <c r="AU20" s="119">
        <f t="shared" si="48"/>
        <v>0</v>
      </c>
      <c r="AV20" s="125"/>
      <c r="AW20" s="120">
        <f t="shared" si="49"/>
        <v>0</v>
      </c>
    </row>
    <row r="21" spans="1:49" hidden="1" outlineLevel="1">
      <c r="A21" s="114"/>
      <c r="B21" s="115"/>
      <c r="C21" s="115"/>
      <c r="D21" s="116"/>
      <c r="E21" s="117">
        <f t="shared" si="29"/>
        <v>0</v>
      </c>
      <c r="F21" s="117"/>
      <c r="G21" s="117"/>
      <c r="H21" s="117"/>
      <c r="I21" s="117"/>
      <c r="J21" s="117">
        <f t="shared" si="30"/>
        <v>0</v>
      </c>
      <c r="K21" s="114"/>
      <c r="L21" s="114"/>
      <c r="M21" s="114"/>
      <c r="N21" s="114"/>
      <c r="O21" s="117">
        <f t="shared" si="31"/>
        <v>0</v>
      </c>
      <c r="P21" s="117">
        <f t="shared" si="32"/>
        <v>0</v>
      </c>
      <c r="Q21" s="118"/>
      <c r="R21" s="118"/>
      <c r="S21" s="117">
        <f t="shared" si="33"/>
        <v>0</v>
      </c>
      <c r="T21" s="117"/>
      <c r="U21" s="117"/>
      <c r="V21" s="117">
        <f t="shared" si="34"/>
        <v>0</v>
      </c>
      <c r="W21" s="118"/>
      <c r="X21" s="118"/>
      <c r="Y21" s="117">
        <f t="shared" si="35"/>
        <v>0</v>
      </c>
      <c r="Z21" s="117">
        <f t="shared" si="36"/>
        <v>0</v>
      </c>
      <c r="AA21" s="119">
        <f t="shared" si="50"/>
        <v>0</v>
      </c>
      <c r="AB21" s="117">
        <f t="shared" si="37"/>
        <v>0</v>
      </c>
      <c r="AC21" s="118"/>
      <c r="AD21" s="119">
        <f t="shared" si="38"/>
        <v>0</v>
      </c>
      <c r="AE21" s="118"/>
      <c r="AF21" s="118"/>
      <c r="AG21" s="118"/>
      <c r="AH21" s="118"/>
      <c r="AI21" s="152">
        <f t="shared" si="39"/>
        <v>0</v>
      </c>
      <c r="AJ21" s="118"/>
      <c r="AK21" s="120">
        <f t="shared" si="40"/>
        <v>0</v>
      </c>
      <c r="AL21" s="121">
        <f t="shared" si="41"/>
        <v>0</v>
      </c>
      <c r="AM21" s="122"/>
      <c r="AN21" s="123">
        <f t="shared" si="42"/>
        <v>0</v>
      </c>
      <c r="AO21" s="124">
        <f t="shared" si="43"/>
        <v>0</v>
      </c>
      <c r="AP21" s="124">
        <f t="shared" si="44"/>
        <v>0</v>
      </c>
      <c r="AQ21" s="124">
        <f t="shared" si="45"/>
        <v>0</v>
      </c>
      <c r="AR21" s="124">
        <f t="shared" si="46"/>
        <v>0</v>
      </c>
      <c r="AS21" s="124">
        <f t="array" ref="AS21">_xlfn.IFS(S21=0,AL21,S21&lt;0,AL21/-S21,S21&gt;0,AL21/S21)</f>
        <v>0</v>
      </c>
      <c r="AT21" s="119">
        <f t="shared" si="47"/>
        <v>0</v>
      </c>
      <c r="AU21" s="119">
        <f t="shared" si="48"/>
        <v>0</v>
      </c>
      <c r="AV21" s="125"/>
      <c r="AW21" s="120">
        <f t="shared" si="49"/>
        <v>0</v>
      </c>
    </row>
    <row r="22" spans="1:49" hidden="1" outlineLevel="1">
      <c r="A22" s="114"/>
      <c r="B22" s="115"/>
      <c r="C22" s="115"/>
      <c r="D22" s="116"/>
      <c r="E22" s="117">
        <f t="shared" si="29"/>
        <v>0</v>
      </c>
      <c r="F22" s="117"/>
      <c r="G22" s="117"/>
      <c r="H22" s="117"/>
      <c r="I22" s="117"/>
      <c r="J22" s="117">
        <f t="shared" si="30"/>
        <v>0</v>
      </c>
      <c r="K22" s="114"/>
      <c r="L22" s="114"/>
      <c r="M22" s="114"/>
      <c r="N22" s="114"/>
      <c r="O22" s="117">
        <f t="shared" si="31"/>
        <v>0</v>
      </c>
      <c r="P22" s="117">
        <f t="shared" si="32"/>
        <v>0</v>
      </c>
      <c r="Q22" s="118"/>
      <c r="R22" s="118"/>
      <c r="S22" s="117">
        <f t="shared" si="33"/>
        <v>0</v>
      </c>
      <c r="T22" s="117"/>
      <c r="U22" s="117"/>
      <c r="V22" s="117">
        <f t="shared" si="34"/>
        <v>0</v>
      </c>
      <c r="W22" s="118"/>
      <c r="X22" s="118"/>
      <c r="Y22" s="117">
        <f t="shared" si="35"/>
        <v>0</v>
      </c>
      <c r="Z22" s="117">
        <f t="shared" si="36"/>
        <v>0</v>
      </c>
      <c r="AA22" s="119">
        <f t="shared" si="50"/>
        <v>0</v>
      </c>
      <c r="AB22" s="117">
        <f t="shared" si="37"/>
        <v>0</v>
      </c>
      <c r="AC22" s="118"/>
      <c r="AD22" s="119">
        <f t="shared" si="38"/>
        <v>0</v>
      </c>
      <c r="AE22" s="118"/>
      <c r="AF22" s="118"/>
      <c r="AG22" s="118"/>
      <c r="AH22" s="118"/>
      <c r="AI22" s="152">
        <f t="shared" si="39"/>
        <v>0</v>
      </c>
      <c r="AJ22" s="118"/>
      <c r="AK22" s="120">
        <f t="shared" si="40"/>
        <v>0</v>
      </c>
      <c r="AL22" s="121">
        <f t="shared" si="41"/>
        <v>0</v>
      </c>
      <c r="AM22" s="122"/>
      <c r="AN22" s="123">
        <f t="shared" si="42"/>
        <v>0</v>
      </c>
      <c r="AO22" s="124">
        <f t="shared" si="43"/>
        <v>0</v>
      </c>
      <c r="AP22" s="124">
        <f t="shared" si="44"/>
        <v>0</v>
      </c>
      <c r="AQ22" s="124">
        <f t="shared" si="45"/>
        <v>0</v>
      </c>
      <c r="AR22" s="124">
        <f t="shared" si="46"/>
        <v>0</v>
      </c>
      <c r="AS22" s="124">
        <f t="array" ref="AS22">_xlfn.IFS(S22=0,AL22,S22&lt;0,AL22/-S22,S22&gt;0,AL22/S22)</f>
        <v>0</v>
      </c>
      <c r="AT22" s="119">
        <f t="shared" si="47"/>
        <v>0</v>
      </c>
      <c r="AU22" s="119">
        <f t="shared" si="48"/>
        <v>0</v>
      </c>
      <c r="AV22" s="125"/>
      <c r="AW22" s="120">
        <f t="shared" si="49"/>
        <v>0</v>
      </c>
    </row>
    <row r="23" spans="1:49" hidden="1" outlineLevel="1">
      <c r="A23" s="114"/>
      <c r="B23" s="115"/>
      <c r="C23" s="115"/>
      <c r="D23" s="116"/>
      <c r="E23" s="117">
        <f t="shared" si="29"/>
        <v>0</v>
      </c>
      <c r="F23" s="117"/>
      <c r="G23" s="117"/>
      <c r="H23" s="117"/>
      <c r="I23" s="117"/>
      <c r="J23" s="117">
        <f t="shared" si="30"/>
        <v>0</v>
      </c>
      <c r="K23" s="114"/>
      <c r="L23" s="114"/>
      <c r="M23" s="114"/>
      <c r="N23" s="114"/>
      <c r="O23" s="117">
        <f t="shared" si="31"/>
        <v>0</v>
      </c>
      <c r="P23" s="117">
        <f t="shared" si="32"/>
        <v>0</v>
      </c>
      <c r="Q23" s="118"/>
      <c r="R23" s="118"/>
      <c r="S23" s="117">
        <f t="shared" si="33"/>
        <v>0</v>
      </c>
      <c r="T23" s="117"/>
      <c r="U23" s="117"/>
      <c r="V23" s="117">
        <f t="shared" si="34"/>
        <v>0</v>
      </c>
      <c r="W23" s="118"/>
      <c r="X23" s="118"/>
      <c r="Y23" s="117">
        <f t="shared" si="35"/>
        <v>0</v>
      </c>
      <c r="Z23" s="117">
        <f t="shared" si="36"/>
        <v>0</v>
      </c>
      <c r="AA23" s="119">
        <f t="shared" si="50"/>
        <v>0</v>
      </c>
      <c r="AB23" s="117">
        <f t="shared" si="37"/>
        <v>0</v>
      </c>
      <c r="AC23" s="118"/>
      <c r="AD23" s="119">
        <f t="shared" si="38"/>
        <v>0</v>
      </c>
      <c r="AE23" s="118"/>
      <c r="AF23" s="118"/>
      <c r="AG23" s="118"/>
      <c r="AH23" s="118"/>
      <c r="AI23" s="152">
        <f t="shared" si="39"/>
        <v>0</v>
      </c>
      <c r="AJ23" s="118"/>
      <c r="AK23" s="120">
        <f t="shared" si="40"/>
        <v>0</v>
      </c>
      <c r="AL23" s="121">
        <f t="shared" si="41"/>
        <v>0</v>
      </c>
      <c r="AM23" s="122"/>
      <c r="AN23" s="123">
        <f t="shared" si="42"/>
        <v>0</v>
      </c>
      <c r="AO23" s="124">
        <f t="shared" si="43"/>
        <v>0</v>
      </c>
      <c r="AP23" s="124">
        <f t="shared" si="44"/>
        <v>0</v>
      </c>
      <c r="AQ23" s="124">
        <f t="shared" si="45"/>
        <v>0</v>
      </c>
      <c r="AR23" s="124">
        <f t="shared" si="46"/>
        <v>0</v>
      </c>
      <c r="AS23" s="124">
        <f t="array" ref="AS23">_xlfn.IFS(S23=0,AL23,S23&lt;0,AL23/-S23,S23&gt;0,AL23/S23)</f>
        <v>0</v>
      </c>
      <c r="AT23" s="119">
        <f t="shared" si="47"/>
        <v>0</v>
      </c>
      <c r="AU23" s="119">
        <f t="shared" si="48"/>
        <v>0</v>
      </c>
      <c r="AV23" s="125"/>
      <c r="AW23" s="120">
        <f t="shared" si="49"/>
        <v>0</v>
      </c>
    </row>
    <row r="24" spans="1:49" hidden="1" outlineLevel="1">
      <c r="A24" s="114"/>
      <c r="B24" s="115"/>
      <c r="C24" s="115"/>
      <c r="D24" s="116"/>
      <c r="E24" s="117">
        <f t="shared" si="29"/>
        <v>0</v>
      </c>
      <c r="F24" s="117"/>
      <c r="G24" s="117"/>
      <c r="H24" s="117"/>
      <c r="I24" s="117"/>
      <c r="J24" s="117">
        <f t="shared" si="30"/>
        <v>0</v>
      </c>
      <c r="K24" s="114"/>
      <c r="L24" s="114"/>
      <c r="M24" s="114"/>
      <c r="N24" s="114"/>
      <c r="O24" s="117">
        <f t="shared" si="31"/>
        <v>0</v>
      </c>
      <c r="P24" s="117">
        <f t="shared" si="32"/>
        <v>0</v>
      </c>
      <c r="Q24" s="118"/>
      <c r="R24" s="118"/>
      <c r="S24" s="117">
        <f t="shared" si="33"/>
        <v>0</v>
      </c>
      <c r="T24" s="117"/>
      <c r="U24" s="117"/>
      <c r="V24" s="117">
        <f t="shared" si="34"/>
        <v>0</v>
      </c>
      <c r="W24" s="118"/>
      <c r="X24" s="118"/>
      <c r="Y24" s="117">
        <f t="shared" si="35"/>
        <v>0</v>
      </c>
      <c r="Z24" s="117">
        <f t="shared" si="36"/>
        <v>0</v>
      </c>
      <c r="AA24" s="119">
        <f t="shared" si="50"/>
        <v>0</v>
      </c>
      <c r="AB24" s="117">
        <f t="shared" si="37"/>
        <v>0</v>
      </c>
      <c r="AC24" s="118"/>
      <c r="AD24" s="119">
        <f t="shared" si="38"/>
        <v>0</v>
      </c>
      <c r="AE24" s="118"/>
      <c r="AF24" s="118"/>
      <c r="AG24" s="118"/>
      <c r="AH24" s="118"/>
      <c r="AI24" s="152">
        <f t="shared" si="39"/>
        <v>0</v>
      </c>
      <c r="AJ24" s="118"/>
      <c r="AK24" s="120">
        <f t="shared" si="40"/>
        <v>0</v>
      </c>
      <c r="AL24" s="121">
        <f t="shared" si="41"/>
        <v>0</v>
      </c>
      <c r="AM24" s="122"/>
      <c r="AN24" s="123">
        <f t="shared" si="42"/>
        <v>0</v>
      </c>
      <c r="AO24" s="124">
        <f t="shared" si="43"/>
        <v>0</v>
      </c>
      <c r="AP24" s="124">
        <f t="shared" si="44"/>
        <v>0</v>
      </c>
      <c r="AQ24" s="124">
        <f t="shared" si="45"/>
        <v>0</v>
      </c>
      <c r="AR24" s="124">
        <f t="shared" si="46"/>
        <v>0</v>
      </c>
      <c r="AS24" s="124">
        <f t="array" ref="AS24">_xlfn.IFS(S24=0,AL24,S24&lt;0,AL24/-S24,S24&gt;0,AL24/S24)</f>
        <v>0</v>
      </c>
      <c r="AT24" s="119">
        <f t="shared" si="47"/>
        <v>0</v>
      </c>
      <c r="AU24" s="119">
        <f t="shared" si="48"/>
        <v>0</v>
      </c>
      <c r="AV24" s="125"/>
      <c r="AW24" s="120">
        <f t="shared" si="49"/>
        <v>0</v>
      </c>
    </row>
    <row r="25" spans="1:49" hidden="1" outlineLevel="1">
      <c r="A25" s="114"/>
      <c r="B25" s="115"/>
      <c r="C25" s="115"/>
      <c r="D25" s="116"/>
      <c r="E25" s="117">
        <f t="shared" si="29"/>
        <v>0</v>
      </c>
      <c r="F25" s="117"/>
      <c r="G25" s="117"/>
      <c r="H25" s="117"/>
      <c r="I25" s="117"/>
      <c r="J25" s="117">
        <f t="shared" si="30"/>
        <v>0</v>
      </c>
      <c r="K25" s="114"/>
      <c r="L25" s="114"/>
      <c r="M25" s="114"/>
      <c r="N25" s="114"/>
      <c r="O25" s="117">
        <f t="shared" si="31"/>
        <v>0</v>
      </c>
      <c r="P25" s="117">
        <f t="shared" si="32"/>
        <v>0</v>
      </c>
      <c r="Q25" s="118"/>
      <c r="R25" s="118"/>
      <c r="S25" s="117">
        <f t="shared" si="33"/>
        <v>0</v>
      </c>
      <c r="T25" s="117"/>
      <c r="U25" s="117"/>
      <c r="V25" s="117">
        <f t="shared" si="34"/>
        <v>0</v>
      </c>
      <c r="W25" s="118"/>
      <c r="X25" s="118"/>
      <c r="Y25" s="117">
        <f t="shared" si="35"/>
        <v>0</v>
      </c>
      <c r="Z25" s="117">
        <f t="shared" si="36"/>
        <v>0</v>
      </c>
      <c r="AA25" s="119">
        <f t="shared" si="50"/>
        <v>0</v>
      </c>
      <c r="AB25" s="117">
        <f t="shared" si="37"/>
        <v>0</v>
      </c>
      <c r="AC25" s="118"/>
      <c r="AD25" s="119">
        <f t="shared" si="38"/>
        <v>0</v>
      </c>
      <c r="AE25" s="118"/>
      <c r="AF25" s="118"/>
      <c r="AG25" s="118"/>
      <c r="AH25" s="118"/>
      <c r="AI25" s="152">
        <f t="shared" si="39"/>
        <v>0</v>
      </c>
      <c r="AJ25" s="118"/>
      <c r="AK25" s="120">
        <f t="shared" si="40"/>
        <v>0</v>
      </c>
      <c r="AL25" s="121">
        <f t="shared" si="41"/>
        <v>0</v>
      </c>
      <c r="AM25" s="122"/>
      <c r="AN25" s="123">
        <f t="shared" si="42"/>
        <v>0</v>
      </c>
      <c r="AO25" s="124">
        <f t="shared" si="43"/>
        <v>0</v>
      </c>
      <c r="AP25" s="124">
        <f t="shared" si="44"/>
        <v>0</v>
      </c>
      <c r="AQ25" s="124">
        <f t="shared" si="45"/>
        <v>0</v>
      </c>
      <c r="AR25" s="124">
        <f t="shared" si="46"/>
        <v>0</v>
      </c>
      <c r="AS25" s="124">
        <f t="array" ref="AS25">_xlfn.IFS(S25=0,AL25,S25&lt;0,AL25/-S25,S25&gt;0,AL25/S25)</f>
        <v>0</v>
      </c>
      <c r="AT25" s="119">
        <f t="shared" si="47"/>
        <v>0</v>
      </c>
      <c r="AU25" s="119">
        <f t="shared" si="48"/>
        <v>0</v>
      </c>
      <c r="AV25" s="125"/>
      <c r="AW25" s="120">
        <f t="shared" si="49"/>
        <v>0</v>
      </c>
    </row>
    <row r="26" spans="1:49" hidden="1" outlineLevel="1">
      <c r="A26" s="114"/>
      <c r="B26" s="115"/>
      <c r="C26" s="115"/>
      <c r="D26" s="116"/>
      <c r="E26" s="117">
        <f t="shared" si="29"/>
        <v>0</v>
      </c>
      <c r="F26" s="117"/>
      <c r="G26" s="117"/>
      <c r="H26" s="117"/>
      <c r="I26" s="117"/>
      <c r="J26" s="117">
        <f t="shared" si="30"/>
        <v>0</v>
      </c>
      <c r="K26" s="114"/>
      <c r="L26" s="114"/>
      <c r="M26" s="114"/>
      <c r="N26" s="114"/>
      <c r="O26" s="117">
        <f t="shared" si="31"/>
        <v>0</v>
      </c>
      <c r="P26" s="117">
        <f t="shared" si="32"/>
        <v>0</v>
      </c>
      <c r="Q26" s="118"/>
      <c r="R26" s="118"/>
      <c r="S26" s="117">
        <f t="shared" si="33"/>
        <v>0</v>
      </c>
      <c r="T26" s="117"/>
      <c r="U26" s="117"/>
      <c r="V26" s="117">
        <f t="shared" si="34"/>
        <v>0</v>
      </c>
      <c r="W26" s="118"/>
      <c r="X26" s="118"/>
      <c r="Y26" s="117">
        <f t="shared" si="35"/>
        <v>0</v>
      </c>
      <c r="Z26" s="117">
        <f t="shared" si="36"/>
        <v>0</v>
      </c>
      <c r="AA26" s="119">
        <f t="shared" si="50"/>
        <v>0</v>
      </c>
      <c r="AB26" s="117">
        <f t="shared" si="37"/>
        <v>0</v>
      </c>
      <c r="AC26" s="118"/>
      <c r="AD26" s="119">
        <f t="shared" si="38"/>
        <v>0</v>
      </c>
      <c r="AE26" s="118"/>
      <c r="AF26" s="118"/>
      <c r="AG26" s="118"/>
      <c r="AH26" s="118"/>
      <c r="AI26" s="152">
        <f t="shared" si="39"/>
        <v>0</v>
      </c>
      <c r="AJ26" s="118"/>
      <c r="AK26" s="120">
        <f t="shared" si="40"/>
        <v>0</v>
      </c>
      <c r="AL26" s="121">
        <f t="shared" si="41"/>
        <v>0</v>
      </c>
      <c r="AM26" s="122"/>
      <c r="AN26" s="123">
        <f t="shared" si="42"/>
        <v>0</v>
      </c>
      <c r="AO26" s="124">
        <f t="shared" si="43"/>
        <v>0</v>
      </c>
      <c r="AP26" s="124">
        <f t="shared" si="44"/>
        <v>0</v>
      </c>
      <c r="AQ26" s="124">
        <f t="shared" si="45"/>
        <v>0</v>
      </c>
      <c r="AR26" s="124">
        <f t="shared" si="46"/>
        <v>0</v>
      </c>
      <c r="AS26" s="124">
        <f t="array" ref="AS26">_xlfn.IFS(S26=0,AL26,S26&lt;0,AL26/-S26,S26&gt;0,AL26/S26)</f>
        <v>0</v>
      </c>
      <c r="AT26" s="119">
        <f t="shared" si="47"/>
        <v>0</v>
      </c>
      <c r="AU26" s="119">
        <f t="shared" si="48"/>
        <v>0</v>
      </c>
      <c r="AV26" s="125"/>
      <c r="AW26" s="120">
        <f t="shared" si="49"/>
        <v>0</v>
      </c>
    </row>
    <row r="27" spans="1:49" hidden="1" outlineLevel="1">
      <c r="A27" s="114"/>
      <c r="B27" s="115"/>
      <c r="C27" s="115"/>
      <c r="D27" s="116"/>
      <c r="E27" s="117">
        <f t="shared" si="29"/>
        <v>0</v>
      </c>
      <c r="F27" s="117"/>
      <c r="G27" s="117"/>
      <c r="H27" s="117"/>
      <c r="I27" s="117"/>
      <c r="J27" s="117">
        <f t="shared" si="30"/>
        <v>0</v>
      </c>
      <c r="K27" s="114"/>
      <c r="L27" s="114"/>
      <c r="M27" s="114"/>
      <c r="N27" s="114"/>
      <c r="O27" s="117">
        <f t="shared" si="31"/>
        <v>0</v>
      </c>
      <c r="P27" s="117">
        <f t="shared" si="32"/>
        <v>0</v>
      </c>
      <c r="Q27" s="118"/>
      <c r="R27" s="118"/>
      <c r="S27" s="117">
        <f t="shared" si="33"/>
        <v>0</v>
      </c>
      <c r="T27" s="117"/>
      <c r="U27" s="117"/>
      <c r="V27" s="117">
        <f t="shared" si="34"/>
        <v>0</v>
      </c>
      <c r="W27" s="118"/>
      <c r="X27" s="118"/>
      <c r="Y27" s="117">
        <f t="shared" si="35"/>
        <v>0</v>
      </c>
      <c r="Z27" s="117">
        <f t="shared" si="36"/>
        <v>0</v>
      </c>
      <c r="AA27" s="119">
        <f t="shared" si="50"/>
        <v>0</v>
      </c>
      <c r="AB27" s="117">
        <f t="shared" si="37"/>
        <v>0</v>
      </c>
      <c r="AC27" s="118"/>
      <c r="AD27" s="119">
        <f t="shared" si="38"/>
        <v>0</v>
      </c>
      <c r="AE27" s="118"/>
      <c r="AF27" s="118"/>
      <c r="AG27" s="118"/>
      <c r="AH27" s="118"/>
      <c r="AI27" s="152">
        <f t="shared" si="39"/>
        <v>0</v>
      </c>
      <c r="AJ27" s="118"/>
      <c r="AK27" s="120">
        <f t="shared" si="40"/>
        <v>0</v>
      </c>
      <c r="AL27" s="121">
        <f t="shared" si="41"/>
        <v>0</v>
      </c>
      <c r="AM27" s="122"/>
      <c r="AN27" s="123">
        <f t="shared" si="42"/>
        <v>0</v>
      </c>
      <c r="AO27" s="124">
        <f t="shared" si="43"/>
        <v>0</v>
      </c>
      <c r="AP27" s="124">
        <f t="shared" si="44"/>
        <v>0</v>
      </c>
      <c r="AQ27" s="124">
        <f t="shared" si="45"/>
        <v>0</v>
      </c>
      <c r="AR27" s="124">
        <f t="shared" si="46"/>
        <v>0</v>
      </c>
      <c r="AS27" s="124">
        <f t="array" ref="AS27">_xlfn.IFS(S27=0,AL27,S27&lt;0,AL27/-S27,S27&gt;0,AL27/S27)</f>
        <v>0</v>
      </c>
      <c r="AT27" s="119">
        <f t="shared" si="47"/>
        <v>0</v>
      </c>
      <c r="AU27" s="119">
        <f t="shared" si="48"/>
        <v>0</v>
      </c>
      <c r="AV27" s="125"/>
      <c r="AW27" s="120">
        <f t="shared" si="49"/>
        <v>0</v>
      </c>
    </row>
    <row r="28" spans="1:49" hidden="1" outlineLevel="1">
      <c r="A28" s="114"/>
      <c r="B28" s="115"/>
      <c r="C28" s="115"/>
      <c r="D28" s="116"/>
      <c r="E28" s="117">
        <f t="shared" si="29"/>
        <v>0</v>
      </c>
      <c r="F28" s="117"/>
      <c r="G28" s="117"/>
      <c r="H28" s="117"/>
      <c r="I28" s="117"/>
      <c r="J28" s="117">
        <f t="shared" si="30"/>
        <v>0</v>
      </c>
      <c r="K28" s="114"/>
      <c r="L28" s="114"/>
      <c r="M28" s="114"/>
      <c r="N28" s="114"/>
      <c r="O28" s="117">
        <f t="shared" si="31"/>
        <v>0</v>
      </c>
      <c r="P28" s="117">
        <f t="shared" si="32"/>
        <v>0</v>
      </c>
      <c r="Q28" s="118"/>
      <c r="R28" s="118"/>
      <c r="S28" s="117">
        <f t="shared" si="33"/>
        <v>0</v>
      </c>
      <c r="T28" s="117"/>
      <c r="U28" s="117"/>
      <c r="V28" s="117">
        <f t="shared" si="34"/>
        <v>0</v>
      </c>
      <c r="W28" s="118"/>
      <c r="X28" s="118"/>
      <c r="Y28" s="117">
        <f t="shared" si="35"/>
        <v>0</v>
      </c>
      <c r="Z28" s="117">
        <f t="shared" si="36"/>
        <v>0</v>
      </c>
      <c r="AA28" s="119">
        <f t="shared" si="50"/>
        <v>0</v>
      </c>
      <c r="AB28" s="117">
        <f t="shared" si="37"/>
        <v>0</v>
      </c>
      <c r="AC28" s="118"/>
      <c r="AD28" s="119">
        <f t="shared" si="38"/>
        <v>0</v>
      </c>
      <c r="AE28" s="118"/>
      <c r="AF28" s="118"/>
      <c r="AG28" s="118"/>
      <c r="AH28" s="118"/>
      <c r="AI28" s="152">
        <f t="shared" si="39"/>
        <v>0</v>
      </c>
      <c r="AJ28" s="118"/>
      <c r="AK28" s="120">
        <f t="shared" si="40"/>
        <v>0</v>
      </c>
      <c r="AL28" s="121">
        <f t="shared" si="41"/>
        <v>0</v>
      </c>
      <c r="AM28" s="122"/>
      <c r="AN28" s="123">
        <f t="shared" si="42"/>
        <v>0</v>
      </c>
      <c r="AO28" s="124">
        <f t="shared" si="43"/>
        <v>0</v>
      </c>
      <c r="AP28" s="124">
        <f t="shared" si="44"/>
        <v>0</v>
      </c>
      <c r="AQ28" s="124">
        <f t="shared" si="45"/>
        <v>0</v>
      </c>
      <c r="AR28" s="124">
        <f t="shared" si="46"/>
        <v>0</v>
      </c>
      <c r="AS28" s="124">
        <f t="array" ref="AS28">_xlfn.IFS(S28=0,AL28,S28&lt;0,AL28/-S28,S28&gt;0,AL28/S28)</f>
        <v>0</v>
      </c>
      <c r="AT28" s="119">
        <f t="shared" si="47"/>
        <v>0</v>
      </c>
      <c r="AU28" s="119">
        <f t="shared" si="48"/>
        <v>0</v>
      </c>
      <c r="AV28" s="125"/>
      <c r="AW28" s="120">
        <f t="shared" si="49"/>
        <v>0</v>
      </c>
    </row>
    <row r="29" spans="1:49" hidden="1" outlineLevel="1">
      <c r="A29" s="114"/>
      <c r="B29" s="115"/>
      <c r="C29" s="115"/>
      <c r="D29" s="116"/>
      <c r="E29" s="117">
        <f t="shared" si="29"/>
        <v>0</v>
      </c>
      <c r="F29" s="117"/>
      <c r="G29" s="117"/>
      <c r="H29" s="117"/>
      <c r="I29" s="117"/>
      <c r="J29" s="117">
        <f t="shared" si="30"/>
        <v>0</v>
      </c>
      <c r="K29" s="114"/>
      <c r="L29" s="114"/>
      <c r="M29" s="114"/>
      <c r="N29" s="114"/>
      <c r="O29" s="117">
        <f t="shared" si="31"/>
        <v>0</v>
      </c>
      <c r="P29" s="117">
        <f t="shared" si="32"/>
        <v>0</v>
      </c>
      <c r="Q29" s="118"/>
      <c r="R29" s="118"/>
      <c r="S29" s="117">
        <f t="shared" si="33"/>
        <v>0</v>
      </c>
      <c r="T29" s="117"/>
      <c r="U29" s="117"/>
      <c r="V29" s="117">
        <f t="shared" si="34"/>
        <v>0</v>
      </c>
      <c r="W29" s="118"/>
      <c r="X29" s="118"/>
      <c r="Y29" s="117">
        <f t="shared" si="35"/>
        <v>0</v>
      </c>
      <c r="Z29" s="117">
        <f t="shared" si="36"/>
        <v>0</v>
      </c>
      <c r="AA29" s="119">
        <f t="shared" si="50"/>
        <v>0</v>
      </c>
      <c r="AB29" s="117">
        <f t="shared" si="37"/>
        <v>0</v>
      </c>
      <c r="AC29" s="118"/>
      <c r="AD29" s="119">
        <f t="shared" si="38"/>
        <v>0</v>
      </c>
      <c r="AE29" s="118"/>
      <c r="AF29" s="118"/>
      <c r="AG29" s="118"/>
      <c r="AH29" s="118"/>
      <c r="AI29" s="152">
        <f t="shared" si="39"/>
        <v>0</v>
      </c>
      <c r="AJ29" s="118"/>
      <c r="AK29" s="120">
        <f t="shared" si="40"/>
        <v>0</v>
      </c>
      <c r="AL29" s="121">
        <f t="shared" si="41"/>
        <v>0</v>
      </c>
      <c r="AM29" s="122"/>
      <c r="AN29" s="123">
        <f t="shared" si="42"/>
        <v>0</v>
      </c>
      <c r="AO29" s="124">
        <f t="shared" si="43"/>
        <v>0</v>
      </c>
      <c r="AP29" s="124">
        <f t="shared" si="44"/>
        <v>0</v>
      </c>
      <c r="AQ29" s="124">
        <f t="shared" si="45"/>
        <v>0</v>
      </c>
      <c r="AR29" s="124">
        <f t="shared" si="46"/>
        <v>0</v>
      </c>
      <c r="AS29" s="124">
        <f t="array" ref="AS29">_xlfn.IFS(S29=0,AL29,S29&lt;0,AL29/-S29,S29&gt;0,AL29/S29)</f>
        <v>0</v>
      </c>
      <c r="AT29" s="119">
        <f t="shared" si="47"/>
        <v>0</v>
      </c>
      <c r="AU29" s="119">
        <f t="shared" si="48"/>
        <v>0</v>
      </c>
      <c r="AV29" s="125"/>
      <c r="AW29" s="120">
        <f t="shared" si="49"/>
        <v>0</v>
      </c>
    </row>
    <row r="30" spans="1:49" hidden="1" outlineLevel="1">
      <c r="A30" s="114"/>
      <c r="B30" s="115"/>
      <c r="C30" s="115"/>
      <c r="D30" s="116"/>
      <c r="E30" s="117">
        <f t="shared" si="29"/>
        <v>0</v>
      </c>
      <c r="F30" s="117"/>
      <c r="G30" s="117"/>
      <c r="H30" s="117"/>
      <c r="I30" s="117"/>
      <c r="J30" s="117">
        <f t="shared" si="30"/>
        <v>0</v>
      </c>
      <c r="K30" s="114"/>
      <c r="L30" s="114"/>
      <c r="M30" s="114"/>
      <c r="N30" s="114"/>
      <c r="O30" s="117">
        <f t="shared" si="31"/>
        <v>0</v>
      </c>
      <c r="P30" s="117">
        <f t="shared" si="32"/>
        <v>0</v>
      </c>
      <c r="Q30" s="118"/>
      <c r="R30" s="118"/>
      <c r="S30" s="117">
        <f t="shared" si="33"/>
        <v>0</v>
      </c>
      <c r="T30" s="117"/>
      <c r="U30" s="117"/>
      <c r="V30" s="117">
        <f t="shared" si="34"/>
        <v>0</v>
      </c>
      <c r="W30" s="118"/>
      <c r="X30" s="118"/>
      <c r="Y30" s="117">
        <f t="shared" si="35"/>
        <v>0</v>
      </c>
      <c r="Z30" s="117">
        <f t="shared" si="36"/>
        <v>0</v>
      </c>
      <c r="AA30" s="119">
        <f t="shared" si="50"/>
        <v>0</v>
      </c>
      <c r="AB30" s="117">
        <f t="shared" si="37"/>
        <v>0</v>
      </c>
      <c r="AC30" s="118"/>
      <c r="AD30" s="119">
        <f t="shared" si="38"/>
        <v>0</v>
      </c>
      <c r="AE30" s="118"/>
      <c r="AF30" s="118"/>
      <c r="AG30" s="118"/>
      <c r="AH30" s="118"/>
      <c r="AI30" s="152">
        <f t="shared" si="39"/>
        <v>0</v>
      </c>
      <c r="AJ30" s="118"/>
      <c r="AK30" s="120">
        <f t="shared" si="40"/>
        <v>0</v>
      </c>
      <c r="AL30" s="121">
        <f t="shared" si="41"/>
        <v>0</v>
      </c>
      <c r="AM30" s="122"/>
      <c r="AN30" s="123">
        <f t="shared" si="42"/>
        <v>0</v>
      </c>
      <c r="AO30" s="124">
        <f t="shared" si="43"/>
        <v>0</v>
      </c>
      <c r="AP30" s="124">
        <f t="shared" si="44"/>
        <v>0</v>
      </c>
      <c r="AQ30" s="124">
        <f t="shared" si="45"/>
        <v>0</v>
      </c>
      <c r="AR30" s="124">
        <f t="shared" si="46"/>
        <v>0</v>
      </c>
      <c r="AS30" s="124">
        <f t="array" ref="AS30">_xlfn.IFS(S30=0,AL30,S30&lt;0,AL30/-S30,S30&gt;0,AL30/S30)</f>
        <v>0</v>
      </c>
      <c r="AT30" s="119">
        <f t="shared" si="47"/>
        <v>0</v>
      </c>
      <c r="AU30" s="119">
        <f t="shared" si="48"/>
        <v>0</v>
      </c>
      <c r="AV30" s="125"/>
      <c r="AW30" s="120">
        <f t="shared" si="49"/>
        <v>0</v>
      </c>
    </row>
    <row r="31" spans="1:49" hidden="1" outlineLevel="1">
      <c r="A31" s="114"/>
      <c r="B31" s="115"/>
      <c r="C31" s="115"/>
      <c r="D31" s="116"/>
      <c r="E31" s="117">
        <f t="shared" si="29"/>
        <v>0</v>
      </c>
      <c r="F31" s="117"/>
      <c r="G31" s="117"/>
      <c r="H31" s="117"/>
      <c r="I31" s="117"/>
      <c r="J31" s="117">
        <f t="shared" si="30"/>
        <v>0</v>
      </c>
      <c r="K31" s="114"/>
      <c r="L31" s="114"/>
      <c r="M31" s="114"/>
      <c r="N31" s="114"/>
      <c r="O31" s="117">
        <f t="shared" si="31"/>
        <v>0</v>
      </c>
      <c r="P31" s="117">
        <f t="shared" si="32"/>
        <v>0</v>
      </c>
      <c r="Q31" s="118"/>
      <c r="R31" s="118"/>
      <c r="S31" s="117">
        <f t="shared" si="33"/>
        <v>0</v>
      </c>
      <c r="T31" s="117"/>
      <c r="U31" s="117"/>
      <c r="V31" s="117">
        <f t="shared" si="34"/>
        <v>0</v>
      </c>
      <c r="W31" s="118"/>
      <c r="X31" s="118"/>
      <c r="Y31" s="117">
        <f t="shared" si="35"/>
        <v>0</v>
      </c>
      <c r="Z31" s="117">
        <f t="shared" si="36"/>
        <v>0</v>
      </c>
      <c r="AA31" s="119">
        <f t="shared" si="50"/>
        <v>0</v>
      </c>
      <c r="AB31" s="117">
        <f t="shared" si="37"/>
        <v>0</v>
      </c>
      <c r="AC31" s="118"/>
      <c r="AD31" s="119">
        <f t="shared" si="38"/>
        <v>0</v>
      </c>
      <c r="AE31" s="118"/>
      <c r="AF31" s="118"/>
      <c r="AG31" s="118"/>
      <c r="AH31" s="118"/>
      <c r="AI31" s="152">
        <f t="shared" si="39"/>
        <v>0</v>
      </c>
      <c r="AJ31" s="118"/>
      <c r="AK31" s="120">
        <f t="shared" si="40"/>
        <v>0</v>
      </c>
      <c r="AL31" s="121">
        <f t="shared" si="41"/>
        <v>0</v>
      </c>
      <c r="AM31" s="122"/>
      <c r="AN31" s="123">
        <f t="shared" si="42"/>
        <v>0</v>
      </c>
      <c r="AO31" s="124">
        <f t="shared" si="43"/>
        <v>0</v>
      </c>
      <c r="AP31" s="124">
        <f t="shared" si="44"/>
        <v>0</v>
      </c>
      <c r="AQ31" s="124">
        <f t="shared" si="45"/>
        <v>0</v>
      </c>
      <c r="AR31" s="124">
        <f t="shared" si="46"/>
        <v>0</v>
      </c>
      <c r="AS31" s="124">
        <f t="array" ref="AS31">_xlfn.IFS(S31=0,AL31,S31&lt;0,AL31/-S31,S31&gt;0,AL31/S31)</f>
        <v>0</v>
      </c>
      <c r="AT31" s="119">
        <f t="shared" si="47"/>
        <v>0</v>
      </c>
      <c r="AU31" s="119">
        <f t="shared" si="48"/>
        <v>0</v>
      </c>
      <c r="AV31" s="125"/>
      <c r="AW31" s="120">
        <f t="shared" si="49"/>
        <v>0</v>
      </c>
    </row>
    <row r="32" spans="1:49" hidden="1" outlineLevel="1">
      <c r="A32" s="114"/>
      <c r="B32" s="115"/>
      <c r="C32" s="115"/>
      <c r="D32" s="116"/>
      <c r="E32" s="117">
        <f t="shared" si="29"/>
        <v>0</v>
      </c>
      <c r="F32" s="117"/>
      <c r="G32" s="117"/>
      <c r="H32" s="117"/>
      <c r="I32" s="117"/>
      <c r="J32" s="117">
        <f t="shared" si="30"/>
        <v>0</v>
      </c>
      <c r="K32" s="114"/>
      <c r="L32" s="114"/>
      <c r="M32" s="114"/>
      <c r="N32" s="114"/>
      <c r="O32" s="117">
        <f t="shared" si="31"/>
        <v>0</v>
      </c>
      <c r="P32" s="117">
        <f t="shared" si="32"/>
        <v>0</v>
      </c>
      <c r="Q32" s="118"/>
      <c r="R32" s="118"/>
      <c r="S32" s="117">
        <f t="shared" si="33"/>
        <v>0</v>
      </c>
      <c r="T32" s="117"/>
      <c r="U32" s="117"/>
      <c r="V32" s="117">
        <f t="shared" si="34"/>
        <v>0</v>
      </c>
      <c r="W32" s="118"/>
      <c r="X32" s="118"/>
      <c r="Y32" s="117">
        <f t="shared" si="35"/>
        <v>0</v>
      </c>
      <c r="Z32" s="117">
        <f t="shared" si="36"/>
        <v>0</v>
      </c>
      <c r="AA32" s="119">
        <f t="shared" si="50"/>
        <v>0</v>
      </c>
      <c r="AB32" s="117">
        <f t="shared" si="37"/>
        <v>0</v>
      </c>
      <c r="AC32" s="118"/>
      <c r="AD32" s="119">
        <f t="shared" si="38"/>
        <v>0</v>
      </c>
      <c r="AE32" s="118"/>
      <c r="AF32" s="118"/>
      <c r="AG32" s="118"/>
      <c r="AH32" s="118"/>
      <c r="AI32" s="152">
        <f t="shared" si="39"/>
        <v>0</v>
      </c>
      <c r="AJ32" s="118"/>
      <c r="AK32" s="120">
        <f t="shared" si="40"/>
        <v>0</v>
      </c>
      <c r="AL32" s="121">
        <f t="shared" si="41"/>
        <v>0</v>
      </c>
      <c r="AM32" s="122"/>
      <c r="AN32" s="123">
        <f t="shared" si="42"/>
        <v>0</v>
      </c>
      <c r="AO32" s="124">
        <f t="shared" si="43"/>
        <v>0</v>
      </c>
      <c r="AP32" s="124">
        <f t="shared" si="44"/>
        <v>0</v>
      </c>
      <c r="AQ32" s="124">
        <f t="shared" si="45"/>
        <v>0</v>
      </c>
      <c r="AR32" s="124">
        <f t="shared" si="46"/>
        <v>0</v>
      </c>
      <c r="AS32" s="124">
        <f t="array" ref="AS32">_xlfn.IFS(S32=0,AL32,S32&lt;0,AL32/-S32,S32&gt;0,AL32/S32)</f>
        <v>0</v>
      </c>
      <c r="AT32" s="119">
        <f t="shared" si="47"/>
        <v>0</v>
      </c>
      <c r="AU32" s="119">
        <f t="shared" si="48"/>
        <v>0</v>
      </c>
      <c r="AV32" s="125"/>
      <c r="AW32" s="120">
        <f t="shared" si="49"/>
        <v>0</v>
      </c>
    </row>
    <row r="33" spans="1:49" hidden="1" outlineLevel="1">
      <c r="A33" s="114"/>
      <c r="B33" s="115"/>
      <c r="C33" s="115"/>
      <c r="D33" s="116"/>
      <c r="E33" s="117">
        <f t="shared" si="29"/>
        <v>0</v>
      </c>
      <c r="F33" s="117"/>
      <c r="G33" s="117"/>
      <c r="H33" s="117"/>
      <c r="I33" s="117"/>
      <c r="J33" s="117">
        <f t="shared" si="30"/>
        <v>0</v>
      </c>
      <c r="K33" s="114"/>
      <c r="L33" s="114"/>
      <c r="M33" s="114"/>
      <c r="N33" s="114"/>
      <c r="O33" s="117">
        <f t="shared" si="31"/>
        <v>0</v>
      </c>
      <c r="P33" s="117">
        <f t="shared" si="32"/>
        <v>0</v>
      </c>
      <c r="Q33" s="118"/>
      <c r="R33" s="118"/>
      <c r="S33" s="117">
        <f t="shared" si="33"/>
        <v>0</v>
      </c>
      <c r="T33" s="117"/>
      <c r="U33" s="117"/>
      <c r="V33" s="117">
        <f t="shared" si="34"/>
        <v>0</v>
      </c>
      <c r="W33" s="118"/>
      <c r="X33" s="118"/>
      <c r="Y33" s="117">
        <f t="shared" si="35"/>
        <v>0</v>
      </c>
      <c r="Z33" s="117">
        <f t="shared" si="36"/>
        <v>0</v>
      </c>
      <c r="AA33" s="119">
        <f t="shared" si="50"/>
        <v>0</v>
      </c>
      <c r="AB33" s="117">
        <f t="shared" si="37"/>
        <v>0</v>
      </c>
      <c r="AC33" s="118"/>
      <c r="AD33" s="119">
        <f t="shared" si="38"/>
        <v>0</v>
      </c>
      <c r="AE33" s="118"/>
      <c r="AF33" s="118"/>
      <c r="AG33" s="118"/>
      <c r="AH33" s="118"/>
      <c r="AI33" s="152">
        <f t="shared" si="39"/>
        <v>0</v>
      </c>
      <c r="AJ33" s="118"/>
      <c r="AK33" s="120">
        <f t="shared" si="40"/>
        <v>0</v>
      </c>
      <c r="AL33" s="121">
        <f t="shared" si="41"/>
        <v>0</v>
      </c>
      <c r="AM33" s="122"/>
      <c r="AN33" s="123">
        <f t="shared" si="42"/>
        <v>0</v>
      </c>
      <c r="AO33" s="124">
        <f t="shared" si="43"/>
        <v>0</v>
      </c>
      <c r="AP33" s="124">
        <f t="shared" si="44"/>
        <v>0</v>
      </c>
      <c r="AQ33" s="124">
        <f t="shared" si="45"/>
        <v>0</v>
      </c>
      <c r="AR33" s="124">
        <f t="shared" si="46"/>
        <v>0</v>
      </c>
      <c r="AS33" s="124">
        <f t="array" ref="AS33">_xlfn.IFS(S33=0,AL33,S33&lt;0,AL33/-S33,S33&gt;0,AL33/S33)</f>
        <v>0</v>
      </c>
      <c r="AT33" s="119">
        <f t="shared" si="47"/>
        <v>0</v>
      </c>
      <c r="AU33" s="119">
        <f t="shared" si="48"/>
        <v>0</v>
      </c>
      <c r="AV33" s="125"/>
      <c r="AW33" s="120">
        <f t="shared" si="49"/>
        <v>0</v>
      </c>
    </row>
    <row r="34" spans="1:49" hidden="1" outlineLevel="1">
      <c r="A34" s="114"/>
      <c r="B34" s="115"/>
      <c r="C34" s="115"/>
      <c r="D34" s="116"/>
      <c r="E34" s="117">
        <f t="shared" si="29"/>
        <v>0</v>
      </c>
      <c r="F34" s="117"/>
      <c r="G34" s="117"/>
      <c r="H34" s="117"/>
      <c r="I34" s="117"/>
      <c r="J34" s="117">
        <f t="shared" si="30"/>
        <v>0</v>
      </c>
      <c r="K34" s="114"/>
      <c r="L34" s="114"/>
      <c r="M34" s="114"/>
      <c r="N34" s="114"/>
      <c r="O34" s="117">
        <f t="shared" si="31"/>
        <v>0</v>
      </c>
      <c r="P34" s="117">
        <f t="shared" si="32"/>
        <v>0</v>
      </c>
      <c r="Q34" s="118"/>
      <c r="R34" s="118"/>
      <c r="S34" s="117">
        <f t="shared" si="33"/>
        <v>0</v>
      </c>
      <c r="T34" s="117"/>
      <c r="U34" s="117"/>
      <c r="V34" s="117">
        <f t="shared" si="34"/>
        <v>0</v>
      </c>
      <c r="W34" s="118"/>
      <c r="X34" s="118"/>
      <c r="Y34" s="117">
        <f t="shared" si="35"/>
        <v>0</v>
      </c>
      <c r="Z34" s="117">
        <f t="shared" si="36"/>
        <v>0</v>
      </c>
      <c r="AA34" s="119">
        <f t="shared" si="50"/>
        <v>0</v>
      </c>
      <c r="AB34" s="117">
        <f t="shared" si="37"/>
        <v>0</v>
      </c>
      <c r="AC34" s="118"/>
      <c r="AD34" s="119">
        <f t="shared" si="38"/>
        <v>0</v>
      </c>
      <c r="AE34" s="118"/>
      <c r="AF34" s="118"/>
      <c r="AG34" s="118"/>
      <c r="AH34" s="118"/>
      <c r="AI34" s="152">
        <f t="shared" si="39"/>
        <v>0</v>
      </c>
      <c r="AJ34" s="118"/>
      <c r="AK34" s="120">
        <f t="shared" si="40"/>
        <v>0</v>
      </c>
      <c r="AL34" s="121">
        <f t="shared" si="41"/>
        <v>0</v>
      </c>
      <c r="AM34" s="122"/>
      <c r="AN34" s="123">
        <f t="shared" si="42"/>
        <v>0</v>
      </c>
      <c r="AO34" s="124">
        <f t="shared" si="43"/>
        <v>0</v>
      </c>
      <c r="AP34" s="124">
        <f t="shared" si="44"/>
        <v>0</v>
      </c>
      <c r="AQ34" s="124">
        <f t="shared" si="45"/>
        <v>0</v>
      </c>
      <c r="AR34" s="124">
        <f t="shared" si="46"/>
        <v>0</v>
      </c>
      <c r="AS34" s="124">
        <f t="array" ref="AS34">_xlfn.IFS(S34=0,AL34,S34&lt;0,AL34/-S34,S34&gt;0,AL34/S34)</f>
        <v>0</v>
      </c>
      <c r="AT34" s="119">
        <f t="shared" si="47"/>
        <v>0</v>
      </c>
      <c r="AU34" s="119">
        <f t="shared" si="48"/>
        <v>0</v>
      </c>
      <c r="AV34" s="125"/>
      <c r="AW34" s="120">
        <f t="shared" si="49"/>
        <v>0</v>
      </c>
    </row>
    <row r="35" spans="1:49" hidden="1" outlineLevel="1">
      <c r="A35" s="114"/>
      <c r="B35" s="115"/>
      <c r="C35" s="115"/>
      <c r="D35" s="116"/>
      <c r="E35" s="117">
        <f t="shared" si="29"/>
        <v>0</v>
      </c>
      <c r="F35" s="117"/>
      <c r="G35" s="117"/>
      <c r="H35" s="117"/>
      <c r="I35" s="117"/>
      <c r="J35" s="117">
        <f t="shared" si="30"/>
        <v>0</v>
      </c>
      <c r="K35" s="114"/>
      <c r="L35" s="114"/>
      <c r="M35" s="114"/>
      <c r="N35" s="114"/>
      <c r="O35" s="117">
        <f t="shared" si="31"/>
        <v>0</v>
      </c>
      <c r="P35" s="117">
        <f t="shared" si="32"/>
        <v>0</v>
      </c>
      <c r="Q35" s="118"/>
      <c r="R35" s="118"/>
      <c r="S35" s="117">
        <f t="shared" si="33"/>
        <v>0</v>
      </c>
      <c r="T35" s="117"/>
      <c r="U35" s="117"/>
      <c r="V35" s="117">
        <f t="shared" si="34"/>
        <v>0</v>
      </c>
      <c r="W35" s="118"/>
      <c r="X35" s="118"/>
      <c r="Y35" s="117">
        <f t="shared" si="35"/>
        <v>0</v>
      </c>
      <c r="Z35" s="117">
        <f t="shared" si="36"/>
        <v>0</v>
      </c>
      <c r="AA35" s="119">
        <f t="shared" si="50"/>
        <v>0</v>
      </c>
      <c r="AB35" s="117">
        <f t="shared" si="37"/>
        <v>0</v>
      </c>
      <c r="AC35" s="118"/>
      <c r="AD35" s="119">
        <f t="shared" si="38"/>
        <v>0</v>
      </c>
      <c r="AE35" s="118"/>
      <c r="AF35" s="118"/>
      <c r="AG35" s="118"/>
      <c r="AH35" s="118"/>
      <c r="AI35" s="152">
        <f t="shared" si="39"/>
        <v>0</v>
      </c>
      <c r="AJ35" s="118"/>
      <c r="AK35" s="120">
        <f t="shared" si="40"/>
        <v>0</v>
      </c>
      <c r="AL35" s="121">
        <f t="shared" si="41"/>
        <v>0</v>
      </c>
      <c r="AM35" s="122"/>
      <c r="AN35" s="123">
        <f t="shared" si="42"/>
        <v>0</v>
      </c>
      <c r="AO35" s="124">
        <f t="shared" si="43"/>
        <v>0</v>
      </c>
      <c r="AP35" s="124">
        <f t="shared" si="44"/>
        <v>0</v>
      </c>
      <c r="AQ35" s="124">
        <f t="shared" si="45"/>
        <v>0</v>
      </c>
      <c r="AR35" s="124">
        <f t="shared" si="46"/>
        <v>0</v>
      </c>
      <c r="AS35" s="124">
        <f t="array" ref="AS35">_xlfn.IFS(S35=0,AL35,S35&lt;0,AL35/-S35,S35&gt;0,AL35/S35)</f>
        <v>0</v>
      </c>
      <c r="AT35" s="119">
        <f t="shared" si="47"/>
        <v>0</v>
      </c>
      <c r="AU35" s="119">
        <f t="shared" si="48"/>
        <v>0</v>
      </c>
      <c r="AV35" s="125"/>
      <c r="AW35" s="120">
        <f t="shared" si="49"/>
        <v>0</v>
      </c>
    </row>
    <row r="36" spans="1:49" hidden="1" outlineLevel="1">
      <c r="A36" s="114"/>
      <c r="B36" s="115"/>
      <c r="C36" s="115"/>
      <c r="D36" s="116"/>
      <c r="E36" s="117">
        <f t="shared" si="29"/>
        <v>0</v>
      </c>
      <c r="F36" s="117"/>
      <c r="G36" s="117"/>
      <c r="H36" s="117"/>
      <c r="I36" s="117"/>
      <c r="J36" s="117">
        <f t="shared" si="30"/>
        <v>0</v>
      </c>
      <c r="K36" s="114"/>
      <c r="L36" s="114"/>
      <c r="M36" s="114"/>
      <c r="N36" s="114"/>
      <c r="O36" s="117">
        <f t="shared" si="31"/>
        <v>0</v>
      </c>
      <c r="P36" s="117">
        <f t="shared" si="32"/>
        <v>0</v>
      </c>
      <c r="Q36" s="118"/>
      <c r="R36" s="118"/>
      <c r="S36" s="117">
        <f t="shared" si="33"/>
        <v>0</v>
      </c>
      <c r="T36" s="117"/>
      <c r="U36" s="117"/>
      <c r="V36" s="117">
        <f t="shared" si="34"/>
        <v>0</v>
      </c>
      <c r="W36" s="118"/>
      <c r="X36" s="118"/>
      <c r="Y36" s="117">
        <f t="shared" si="35"/>
        <v>0</v>
      </c>
      <c r="Z36" s="117">
        <f t="shared" si="36"/>
        <v>0</v>
      </c>
      <c r="AA36" s="119">
        <f t="shared" si="50"/>
        <v>0</v>
      </c>
      <c r="AB36" s="117">
        <f t="shared" si="37"/>
        <v>0</v>
      </c>
      <c r="AC36" s="118"/>
      <c r="AD36" s="119">
        <f t="shared" si="38"/>
        <v>0</v>
      </c>
      <c r="AE36" s="118"/>
      <c r="AF36" s="118"/>
      <c r="AG36" s="118"/>
      <c r="AH36" s="118"/>
      <c r="AI36" s="152">
        <f t="shared" si="39"/>
        <v>0</v>
      </c>
      <c r="AJ36" s="118"/>
      <c r="AK36" s="120">
        <f t="shared" si="40"/>
        <v>0</v>
      </c>
      <c r="AL36" s="121">
        <f t="shared" si="41"/>
        <v>0</v>
      </c>
      <c r="AM36" s="122"/>
      <c r="AN36" s="123">
        <f t="shared" si="42"/>
        <v>0</v>
      </c>
      <c r="AO36" s="124">
        <f t="shared" si="43"/>
        <v>0</v>
      </c>
      <c r="AP36" s="124">
        <f t="shared" si="44"/>
        <v>0</v>
      </c>
      <c r="AQ36" s="124">
        <f t="shared" si="45"/>
        <v>0</v>
      </c>
      <c r="AR36" s="124">
        <f t="shared" si="46"/>
        <v>0</v>
      </c>
      <c r="AS36" s="124">
        <f t="array" ref="AS36">_xlfn.IFS(S36=0,AL36,S36&lt;0,AL36/-S36,S36&gt;0,AL36/S36)</f>
        <v>0</v>
      </c>
      <c r="AT36" s="119">
        <f t="shared" si="47"/>
        <v>0</v>
      </c>
      <c r="AU36" s="119">
        <f t="shared" si="48"/>
        <v>0</v>
      </c>
      <c r="AV36" s="125"/>
      <c r="AW36" s="120">
        <f t="shared" si="49"/>
        <v>0</v>
      </c>
    </row>
    <row r="37" spans="1:49" hidden="1" outlineLevel="1">
      <c r="A37" s="114"/>
      <c r="B37" s="115"/>
      <c r="C37" s="115"/>
      <c r="D37" s="116"/>
      <c r="E37" s="117">
        <f t="shared" si="29"/>
        <v>0</v>
      </c>
      <c r="F37" s="117"/>
      <c r="G37" s="117"/>
      <c r="H37" s="117"/>
      <c r="I37" s="117"/>
      <c r="J37" s="117">
        <f t="shared" si="30"/>
        <v>0</v>
      </c>
      <c r="K37" s="114"/>
      <c r="L37" s="114"/>
      <c r="M37" s="114"/>
      <c r="N37" s="114"/>
      <c r="O37" s="117">
        <f t="shared" si="31"/>
        <v>0</v>
      </c>
      <c r="P37" s="117">
        <f t="shared" si="32"/>
        <v>0</v>
      </c>
      <c r="Q37" s="118"/>
      <c r="R37" s="118"/>
      <c r="S37" s="117">
        <f t="shared" si="33"/>
        <v>0</v>
      </c>
      <c r="T37" s="117"/>
      <c r="U37" s="117"/>
      <c r="V37" s="117">
        <f t="shared" si="34"/>
        <v>0</v>
      </c>
      <c r="W37" s="118"/>
      <c r="X37" s="118"/>
      <c r="Y37" s="117">
        <f t="shared" si="35"/>
        <v>0</v>
      </c>
      <c r="Z37" s="117">
        <f t="shared" si="36"/>
        <v>0</v>
      </c>
      <c r="AA37" s="119">
        <f t="shared" si="50"/>
        <v>0</v>
      </c>
      <c r="AB37" s="117">
        <f t="shared" si="37"/>
        <v>0</v>
      </c>
      <c r="AC37" s="118"/>
      <c r="AD37" s="119">
        <f t="shared" si="38"/>
        <v>0</v>
      </c>
      <c r="AE37" s="118"/>
      <c r="AF37" s="118"/>
      <c r="AG37" s="118"/>
      <c r="AH37" s="118"/>
      <c r="AI37" s="152">
        <f t="shared" si="39"/>
        <v>0</v>
      </c>
      <c r="AJ37" s="118"/>
      <c r="AK37" s="120">
        <f t="shared" si="40"/>
        <v>0</v>
      </c>
      <c r="AL37" s="121">
        <f t="shared" si="41"/>
        <v>0</v>
      </c>
      <c r="AM37" s="122"/>
      <c r="AN37" s="123">
        <f t="shared" si="42"/>
        <v>0</v>
      </c>
      <c r="AO37" s="124">
        <f t="shared" si="43"/>
        <v>0</v>
      </c>
      <c r="AP37" s="124">
        <f t="shared" si="44"/>
        <v>0</v>
      </c>
      <c r="AQ37" s="124">
        <f t="shared" si="45"/>
        <v>0</v>
      </c>
      <c r="AR37" s="124">
        <f t="shared" si="46"/>
        <v>0</v>
      </c>
      <c r="AS37" s="124">
        <f t="array" ref="AS37">_xlfn.IFS(S37=0,AL37,S37&lt;0,AL37/-S37,S37&gt;0,AL37/S37)</f>
        <v>0</v>
      </c>
      <c r="AT37" s="119">
        <f t="shared" si="47"/>
        <v>0</v>
      </c>
      <c r="AU37" s="119">
        <f t="shared" si="48"/>
        <v>0</v>
      </c>
      <c r="AV37" s="125"/>
      <c r="AW37" s="120">
        <f t="shared" si="49"/>
        <v>0</v>
      </c>
    </row>
    <row r="38" spans="1:49" hidden="1" outlineLevel="1">
      <c r="A38" s="114"/>
      <c r="B38" s="115"/>
      <c r="C38" s="115"/>
      <c r="D38" s="116"/>
      <c r="E38" s="117">
        <f t="shared" si="29"/>
        <v>0</v>
      </c>
      <c r="F38" s="117"/>
      <c r="G38" s="117"/>
      <c r="H38" s="117"/>
      <c r="I38" s="117"/>
      <c r="J38" s="117">
        <f t="shared" si="30"/>
        <v>0</v>
      </c>
      <c r="K38" s="114"/>
      <c r="L38" s="114"/>
      <c r="M38" s="114"/>
      <c r="N38" s="114"/>
      <c r="O38" s="117">
        <f t="shared" si="31"/>
        <v>0</v>
      </c>
      <c r="P38" s="117">
        <f t="shared" si="32"/>
        <v>0</v>
      </c>
      <c r="Q38" s="118"/>
      <c r="R38" s="118"/>
      <c r="S38" s="117">
        <f t="shared" si="33"/>
        <v>0</v>
      </c>
      <c r="T38" s="117"/>
      <c r="U38" s="117"/>
      <c r="V38" s="117">
        <f t="shared" si="34"/>
        <v>0</v>
      </c>
      <c r="W38" s="118"/>
      <c r="X38" s="118"/>
      <c r="Y38" s="117">
        <f t="shared" si="35"/>
        <v>0</v>
      </c>
      <c r="Z38" s="117">
        <f t="shared" si="36"/>
        <v>0</v>
      </c>
      <c r="AA38" s="119">
        <f t="shared" si="50"/>
        <v>0</v>
      </c>
      <c r="AB38" s="117">
        <f t="shared" si="37"/>
        <v>0</v>
      </c>
      <c r="AC38" s="118"/>
      <c r="AD38" s="119">
        <f t="shared" si="38"/>
        <v>0</v>
      </c>
      <c r="AE38" s="118"/>
      <c r="AF38" s="118"/>
      <c r="AG38" s="118"/>
      <c r="AH38" s="118"/>
      <c r="AI38" s="152">
        <f t="shared" si="39"/>
        <v>0</v>
      </c>
      <c r="AJ38" s="118"/>
      <c r="AK38" s="120">
        <f t="shared" si="40"/>
        <v>0</v>
      </c>
      <c r="AL38" s="121">
        <f t="shared" si="41"/>
        <v>0</v>
      </c>
      <c r="AM38" s="122"/>
      <c r="AN38" s="123">
        <f t="shared" si="42"/>
        <v>0</v>
      </c>
      <c r="AO38" s="124">
        <f t="shared" si="43"/>
        <v>0</v>
      </c>
      <c r="AP38" s="124">
        <f t="shared" si="44"/>
        <v>0</v>
      </c>
      <c r="AQ38" s="124">
        <f t="shared" si="45"/>
        <v>0</v>
      </c>
      <c r="AR38" s="124">
        <f t="shared" si="46"/>
        <v>0</v>
      </c>
      <c r="AS38" s="124">
        <f t="array" ref="AS38">_xlfn.IFS(S38=0,AL38,S38&lt;0,AL38/-S38,S38&gt;0,AL38/S38)</f>
        <v>0</v>
      </c>
      <c r="AT38" s="119">
        <f t="shared" si="47"/>
        <v>0</v>
      </c>
      <c r="AU38" s="119">
        <f t="shared" si="48"/>
        <v>0</v>
      </c>
      <c r="AV38" s="125"/>
      <c r="AW38" s="120">
        <f t="shared" si="49"/>
        <v>0</v>
      </c>
    </row>
    <row r="39" spans="1:49" hidden="1" outlineLevel="1">
      <c r="A39" s="114"/>
      <c r="B39" s="115"/>
      <c r="C39" s="115"/>
      <c r="D39" s="116"/>
      <c r="E39" s="117">
        <f t="shared" si="29"/>
        <v>0</v>
      </c>
      <c r="F39" s="117"/>
      <c r="G39" s="117"/>
      <c r="H39" s="117"/>
      <c r="I39" s="117"/>
      <c r="J39" s="117">
        <f t="shared" si="30"/>
        <v>0</v>
      </c>
      <c r="K39" s="114"/>
      <c r="L39" s="114"/>
      <c r="M39" s="114"/>
      <c r="N39" s="114"/>
      <c r="O39" s="117">
        <f t="shared" si="31"/>
        <v>0</v>
      </c>
      <c r="P39" s="117">
        <f t="shared" si="32"/>
        <v>0</v>
      </c>
      <c r="Q39" s="118"/>
      <c r="R39" s="118"/>
      <c r="S39" s="117">
        <f t="shared" si="33"/>
        <v>0</v>
      </c>
      <c r="T39" s="117"/>
      <c r="U39" s="117"/>
      <c r="V39" s="117">
        <f t="shared" si="34"/>
        <v>0</v>
      </c>
      <c r="W39" s="118"/>
      <c r="X39" s="118"/>
      <c r="Y39" s="117">
        <f t="shared" si="35"/>
        <v>0</v>
      </c>
      <c r="Z39" s="117">
        <f t="shared" si="36"/>
        <v>0</v>
      </c>
      <c r="AA39" s="119">
        <f t="shared" si="50"/>
        <v>0</v>
      </c>
      <c r="AB39" s="117">
        <f t="shared" si="37"/>
        <v>0</v>
      </c>
      <c r="AC39" s="118"/>
      <c r="AD39" s="119">
        <f t="shared" si="38"/>
        <v>0</v>
      </c>
      <c r="AE39" s="118"/>
      <c r="AF39" s="118"/>
      <c r="AG39" s="118"/>
      <c r="AH39" s="118"/>
      <c r="AI39" s="152">
        <f t="shared" si="39"/>
        <v>0</v>
      </c>
      <c r="AJ39" s="118"/>
      <c r="AK39" s="120">
        <f t="shared" si="40"/>
        <v>0</v>
      </c>
      <c r="AL39" s="121">
        <f t="shared" si="41"/>
        <v>0</v>
      </c>
      <c r="AM39" s="122"/>
      <c r="AN39" s="123">
        <f t="shared" si="42"/>
        <v>0</v>
      </c>
      <c r="AO39" s="124">
        <f t="shared" si="43"/>
        <v>0</v>
      </c>
      <c r="AP39" s="124">
        <f t="shared" si="44"/>
        <v>0</v>
      </c>
      <c r="AQ39" s="124">
        <f t="shared" si="45"/>
        <v>0</v>
      </c>
      <c r="AR39" s="124">
        <f t="shared" si="46"/>
        <v>0</v>
      </c>
      <c r="AS39" s="124">
        <f t="array" ref="AS39">_xlfn.IFS(S39=0,AL39,S39&lt;0,AL39/-S39,S39&gt;0,AL39/S39)</f>
        <v>0</v>
      </c>
      <c r="AT39" s="119">
        <f t="shared" si="47"/>
        <v>0</v>
      </c>
      <c r="AU39" s="119">
        <f t="shared" si="48"/>
        <v>0</v>
      </c>
      <c r="AV39" s="125"/>
      <c r="AW39" s="120">
        <f t="shared" si="49"/>
        <v>0</v>
      </c>
    </row>
    <row r="40" spans="1:49" hidden="1" outlineLevel="1">
      <c r="A40" s="114"/>
      <c r="B40" s="115"/>
      <c r="C40" s="115"/>
      <c r="D40" s="116"/>
      <c r="E40" s="117">
        <f t="shared" si="29"/>
        <v>0</v>
      </c>
      <c r="F40" s="117"/>
      <c r="G40" s="117"/>
      <c r="H40" s="117"/>
      <c r="I40" s="117"/>
      <c r="J40" s="117">
        <f t="shared" si="30"/>
        <v>0</v>
      </c>
      <c r="K40" s="114"/>
      <c r="L40" s="114"/>
      <c r="M40" s="114"/>
      <c r="N40" s="114"/>
      <c r="O40" s="117">
        <f t="shared" si="31"/>
        <v>0</v>
      </c>
      <c r="P40" s="117">
        <f t="shared" si="32"/>
        <v>0</v>
      </c>
      <c r="Q40" s="118"/>
      <c r="R40" s="118"/>
      <c r="S40" s="117">
        <f t="shared" si="33"/>
        <v>0</v>
      </c>
      <c r="T40" s="117"/>
      <c r="U40" s="117"/>
      <c r="V40" s="117">
        <f t="shared" si="34"/>
        <v>0</v>
      </c>
      <c r="W40" s="118"/>
      <c r="X40" s="118"/>
      <c r="Y40" s="117">
        <f t="shared" si="35"/>
        <v>0</v>
      </c>
      <c r="Z40" s="117">
        <f t="shared" si="36"/>
        <v>0</v>
      </c>
      <c r="AA40" s="119">
        <f t="shared" si="50"/>
        <v>0</v>
      </c>
      <c r="AB40" s="117">
        <f t="shared" si="37"/>
        <v>0</v>
      </c>
      <c r="AC40" s="118"/>
      <c r="AD40" s="119">
        <f t="shared" si="38"/>
        <v>0</v>
      </c>
      <c r="AE40" s="118"/>
      <c r="AF40" s="118"/>
      <c r="AG40" s="118"/>
      <c r="AH40" s="118"/>
      <c r="AI40" s="152">
        <f t="shared" si="39"/>
        <v>0</v>
      </c>
      <c r="AJ40" s="118"/>
      <c r="AK40" s="120">
        <f t="shared" si="40"/>
        <v>0</v>
      </c>
      <c r="AL40" s="121">
        <f t="shared" si="41"/>
        <v>0</v>
      </c>
      <c r="AM40" s="122"/>
      <c r="AN40" s="123">
        <f t="shared" si="42"/>
        <v>0</v>
      </c>
      <c r="AO40" s="124">
        <f t="shared" si="43"/>
        <v>0</v>
      </c>
      <c r="AP40" s="124">
        <f t="shared" si="44"/>
        <v>0</v>
      </c>
      <c r="AQ40" s="124">
        <f t="shared" si="45"/>
        <v>0</v>
      </c>
      <c r="AR40" s="124">
        <f t="shared" si="46"/>
        <v>0</v>
      </c>
      <c r="AS40" s="124">
        <f t="array" ref="AS40">_xlfn.IFS(S40=0,AL40,S40&lt;0,AL40/-S40,S40&gt;0,AL40/S40)</f>
        <v>0</v>
      </c>
      <c r="AT40" s="119">
        <f t="shared" si="47"/>
        <v>0</v>
      </c>
      <c r="AU40" s="119">
        <f t="shared" si="48"/>
        <v>0</v>
      </c>
      <c r="AV40" s="125"/>
      <c r="AW40" s="120">
        <f t="shared" si="49"/>
        <v>0</v>
      </c>
    </row>
    <row r="41" spans="1:49" hidden="1" outlineLevel="1">
      <c r="A41" s="114"/>
      <c r="B41" s="115"/>
      <c r="C41" s="115"/>
      <c r="D41" s="116"/>
      <c r="E41" s="117">
        <f t="shared" si="29"/>
        <v>0</v>
      </c>
      <c r="F41" s="117"/>
      <c r="G41" s="117"/>
      <c r="H41" s="117"/>
      <c r="I41" s="117"/>
      <c r="J41" s="117">
        <f t="shared" si="30"/>
        <v>0</v>
      </c>
      <c r="K41" s="114"/>
      <c r="L41" s="114"/>
      <c r="M41" s="114"/>
      <c r="N41" s="114"/>
      <c r="O41" s="117">
        <f t="shared" si="31"/>
        <v>0</v>
      </c>
      <c r="P41" s="117">
        <f t="shared" si="32"/>
        <v>0</v>
      </c>
      <c r="Q41" s="118"/>
      <c r="R41" s="118"/>
      <c r="S41" s="117">
        <f t="shared" si="33"/>
        <v>0</v>
      </c>
      <c r="T41" s="117"/>
      <c r="U41" s="117"/>
      <c r="V41" s="117">
        <f t="shared" si="34"/>
        <v>0</v>
      </c>
      <c r="W41" s="118"/>
      <c r="X41" s="118"/>
      <c r="Y41" s="117">
        <f t="shared" si="35"/>
        <v>0</v>
      </c>
      <c r="Z41" s="117">
        <f t="shared" si="36"/>
        <v>0</v>
      </c>
      <c r="AA41" s="119">
        <f t="shared" si="50"/>
        <v>0</v>
      </c>
      <c r="AB41" s="117">
        <f t="shared" si="37"/>
        <v>0</v>
      </c>
      <c r="AC41" s="118"/>
      <c r="AD41" s="119">
        <f t="shared" si="38"/>
        <v>0</v>
      </c>
      <c r="AE41" s="118"/>
      <c r="AF41" s="118"/>
      <c r="AG41" s="118"/>
      <c r="AH41" s="118"/>
      <c r="AI41" s="152">
        <f t="shared" si="39"/>
        <v>0</v>
      </c>
      <c r="AJ41" s="118"/>
      <c r="AK41" s="120">
        <f t="shared" si="40"/>
        <v>0</v>
      </c>
      <c r="AL41" s="121">
        <f t="shared" si="41"/>
        <v>0</v>
      </c>
      <c r="AM41" s="122"/>
      <c r="AN41" s="123">
        <f t="shared" si="42"/>
        <v>0</v>
      </c>
      <c r="AO41" s="124">
        <f t="shared" si="43"/>
        <v>0</v>
      </c>
      <c r="AP41" s="124">
        <f t="shared" si="44"/>
        <v>0</v>
      </c>
      <c r="AQ41" s="124">
        <f t="shared" si="45"/>
        <v>0</v>
      </c>
      <c r="AR41" s="124">
        <f t="shared" si="46"/>
        <v>0</v>
      </c>
      <c r="AS41" s="124">
        <f t="array" ref="AS41">_xlfn.IFS(S41=0,AL41,S41&lt;0,AL41/-S41,S41&gt;0,AL41/S41)</f>
        <v>0</v>
      </c>
      <c r="AT41" s="119">
        <f t="shared" si="47"/>
        <v>0</v>
      </c>
      <c r="AU41" s="119">
        <f t="shared" si="48"/>
        <v>0</v>
      </c>
      <c r="AV41" s="125"/>
      <c r="AW41" s="120">
        <f t="shared" si="49"/>
        <v>0</v>
      </c>
    </row>
    <row r="42" spans="1:49" hidden="1" outlineLevel="1">
      <c r="A42" s="114"/>
      <c r="B42" s="115"/>
      <c r="C42" s="115"/>
      <c r="D42" s="116"/>
      <c r="E42" s="117">
        <f t="shared" si="29"/>
        <v>0</v>
      </c>
      <c r="F42" s="117"/>
      <c r="G42" s="117"/>
      <c r="H42" s="117"/>
      <c r="I42" s="117"/>
      <c r="J42" s="117">
        <f t="shared" si="30"/>
        <v>0</v>
      </c>
      <c r="K42" s="114"/>
      <c r="L42" s="114"/>
      <c r="M42" s="114"/>
      <c r="N42" s="114"/>
      <c r="O42" s="117">
        <f t="shared" si="31"/>
        <v>0</v>
      </c>
      <c r="P42" s="117">
        <f t="shared" si="32"/>
        <v>0</v>
      </c>
      <c r="Q42" s="118"/>
      <c r="R42" s="118"/>
      <c r="S42" s="117">
        <f t="shared" si="33"/>
        <v>0</v>
      </c>
      <c r="T42" s="117"/>
      <c r="U42" s="117"/>
      <c r="V42" s="117">
        <f t="shared" si="34"/>
        <v>0</v>
      </c>
      <c r="W42" s="118"/>
      <c r="X42" s="118"/>
      <c r="Y42" s="117">
        <f t="shared" si="35"/>
        <v>0</v>
      </c>
      <c r="Z42" s="117">
        <f t="shared" si="36"/>
        <v>0</v>
      </c>
      <c r="AA42" s="119">
        <f t="shared" si="50"/>
        <v>0</v>
      </c>
      <c r="AB42" s="117">
        <f t="shared" si="37"/>
        <v>0</v>
      </c>
      <c r="AC42" s="118"/>
      <c r="AD42" s="119">
        <f t="shared" si="38"/>
        <v>0</v>
      </c>
      <c r="AE42" s="118"/>
      <c r="AF42" s="118"/>
      <c r="AG42" s="118"/>
      <c r="AH42" s="118"/>
      <c r="AI42" s="152">
        <f t="shared" si="39"/>
        <v>0</v>
      </c>
      <c r="AJ42" s="118"/>
      <c r="AK42" s="120">
        <f t="shared" si="40"/>
        <v>0</v>
      </c>
      <c r="AL42" s="121">
        <f t="shared" si="41"/>
        <v>0</v>
      </c>
      <c r="AM42" s="122"/>
      <c r="AN42" s="123">
        <f t="shared" si="42"/>
        <v>0</v>
      </c>
      <c r="AO42" s="124">
        <f t="shared" si="43"/>
        <v>0</v>
      </c>
      <c r="AP42" s="124">
        <f t="shared" si="44"/>
        <v>0</v>
      </c>
      <c r="AQ42" s="124">
        <f t="shared" si="45"/>
        <v>0</v>
      </c>
      <c r="AR42" s="124">
        <f t="shared" si="46"/>
        <v>0</v>
      </c>
      <c r="AS42" s="124">
        <f t="array" ref="AS42">_xlfn.IFS(S42=0,AL42,S42&lt;0,AL42/-S42,S42&gt;0,AL42/S42)</f>
        <v>0</v>
      </c>
      <c r="AT42" s="119">
        <f t="shared" si="47"/>
        <v>0</v>
      </c>
      <c r="AU42" s="119">
        <f t="shared" si="48"/>
        <v>0</v>
      </c>
      <c r="AV42" s="125"/>
      <c r="AW42" s="120">
        <f t="shared" si="49"/>
        <v>0</v>
      </c>
    </row>
    <row r="43" spans="1:49" hidden="1" outlineLevel="1">
      <c r="A43" s="114"/>
      <c r="B43" s="115"/>
      <c r="C43" s="115"/>
      <c r="D43" s="116"/>
      <c r="E43" s="117">
        <f t="shared" si="29"/>
        <v>0</v>
      </c>
      <c r="F43" s="117"/>
      <c r="G43" s="117"/>
      <c r="H43" s="117"/>
      <c r="I43" s="117"/>
      <c r="J43" s="117">
        <f t="shared" si="30"/>
        <v>0</v>
      </c>
      <c r="K43" s="114"/>
      <c r="L43" s="114"/>
      <c r="M43" s="114"/>
      <c r="N43" s="114"/>
      <c r="O43" s="117">
        <f t="shared" si="31"/>
        <v>0</v>
      </c>
      <c r="P43" s="117">
        <f t="shared" si="32"/>
        <v>0</v>
      </c>
      <c r="Q43" s="118"/>
      <c r="R43" s="118"/>
      <c r="S43" s="117">
        <f t="shared" si="33"/>
        <v>0</v>
      </c>
      <c r="T43" s="117"/>
      <c r="U43" s="117"/>
      <c r="V43" s="117">
        <f t="shared" si="34"/>
        <v>0</v>
      </c>
      <c r="W43" s="118"/>
      <c r="X43" s="118"/>
      <c r="Y43" s="117">
        <f t="shared" si="35"/>
        <v>0</v>
      </c>
      <c r="Z43" s="117">
        <f t="shared" si="36"/>
        <v>0</v>
      </c>
      <c r="AA43" s="119">
        <f t="shared" si="50"/>
        <v>0</v>
      </c>
      <c r="AB43" s="117">
        <f t="shared" si="37"/>
        <v>0</v>
      </c>
      <c r="AC43" s="118"/>
      <c r="AD43" s="119">
        <f t="shared" si="38"/>
        <v>0</v>
      </c>
      <c r="AE43" s="118"/>
      <c r="AF43" s="118"/>
      <c r="AG43" s="118"/>
      <c r="AH43" s="118"/>
      <c r="AI43" s="152">
        <f t="shared" si="39"/>
        <v>0</v>
      </c>
      <c r="AJ43" s="118"/>
      <c r="AK43" s="120">
        <f t="shared" si="40"/>
        <v>0</v>
      </c>
      <c r="AL43" s="121">
        <f t="shared" si="41"/>
        <v>0</v>
      </c>
      <c r="AM43" s="122"/>
      <c r="AN43" s="123">
        <f t="shared" si="42"/>
        <v>0</v>
      </c>
      <c r="AO43" s="124">
        <f t="shared" si="43"/>
        <v>0</v>
      </c>
      <c r="AP43" s="124">
        <f t="shared" si="44"/>
        <v>0</v>
      </c>
      <c r="AQ43" s="124">
        <f t="shared" si="45"/>
        <v>0</v>
      </c>
      <c r="AR43" s="124">
        <f t="shared" si="46"/>
        <v>0</v>
      </c>
      <c r="AS43" s="124">
        <f t="array" ref="AS43">_xlfn.IFS(S43=0,AL43,S43&lt;0,AL43/-S43,S43&gt;0,AL43/S43)</f>
        <v>0</v>
      </c>
      <c r="AT43" s="119">
        <f t="shared" si="47"/>
        <v>0</v>
      </c>
      <c r="AU43" s="119">
        <f t="shared" si="48"/>
        <v>0</v>
      </c>
      <c r="AV43" s="125"/>
      <c r="AW43" s="120">
        <f t="shared" si="49"/>
        <v>0</v>
      </c>
    </row>
    <row r="44" spans="1:49" hidden="1" outlineLevel="1">
      <c r="A44" s="114"/>
      <c r="B44" s="115"/>
      <c r="C44" s="115"/>
      <c r="D44" s="149"/>
      <c r="E44" s="118">
        <f t="shared" si="29"/>
        <v>0</v>
      </c>
      <c r="F44" s="117"/>
      <c r="G44" s="117"/>
      <c r="H44" s="117"/>
      <c r="I44" s="117"/>
      <c r="J44" s="117">
        <f t="shared" si="30"/>
        <v>0</v>
      </c>
      <c r="K44" s="114"/>
      <c r="L44" s="114"/>
      <c r="M44" s="114"/>
      <c r="N44" s="114"/>
      <c r="O44" s="117">
        <f t="shared" si="31"/>
        <v>0</v>
      </c>
      <c r="P44" s="117">
        <f t="shared" si="32"/>
        <v>0</v>
      </c>
      <c r="Q44" s="118"/>
      <c r="R44" s="118"/>
      <c r="S44" s="117">
        <f t="shared" si="33"/>
        <v>0</v>
      </c>
      <c r="T44" s="117"/>
      <c r="U44" s="117"/>
      <c r="V44" s="117">
        <f t="shared" si="34"/>
        <v>0</v>
      </c>
      <c r="W44" s="118"/>
      <c r="X44" s="118"/>
      <c r="Y44" s="117">
        <f t="shared" si="35"/>
        <v>0</v>
      </c>
      <c r="Z44" s="117">
        <f t="shared" si="36"/>
        <v>0</v>
      </c>
      <c r="AA44" s="119">
        <f t="shared" si="50"/>
        <v>0</v>
      </c>
      <c r="AB44" s="117">
        <f t="shared" si="37"/>
        <v>0</v>
      </c>
      <c r="AC44" s="118"/>
      <c r="AD44" s="119">
        <f t="shared" si="38"/>
        <v>0</v>
      </c>
      <c r="AE44" s="118"/>
      <c r="AF44" s="118"/>
      <c r="AG44" s="118"/>
      <c r="AH44" s="118"/>
      <c r="AI44" s="152">
        <f t="shared" si="39"/>
        <v>0</v>
      </c>
      <c r="AJ44" s="118"/>
      <c r="AK44" s="120">
        <f t="shared" si="40"/>
        <v>0</v>
      </c>
      <c r="AL44" s="121">
        <f t="shared" si="41"/>
        <v>0</v>
      </c>
      <c r="AM44" s="122"/>
      <c r="AN44" s="123">
        <f t="shared" si="42"/>
        <v>0</v>
      </c>
      <c r="AO44" s="124">
        <f t="shared" si="43"/>
        <v>0</v>
      </c>
      <c r="AP44" s="124">
        <f t="shared" si="44"/>
        <v>0</v>
      </c>
      <c r="AQ44" s="124">
        <f t="shared" si="45"/>
        <v>0</v>
      </c>
      <c r="AR44" s="124">
        <f t="shared" si="46"/>
        <v>0</v>
      </c>
      <c r="AS44" s="124">
        <f t="array" ref="AS44">_xlfn.IFS(S44=0,AL44,S44&lt;0,AL44/-S44,S44&gt;0,AL44/S44)</f>
        <v>0</v>
      </c>
      <c r="AT44" s="119">
        <f t="shared" si="47"/>
        <v>0</v>
      </c>
      <c r="AU44" s="119">
        <f t="shared" si="48"/>
        <v>0</v>
      </c>
      <c r="AV44" s="125"/>
      <c r="AW44" s="120">
        <f t="shared" si="49"/>
        <v>0</v>
      </c>
    </row>
    <row r="45" spans="1:49" hidden="1" outlineLevel="1">
      <c r="A45" s="114"/>
      <c r="B45" s="115"/>
      <c r="C45" s="115"/>
      <c r="D45" s="149"/>
      <c r="E45" s="118">
        <f t="shared" si="29"/>
        <v>0</v>
      </c>
      <c r="F45" s="117"/>
      <c r="G45" s="117"/>
      <c r="H45" s="117"/>
      <c r="I45" s="117"/>
      <c r="J45" s="117">
        <f t="shared" si="30"/>
        <v>0</v>
      </c>
      <c r="K45" s="114"/>
      <c r="L45" s="114"/>
      <c r="M45" s="114"/>
      <c r="N45" s="114"/>
      <c r="O45" s="117">
        <f t="shared" si="31"/>
        <v>0</v>
      </c>
      <c r="P45" s="117">
        <f t="shared" si="32"/>
        <v>0</v>
      </c>
      <c r="Q45" s="118"/>
      <c r="R45" s="118"/>
      <c r="S45" s="117">
        <f t="shared" si="33"/>
        <v>0</v>
      </c>
      <c r="T45" s="117"/>
      <c r="U45" s="117"/>
      <c r="V45" s="117">
        <f t="shared" si="34"/>
        <v>0</v>
      </c>
      <c r="W45" s="118"/>
      <c r="X45" s="118"/>
      <c r="Y45" s="117">
        <f t="shared" si="35"/>
        <v>0</v>
      </c>
      <c r="Z45" s="117">
        <f t="shared" si="36"/>
        <v>0</v>
      </c>
      <c r="AA45" s="119">
        <f t="shared" si="50"/>
        <v>0</v>
      </c>
      <c r="AB45" s="117">
        <f t="shared" si="37"/>
        <v>0</v>
      </c>
      <c r="AC45" s="118"/>
      <c r="AD45" s="119">
        <f t="shared" si="38"/>
        <v>0</v>
      </c>
      <c r="AE45" s="118"/>
      <c r="AF45" s="118"/>
      <c r="AG45" s="118"/>
      <c r="AH45" s="118"/>
      <c r="AI45" s="152">
        <f t="shared" si="39"/>
        <v>0</v>
      </c>
      <c r="AJ45" s="118"/>
      <c r="AK45" s="120">
        <f t="shared" si="40"/>
        <v>0</v>
      </c>
      <c r="AL45" s="121">
        <f t="shared" si="41"/>
        <v>0</v>
      </c>
      <c r="AM45" s="122"/>
      <c r="AN45" s="123">
        <f t="shared" si="42"/>
        <v>0</v>
      </c>
      <c r="AO45" s="124">
        <f t="shared" si="43"/>
        <v>0</v>
      </c>
      <c r="AP45" s="124">
        <f t="shared" si="44"/>
        <v>0</v>
      </c>
      <c r="AQ45" s="124">
        <f t="shared" si="45"/>
        <v>0</v>
      </c>
      <c r="AR45" s="124">
        <f t="shared" si="46"/>
        <v>0</v>
      </c>
      <c r="AS45" s="124">
        <f t="array" ref="AS45">_xlfn.IFS(S45=0,AL45,S45&lt;0,AL45/-S45,S45&gt;0,AL45/S45)</f>
        <v>0</v>
      </c>
      <c r="AT45" s="119">
        <f t="shared" si="47"/>
        <v>0</v>
      </c>
      <c r="AU45" s="119">
        <f t="shared" si="48"/>
        <v>0</v>
      </c>
      <c r="AV45" s="125"/>
      <c r="AW45" s="120">
        <f t="shared" si="49"/>
        <v>0</v>
      </c>
    </row>
    <row r="46" spans="1:49" hidden="1" outlineLevel="1">
      <c r="A46" s="114"/>
      <c r="B46" s="115"/>
      <c r="C46" s="115"/>
      <c r="D46" s="149"/>
      <c r="E46" s="118">
        <f t="shared" si="29"/>
        <v>0</v>
      </c>
      <c r="F46" s="117"/>
      <c r="G46" s="117"/>
      <c r="H46" s="117"/>
      <c r="I46" s="117"/>
      <c r="J46" s="117">
        <f t="shared" si="30"/>
        <v>0</v>
      </c>
      <c r="K46" s="114"/>
      <c r="L46" s="114"/>
      <c r="M46" s="114"/>
      <c r="N46" s="114"/>
      <c r="O46" s="117">
        <f t="shared" si="31"/>
        <v>0</v>
      </c>
      <c r="P46" s="117">
        <f t="shared" si="32"/>
        <v>0</v>
      </c>
      <c r="Q46" s="118"/>
      <c r="R46" s="118"/>
      <c r="S46" s="117">
        <f t="shared" si="33"/>
        <v>0</v>
      </c>
      <c r="T46" s="117"/>
      <c r="U46" s="117"/>
      <c r="V46" s="117">
        <f t="shared" si="34"/>
        <v>0</v>
      </c>
      <c r="W46" s="118"/>
      <c r="X46" s="118"/>
      <c r="Y46" s="117">
        <f t="shared" si="35"/>
        <v>0</v>
      </c>
      <c r="Z46" s="117">
        <f t="shared" si="36"/>
        <v>0</v>
      </c>
      <c r="AA46" s="119">
        <f t="shared" si="50"/>
        <v>0</v>
      </c>
      <c r="AB46" s="117">
        <f t="shared" si="37"/>
        <v>0</v>
      </c>
      <c r="AC46" s="118"/>
      <c r="AD46" s="119">
        <f t="shared" si="38"/>
        <v>0</v>
      </c>
      <c r="AE46" s="118"/>
      <c r="AF46" s="118"/>
      <c r="AG46" s="118"/>
      <c r="AH46" s="118"/>
      <c r="AI46" s="152">
        <f t="shared" si="39"/>
        <v>0</v>
      </c>
      <c r="AJ46" s="118"/>
      <c r="AK46" s="120">
        <f t="shared" si="40"/>
        <v>0</v>
      </c>
      <c r="AL46" s="121">
        <f t="shared" si="41"/>
        <v>0</v>
      </c>
      <c r="AM46" s="122"/>
      <c r="AN46" s="123">
        <f t="shared" si="42"/>
        <v>0</v>
      </c>
      <c r="AO46" s="124">
        <f t="shared" si="43"/>
        <v>0</v>
      </c>
      <c r="AP46" s="124">
        <f t="shared" si="44"/>
        <v>0</v>
      </c>
      <c r="AQ46" s="124">
        <f t="shared" si="45"/>
        <v>0</v>
      </c>
      <c r="AR46" s="124">
        <f t="shared" si="46"/>
        <v>0</v>
      </c>
      <c r="AS46" s="124">
        <f t="array" ref="AS46">_xlfn.IFS(S46=0,AL46,S46&lt;0,AL46/-S46,S46&gt;0,AL46/S46)</f>
        <v>0</v>
      </c>
      <c r="AT46" s="119">
        <f t="shared" si="47"/>
        <v>0</v>
      </c>
      <c r="AU46" s="119">
        <f t="shared" si="48"/>
        <v>0</v>
      </c>
      <c r="AV46" s="125"/>
      <c r="AW46" s="120">
        <f t="shared" si="49"/>
        <v>0</v>
      </c>
    </row>
    <row r="47" spans="1:49" hidden="1" outlineLevel="1">
      <c r="A47" s="114"/>
      <c r="B47" s="115"/>
      <c r="C47" s="115"/>
      <c r="D47" s="116"/>
      <c r="E47" s="117">
        <f t="shared" si="29"/>
        <v>0</v>
      </c>
      <c r="F47" s="117"/>
      <c r="G47" s="117"/>
      <c r="H47" s="117"/>
      <c r="I47" s="117"/>
      <c r="J47" s="117">
        <f t="shared" si="30"/>
        <v>0</v>
      </c>
      <c r="K47" s="114"/>
      <c r="L47" s="114"/>
      <c r="M47" s="114"/>
      <c r="N47" s="114"/>
      <c r="O47" s="117">
        <f t="shared" si="31"/>
        <v>0</v>
      </c>
      <c r="P47" s="117">
        <f t="shared" si="32"/>
        <v>0</v>
      </c>
      <c r="Q47" s="118"/>
      <c r="R47" s="118"/>
      <c r="S47" s="117">
        <f t="shared" si="33"/>
        <v>0</v>
      </c>
      <c r="T47" s="117"/>
      <c r="U47" s="117"/>
      <c r="V47" s="117">
        <f t="shared" si="34"/>
        <v>0</v>
      </c>
      <c r="W47" s="118"/>
      <c r="X47" s="118"/>
      <c r="Y47" s="117">
        <f t="shared" si="35"/>
        <v>0</v>
      </c>
      <c r="Z47" s="117">
        <f t="shared" si="36"/>
        <v>0</v>
      </c>
      <c r="AA47" s="119">
        <f t="shared" si="50"/>
        <v>0</v>
      </c>
      <c r="AB47" s="117">
        <f t="shared" si="37"/>
        <v>0</v>
      </c>
      <c r="AC47" s="118"/>
      <c r="AD47" s="119">
        <f t="shared" si="38"/>
        <v>0</v>
      </c>
      <c r="AE47" s="118"/>
      <c r="AF47" s="118"/>
      <c r="AG47" s="118"/>
      <c r="AH47" s="118"/>
      <c r="AI47" s="152">
        <f t="shared" si="39"/>
        <v>0</v>
      </c>
      <c r="AJ47" s="118"/>
      <c r="AK47" s="120">
        <f t="shared" si="40"/>
        <v>0</v>
      </c>
      <c r="AL47" s="121">
        <f t="shared" si="41"/>
        <v>0</v>
      </c>
      <c r="AM47" s="122"/>
      <c r="AN47" s="123">
        <f t="shared" si="42"/>
        <v>0</v>
      </c>
      <c r="AO47" s="124">
        <f t="shared" si="43"/>
        <v>0</v>
      </c>
      <c r="AP47" s="124">
        <f t="shared" si="44"/>
        <v>0</v>
      </c>
      <c r="AQ47" s="124">
        <f t="shared" si="45"/>
        <v>0</v>
      </c>
      <c r="AR47" s="124">
        <f t="shared" si="46"/>
        <v>0</v>
      </c>
      <c r="AS47" s="124">
        <f t="array" ref="AS47">_xlfn.IFS(S47=0,AL47,S47&lt;0,AL47/-S47,S47&gt;0,AL47/S47)</f>
        <v>0</v>
      </c>
      <c r="AT47" s="119">
        <f t="shared" si="47"/>
        <v>0</v>
      </c>
      <c r="AU47" s="119">
        <f t="shared" si="48"/>
        <v>0</v>
      </c>
      <c r="AV47" s="125"/>
      <c r="AW47" s="120">
        <f t="shared" si="49"/>
        <v>0</v>
      </c>
    </row>
    <row r="48" spans="1:49" hidden="1" outlineLevel="1">
      <c r="A48" s="114"/>
      <c r="B48" s="115"/>
      <c r="C48" s="115"/>
      <c r="D48" s="116"/>
      <c r="E48" s="117">
        <f t="shared" si="29"/>
        <v>0</v>
      </c>
      <c r="F48" s="117"/>
      <c r="G48" s="117"/>
      <c r="H48" s="117"/>
      <c r="I48" s="117"/>
      <c r="J48" s="117">
        <f t="shared" si="30"/>
        <v>0</v>
      </c>
      <c r="K48" s="114"/>
      <c r="L48" s="114"/>
      <c r="M48" s="114"/>
      <c r="N48" s="114"/>
      <c r="O48" s="117">
        <f t="shared" si="31"/>
        <v>0</v>
      </c>
      <c r="P48" s="117">
        <f t="shared" si="32"/>
        <v>0</v>
      </c>
      <c r="Q48" s="118"/>
      <c r="R48" s="118"/>
      <c r="S48" s="117">
        <f t="shared" si="33"/>
        <v>0</v>
      </c>
      <c r="T48" s="117"/>
      <c r="U48" s="117"/>
      <c r="V48" s="117">
        <f t="shared" si="34"/>
        <v>0</v>
      </c>
      <c r="W48" s="118"/>
      <c r="X48" s="118"/>
      <c r="Y48" s="117">
        <f t="shared" si="35"/>
        <v>0</v>
      </c>
      <c r="Z48" s="117">
        <f t="shared" si="36"/>
        <v>0</v>
      </c>
      <c r="AA48" s="119">
        <f t="shared" si="50"/>
        <v>0</v>
      </c>
      <c r="AB48" s="117">
        <f t="shared" si="37"/>
        <v>0</v>
      </c>
      <c r="AC48" s="118"/>
      <c r="AD48" s="119">
        <f t="shared" si="38"/>
        <v>0</v>
      </c>
      <c r="AE48" s="118"/>
      <c r="AF48" s="118"/>
      <c r="AG48" s="118"/>
      <c r="AH48" s="118"/>
      <c r="AI48" s="152">
        <f t="shared" si="39"/>
        <v>0</v>
      </c>
      <c r="AJ48" s="118"/>
      <c r="AK48" s="120">
        <f t="shared" si="40"/>
        <v>0</v>
      </c>
      <c r="AL48" s="121">
        <f t="shared" si="41"/>
        <v>0</v>
      </c>
      <c r="AM48" s="122"/>
      <c r="AN48" s="123">
        <f t="shared" si="42"/>
        <v>0</v>
      </c>
      <c r="AO48" s="124">
        <f t="shared" si="43"/>
        <v>0</v>
      </c>
      <c r="AP48" s="124">
        <f t="shared" si="44"/>
        <v>0</v>
      </c>
      <c r="AQ48" s="124">
        <f t="shared" si="45"/>
        <v>0</v>
      </c>
      <c r="AR48" s="124">
        <f t="shared" si="46"/>
        <v>0</v>
      </c>
      <c r="AS48" s="124">
        <f t="array" ref="AS48">_xlfn.IFS(S48=0,AL48,S48&lt;0,AL48/-S48,S48&gt;0,AL48/S48)</f>
        <v>0</v>
      </c>
      <c r="AT48" s="119">
        <f t="shared" si="47"/>
        <v>0</v>
      </c>
      <c r="AU48" s="119">
        <f t="shared" si="48"/>
        <v>0</v>
      </c>
      <c r="AV48" s="125"/>
      <c r="AW48" s="120">
        <f t="shared" si="49"/>
        <v>0</v>
      </c>
    </row>
    <row r="49" spans="1:49" hidden="1" outlineLevel="1">
      <c r="A49" s="114"/>
      <c r="B49" s="115"/>
      <c r="C49" s="115"/>
      <c r="D49" s="116"/>
      <c r="E49" s="117">
        <f t="shared" si="29"/>
        <v>0</v>
      </c>
      <c r="F49" s="117"/>
      <c r="G49" s="117"/>
      <c r="H49" s="117"/>
      <c r="I49" s="117"/>
      <c r="J49" s="117">
        <f t="shared" si="30"/>
        <v>0</v>
      </c>
      <c r="K49" s="114"/>
      <c r="L49" s="114"/>
      <c r="M49" s="114"/>
      <c r="N49" s="114"/>
      <c r="O49" s="117">
        <f t="shared" si="31"/>
        <v>0</v>
      </c>
      <c r="P49" s="117">
        <f t="shared" si="32"/>
        <v>0</v>
      </c>
      <c r="Q49" s="118"/>
      <c r="R49" s="118"/>
      <c r="S49" s="117">
        <f t="shared" si="33"/>
        <v>0</v>
      </c>
      <c r="T49" s="117"/>
      <c r="U49" s="117"/>
      <c r="V49" s="117">
        <f t="shared" si="34"/>
        <v>0</v>
      </c>
      <c r="W49" s="118"/>
      <c r="X49" s="118"/>
      <c r="Y49" s="117">
        <f t="shared" si="35"/>
        <v>0</v>
      </c>
      <c r="Z49" s="117">
        <f t="shared" si="36"/>
        <v>0</v>
      </c>
      <c r="AA49" s="119">
        <f t="shared" si="50"/>
        <v>0</v>
      </c>
      <c r="AB49" s="117">
        <f t="shared" si="37"/>
        <v>0</v>
      </c>
      <c r="AC49" s="118"/>
      <c r="AD49" s="119">
        <f t="shared" si="38"/>
        <v>0</v>
      </c>
      <c r="AE49" s="118"/>
      <c r="AF49" s="118"/>
      <c r="AG49" s="118"/>
      <c r="AH49" s="118"/>
      <c r="AI49" s="152">
        <f t="shared" si="39"/>
        <v>0</v>
      </c>
      <c r="AJ49" s="118"/>
      <c r="AK49" s="120">
        <f t="shared" si="40"/>
        <v>0</v>
      </c>
      <c r="AL49" s="121">
        <f t="shared" si="41"/>
        <v>0</v>
      </c>
      <c r="AM49" s="122"/>
      <c r="AN49" s="123">
        <f t="shared" si="42"/>
        <v>0</v>
      </c>
      <c r="AO49" s="124">
        <f t="shared" si="43"/>
        <v>0</v>
      </c>
      <c r="AP49" s="124">
        <f t="shared" si="44"/>
        <v>0</v>
      </c>
      <c r="AQ49" s="124">
        <f t="shared" si="45"/>
        <v>0</v>
      </c>
      <c r="AR49" s="124">
        <f t="shared" si="46"/>
        <v>0</v>
      </c>
      <c r="AS49" s="124">
        <f t="array" ref="AS49">_xlfn.IFS(S49=0,AL49,S49&lt;0,AL49/-S49,S49&gt;0,AL49/S49)</f>
        <v>0</v>
      </c>
      <c r="AT49" s="119">
        <f t="shared" si="47"/>
        <v>0</v>
      </c>
      <c r="AU49" s="119">
        <f t="shared" si="48"/>
        <v>0</v>
      </c>
      <c r="AV49" s="125"/>
      <c r="AW49" s="120">
        <f t="shared" si="49"/>
        <v>0</v>
      </c>
    </row>
    <row r="50" spans="1:49" hidden="1" outlineLevel="1">
      <c r="A50" s="114"/>
      <c r="B50" s="115"/>
      <c r="C50" s="115"/>
      <c r="D50" s="116"/>
      <c r="E50" s="117">
        <f t="shared" si="29"/>
        <v>0</v>
      </c>
      <c r="F50" s="117"/>
      <c r="G50" s="117"/>
      <c r="H50" s="117"/>
      <c r="I50" s="117"/>
      <c r="J50" s="117">
        <f t="shared" si="30"/>
        <v>0</v>
      </c>
      <c r="K50" s="114"/>
      <c r="L50" s="114"/>
      <c r="M50" s="114"/>
      <c r="N50" s="114"/>
      <c r="O50" s="117">
        <f t="shared" si="31"/>
        <v>0</v>
      </c>
      <c r="P50" s="117">
        <f t="shared" si="32"/>
        <v>0</v>
      </c>
      <c r="Q50" s="118"/>
      <c r="R50" s="118"/>
      <c r="S50" s="117">
        <f t="shared" si="33"/>
        <v>0</v>
      </c>
      <c r="T50" s="117"/>
      <c r="U50" s="117"/>
      <c r="V50" s="117">
        <f t="shared" si="34"/>
        <v>0</v>
      </c>
      <c r="W50" s="118"/>
      <c r="X50" s="118"/>
      <c r="Y50" s="117">
        <f t="shared" si="35"/>
        <v>0</v>
      </c>
      <c r="Z50" s="117">
        <f t="shared" si="36"/>
        <v>0</v>
      </c>
      <c r="AA50" s="119">
        <f t="shared" si="50"/>
        <v>0</v>
      </c>
      <c r="AB50" s="117">
        <f t="shared" si="37"/>
        <v>0</v>
      </c>
      <c r="AC50" s="118"/>
      <c r="AD50" s="119">
        <f t="shared" si="38"/>
        <v>0</v>
      </c>
      <c r="AE50" s="118"/>
      <c r="AF50" s="118"/>
      <c r="AG50" s="118"/>
      <c r="AH50" s="118"/>
      <c r="AI50" s="152">
        <f t="shared" si="39"/>
        <v>0</v>
      </c>
      <c r="AJ50" s="118"/>
      <c r="AK50" s="120">
        <f t="shared" si="40"/>
        <v>0</v>
      </c>
      <c r="AL50" s="121">
        <f t="shared" si="41"/>
        <v>0</v>
      </c>
      <c r="AM50" s="122"/>
      <c r="AN50" s="123">
        <f t="shared" si="42"/>
        <v>0</v>
      </c>
      <c r="AO50" s="124">
        <f t="shared" si="43"/>
        <v>0</v>
      </c>
      <c r="AP50" s="124">
        <f t="shared" si="44"/>
        <v>0</v>
      </c>
      <c r="AQ50" s="124">
        <f t="shared" si="45"/>
        <v>0</v>
      </c>
      <c r="AR50" s="124">
        <f t="shared" si="46"/>
        <v>0</v>
      </c>
      <c r="AS50" s="124">
        <f t="array" ref="AS50">_xlfn.IFS(S50=0,AL50,S50&lt;0,AL50/-S50,S50&gt;0,AL50/S50)</f>
        <v>0</v>
      </c>
      <c r="AT50" s="119">
        <f t="shared" si="47"/>
        <v>0</v>
      </c>
      <c r="AU50" s="119">
        <f t="shared" si="48"/>
        <v>0</v>
      </c>
      <c r="AV50" s="125"/>
      <c r="AW50" s="120">
        <f t="shared" si="49"/>
        <v>0</v>
      </c>
    </row>
    <row r="51" spans="1:49" hidden="1" outlineLevel="1">
      <c r="A51" s="114"/>
      <c r="B51" s="115"/>
      <c r="C51" s="115"/>
      <c r="D51" s="116"/>
      <c r="E51" s="117">
        <f t="shared" ref="E51:E70" si="51">SUM(F51:H51)</f>
        <v>0</v>
      </c>
      <c r="F51" s="117"/>
      <c r="G51" s="117"/>
      <c r="H51" s="117"/>
      <c r="I51" s="117"/>
      <c r="J51" s="117">
        <f t="shared" si="30"/>
        <v>0</v>
      </c>
      <c r="K51" s="114"/>
      <c r="L51" s="114"/>
      <c r="M51" s="114"/>
      <c r="N51" s="114"/>
      <c r="O51" s="117">
        <f t="shared" si="31"/>
        <v>0</v>
      </c>
      <c r="P51" s="117">
        <f t="shared" si="32"/>
        <v>0</v>
      </c>
      <c r="Q51" s="118"/>
      <c r="R51" s="118"/>
      <c r="S51" s="117">
        <f t="shared" si="33"/>
        <v>0</v>
      </c>
      <c r="T51" s="117"/>
      <c r="U51" s="117"/>
      <c r="V51" s="117">
        <f t="shared" si="34"/>
        <v>0</v>
      </c>
      <c r="W51" s="118"/>
      <c r="X51" s="118"/>
      <c r="Y51" s="117">
        <f t="shared" si="35"/>
        <v>0</v>
      </c>
      <c r="Z51" s="117">
        <f t="shared" si="36"/>
        <v>0</v>
      </c>
      <c r="AA51" s="119">
        <f t="shared" si="50"/>
        <v>0</v>
      </c>
      <c r="AB51" s="117">
        <f t="shared" si="37"/>
        <v>0</v>
      </c>
      <c r="AC51" s="118"/>
      <c r="AD51" s="119">
        <f t="shared" si="38"/>
        <v>0</v>
      </c>
      <c r="AE51" s="118"/>
      <c r="AF51" s="118"/>
      <c r="AG51" s="118"/>
      <c r="AH51" s="118"/>
      <c r="AI51" s="152">
        <f t="shared" si="39"/>
        <v>0</v>
      </c>
      <c r="AJ51" s="118"/>
      <c r="AK51" s="120">
        <f t="shared" si="40"/>
        <v>0</v>
      </c>
      <c r="AL51" s="121">
        <f t="shared" si="41"/>
        <v>0</v>
      </c>
      <c r="AM51" s="122"/>
      <c r="AN51" s="123">
        <f t="shared" si="42"/>
        <v>0</v>
      </c>
      <c r="AO51" s="124">
        <f t="shared" si="43"/>
        <v>0</v>
      </c>
      <c r="AP51" s="124">
        <f t="shared" si="44"/>
        <v>0</v>
      </c>
      <c r="AQ51" s="124">
        <f t="shared" si="45"/>
        <v>0</v>
      </c>
      <c r="AR51" s="124">
        <f t="shared" si="46"/>
        <v>0</v>
      </c>
      <c r="AS51" s="124">
        <f t="array" ref="AS51">_xlfn.IFS(S51=0,AL51,S51&lt;0,AL51/-S51,S51&gt;0,AL51/S51)</f>
        <v>0</v>
      </c>
      <c r="AT51" s="119">
        <f t="shared" si="47"/>
        <v>0</v>
      </c>
      <c r="AU51" s="119">
        <f t="shared" si="48"/>
        <v>0</v>
      </c>
      <c r="AV51" s="125"/>
      <c r="AW51" s="120">
        <f t="shared" si="49"/>
        <v>0</v>
      </c>
    </row>
    <row r="52" spans="1:49" hidden="1" outlineLevel="1">
      <c r="A52" s="114"/>
      <c r="B52" s="115"/>
      <c r="C52" s="115"/>
      <c r="D52" s="116"/>
      <c r="E52" s="117">
        <f t="shared" si="51"/>
        <v>0</v>
      </c>
      <c r="F52" s="117"/>
      <c r="G52" s="117"/>
      <c r="H52" s="117"/>
      <c r="I52" s="117"/>
      <c r="J52" s="117">
        <f t="shared" si="30"/>
        <v>0</v>
      </c>
      <c r="K52" s="114"/>
      <c r="L52" s="114"/>
      <c r="M52" s="114"/>
      <c r="N52" s="114"/>
      <c r="O52" s="117">
        <f t="shared" si="31"/>
        <v>0</v>
      </c>
      <c r="P52" s="117">
        <f t="shared" si="32"/>
        <v>0</v>
      </c>
      <c r="Q52" s="118"/>
      <c r="R52" s="118"/>
      <c r="S52" s="117">
        <f t="shared" si="33"/>
        <v>0</v>
      </c>
      <c r="T52" s="117"/>
      <c r="U52" s="117"/>
      <c r="V52" s="117">
        <f t="shared" si="34"/>
        <v>0</v>
      </c>
      <c r="W52" s="118"/>
      <c r="X52" s="118"/>
      <c r="Y52" s="117">
        <f t="shared" si="35"/>
        <v>0</v>
      </c>
      <c r="Z52" s="117">
        <f t="shared" si="36"/>
        <v>0</v>
      </c>
      <c r="AA52" s="119">
        <f t="shared" si="50"/>
        <v>0</v>
      </c>
      <c r="AB52" s="117">
        <f t="shared" si="37"/>
        <v>0</v>
      </c>
      <c r="AC52" s="118"/>
      <c r="AD52" s="119">
        <f t="shared" si="38"/>
        <v>0</v>
      </c>
      <c r="AE52" s="118"/>
      <c r="AF52" s="118"/>
      <c r="AG52" s="118"/>
      <c r="AH52" s="118"/>
      <c r="AI52" s="152">
        <f t="shared" si="39"/>
        <v>0</v>
      </c>
      <c r="AJ52" s="118"/>
      <c r="AK52" s="120">
        <f t="shared" si="40"/>
        <v>0</v>
      </c>
      <c r="AL52" s="121">
        <f t="shared" si="41"/>
        <v>0</v>
      </c>
      <c r="AM52" s="122"/>
      <c r="AN52" s="123">
        <f t="shared" si="42"/>
        <v>0</v>
      </c>
      <c r="AO52" s="124">
        <f t="shared" si="43"/>
        <v>0</v>
      </c>
      <c r="AP52" s="124">
        <f t="shared" si="44"/>
        <v>0</v>
      </c>
      <c r="AQ52" s="124">
        <f t="shared" si="45"/>
        <v>0</v>
      </c>
      <c r="AR52" s="124">
        <f t="shared" si="46"/>
        <v>0</v>
      </c>
      <c r="AS52" s="124">
        <f t="array" ref="AS52">_xlfn.IFS(S52=0,AL52,S52&lt;0,AL52/-S52,S52&gt;0,AL52/S52)</f>
        <v>0</v>
      </c>
      <c r="AT52" s="119">
        <f t="shared" si="47"/>
        <v>0</v>
      </c>
      <c r="AU52" s="119">
        <f t="shared" si="48"/>
        <v>0</v>
      </c>
      <c r="AV52" s="125"/>
      <c r="AW52" s="120">
        <f t="shared" si="49"/>
        <v>0</v>
      </c>
    </row>
    <row r="53" spans="1:49" hidden="1" outlineLevel="1">
      <c r="A53" s="114"/>
      <c r="B53" s="115"/>
      <c r="C53" s="115"/>
      <c r="D53" s="116"/>
      <c r="E53" s="117">
        <f t="shared" si="51"/>
        <v>0</v>
      </c>
      <c r="F53" s="117"/>
      <c r="G53" s="117"/>
      <c r="H53" s="117"/>
      <c r="I53" s="117"/>
      <c r="J53" s="117">
        <f t="shared" si="30"/>
        <v>0</v>
      </c>
      <c r="K53" s="114"/>
      <c r="L53" s="114"/>
      <c r="M53" s="114"/>
      <c r="N53" s="114"/>
      <c r="O53" s="117">
        <f t="shared" si="31"/>
        <v>0</v>
      </c>
      <c r="P53" s="117">
        <f t="shared" si="32"/>
        <v>0</v>
      </c>
      <c r="Q53" s="118"/>
      <c r="R53" s="118"/>
      <c r="S53" s="117">
        <f t="shared" si="33"/>
        <v>0</v>
      </c>
      <c r="T53" s="117"/>
      <c r="U53" s="117"/>
      <c r="V53" s="117">
        <f t="shared" si="34"/>
        <v>0</v>
      </c>
      <c r="W53" s="118"/>
      <c r="X53" s="118"/>
      <c r="Y53" s="117">
        <f t="shared" si="35"/>
        <v>0</v>
      </c>
      <c r="Z53" s="117">
        <f t="shared" si="36"/>
        <v>0</v>
      </c>
      <c r="AA53" s="119">
        <f t="shared" si="50"/>
        <v>0</v>
      </c>
      <c r="AB53" s="117">
        <f t="shared" si="37"/>
        <v>0</v>
      </c>
      <c r="AC53" s="118"/>
      <c r="AD53" s="119">
        <f t="shared" si="38"/>
        <v>0</v>
      </c>
      <c r="AE53" s="118"/>
      <c r="AF53" s="118"/>
      <c r="AG53" s="118"/>
      <c r="AH53" s="118"/>
      <c r="AI53" s="152">
        <f t="shared" si="39"/>
        <v>0</v>
      </c>
      <c r="AJ53" s="118"/>
      <c r="AK53" s="120">
        <f t="shared" si="40"/>
        <v>0</v>
      </c>
      <c r="AL53" s="121">
        <f t="shared" si="41"/>
        <v>0</v>
      </c>
      <c r="AM53" s="122"/>
      <c r="AN53" s="123">
        <f t="shared" si="42"/>
        <v>0</v>
      </c>
      <c r="AO53" s="124">
        <f t="shared" si="43"/>
        <v>0</v>
      </c>
      <c r="AP53" s="124">
        <f t="shared" si="44"/>
        <v>0</v>
      </c>
      <c r="AQ53" s="124">
        <f t="shared" si="45"/>
        <v>0</v>
      </c>
      <c r="AR53" s="124">
        <f t="shared" si="46"/>
        <v>0</v>
      </c>
      <c r="AS53" s="124">
        <f t="array" ref="AS53">_xlfn.IFS(S53=0,AL53,S53&lt;0,AL53/-S53,S53&gt;0,AL53/S53)</f>
        <v>0</v>
      </c>
      <c r="AT53" s="119">
        <f t="shared" si="47"/>
        <v>0</v>
      </c>
      <c r="AU53" s="119">
        <f t="shared" si="48"/>
        <v>0</v>
      </c>
      <c r="AV53" s="125"/>
      <c r="AW53" s="120">
        <f t="shared" si="49"/>
        <v>0</v>
      </c>
    </row>
    <row r="54" spans="1:49" hidden="1" outlineLevel="1">
      <c r="A54" s="114"/>
      <c r="B54" s="115"/>
      <c r="C54" s="115"/>
      <c r="D54" s="116"/>
      <c r="E54" s="117">
        <f t="shared" si="51"/>
        <v>0</v>
      </c>
      <c r="F54" s="117"/>
      <c r="G54" s="117"/>
      <c r="H54" s="117"/>
      <c r="I54" s="117"/>
      <c r="J54" s="117">
        <f t="shared" si="30"/>
        <v>0</v>
      </c>
      <c r="K54" s="114"/>
      <c r="L54" s="114"/>
      <c r="M54" s="114"/>
      <c r="N54" s="114"/>
      <c r="O54" s="117">
        <f t="shared" si="31"/>
        <v>0</v>
      </c>
      <c r="P54" s="117">
        <f t="shared" si="32"/>
        <v>0</v>
      </c>
      <c r="Q54" s="118"/>
      <c r="R54" s="118"/>
      <c r="S54" s="117">
        <f t="shared" si="33"/>
        <v>0</v>
      </c>
      <c r="T54" s="117"/>
      <c r="U54" s="117"/>
      <c r="V54" s="117">
        <f t="shared" si="34"/>
        <v>0</v>
      </c>
      <c r="W54" s="118"/>
      <c r="X54" s="118"/>
      <c r="Y54" s="117">
        <f t="shared" si="35"/>
        <v>0</v>
      </c>
      <c r="Z54" s="117">
        <f t="shared" si="36"/>
        <v>0</v>
      </c>
      <c r="AA54" s="119">
        <f t="shared" si="50"/>
        <v>0</v>
      </c>
      <c r="AB54" s="117">
        <f t="shared" si="37"/>
        <v>0</v>
      </c>
      <c r="AC54" s="118"/>
      <c r="AD54" s="119">
        <f t="shared" si="38"/>
        <v>0</v>
      </c>
      <c r="AE54" s="118"/>
      <c r="AF54" s="118"/>
      <c r="AG54" s="118"/>
      <c r="AH54" s="118"/>
      <c r="AI54" s="152">
        <f t="shared" si="39"/>
        <v>0</v>
      </c>
      <c r="AJ54" s="118"/>
      <c r="AK54" s="120">
        <f t="shared" si="40"/>
        <v>0</v>
      </c>
      <c r="AL54" s="121">
        <f t="shared" si="41"/>
        <v>0</v>
      </c>
      <c r="AM54" s="122"/>
      <c r="AN54" s="123">
        <f t="shared" si="42"/>
        <v>0</v>
      </c>
      <c r="AO54" s="124">
        <f t="shared" si="43"/>
        <v>0</v>
      </c>
      <c r="AP54" s="124">
        <f t="shared" si="44"/>
        <v>0</v>
      </c>
      <c r="AQ54" s="124">
        <f t="shared" si="45"/>
        <v>0</v>
      </c>
      <c r="AR54" s="124">
        <f t="shared" si="46"/>
        <v>0</v>
      </c>
      <c r="AS54" s="124">
        <f t="array" ref="AS54">_xlfn.IFS(S54=0,AL54,S54&lt;0,AL54/-S54,S54&gt;0,AL54/S54)</f>
        <v>0</v>
      </c>
      <c r="AT54" s="119">
        <f t="shared" si="47"/>
        <v>0</v>
      </c>
      <c r="AU54" s="119">
        <f t="shared" si="48"/>
        <v>0</v>
      </c>
      <c r="AV54" s="125"/>
      <c r="AW54" s="120">
        <f t="shared" si="49"/>
        <v>0</v>
      </c>
    </row>
    <row r="55" spans="1:49" hidden="1" outlineLevel="1">
      <c r="A55" s="114"/>
      <c r="B55" s="115"/>
      <c r="C55" s="115"/>
      <c r="D55" s="116"/>
      <c r="E55" s="117">
        <f t="shared" si="51"/>
        <v>0</v>
      </c>
      <c r="F55" s="117"/>
      <c r="G55" s="117"/>
      <c r="H55" s="117"/>
      <c r="I55" s="117"/>
      <c r="J55" s="117">
        <f t="shared" si="30"/>
        <v>0</v>
      </c>
      <c r="K55" s="114"/>
      <c r="L55" s="114"/>
      <c r="M55" s="114"/>
      <c r="N55" s="114"/>
      <c r="O55" s="117">
        <f t="shared" si="31"/>
        <v>0</v>
      </c>
      <c r="P55" s="117">
        <f t="shared" si="32"/>
        <v>0</v>
      </c>
      <c r="Q55" s="118"/>
      <c r="R55" s="118"/>
      <c r="S55" s="117">
        <f t="shared" si="33"/>
        <v>0</v>
      </c>
      <c r="T55" s="117"/>
      <c r="U55" s="117"/>
      <c r="V55" s="117">
        <f t="shared" si="34"/>
        <v>0</v>
      </c>
      <c r="W55" s="118"/>
      <c r="X55" s="118"/>
      <c r="Y55" s="117">
        <f t="shared" si="35"/>
        <v>0</v>
      </c>
      <c r="Z55" s="117">
        <f t="shared" si="36"/>
        <v>0</v>
      </c>
      <c r="AA55" s="119">
        <f t="shared" si="50"/>
        <v>0</v>
      </c>
      <c r="AB55" s="117">
        <f t="shared" si="37"/>
        <v>0</v>
      </c>
      <c r="AC55" s="118"/>
      <c r="AD55" s="119">
        <f t="shared" si="38"/>
        <v>0</v>
      </c>
      <c r="AE55" s="118"/>
      <c r="AF55" s="118"/>
      <c r="AG55" s="118"/>
      <c r="AH55" s="118"/>
      <c r="AI55" s="152">
        <f t="shared" si="39"/>
        <v>0</v>
      </c>
      <c r="AJ55" s="118"/>
      <c r="AK55" s="120">
        <f t="shared" si="40"/>
        <v>0</v>
      </c>
      <c r="AL55" s="121">
        <f t="shared" si="41"/>
        <v>0</v>
      </c>
      <c r="AM55" s="122"/>
      <c r="AN55" s="123">
        <f t="shared" si="42"/>
        <v>0</v>
      </c>
      <c r="AO55" s="124">
        <f t="shared" si="43"/>
        <v>0</v>
      </c>
      <c r="AP55" s="124">
        <f t="shared" si="44"/>
        <v>0</v>
      </c>
      <c r="AQ55" s="124">
        <f t="shared" si="45"/>
        <v>0</v>
      </c>
      <c r="AR55" s="124">
        <f t="shared" si="46"/>
        <v>0</v>
      </c>
      <c r="AS55" s="124">
        <f t="array" ref="AS55">_xlfn.IFS(S55=0,AL55,S55&lt;0,AL55/-S55,S55&gt;0,AL55/S55)</f>
        <v>0</v>
      </c>
      <c r="AT55" s="119">
        <f t="shared" si="47"/>
        <v>0</v>
      </c>
      <c r="AU55" s="119">
        <f t="shared" si="48"/>
        <v>0</v>
      </c>
      <c r="AV55" s="125"/>
      <c r="AW55" s="120">
        <f t="shared" si="49"/>
        <v>0</v>
      </c>
    </row>
    <row r="56" spans="1:49" hidden="1" outlineLevel="1">
      <c r="A56" s="114"/>
      <c r="B56" s="115"/>
      <c r="C56" s="115"/>
      <c r="D56" s="116"/>
      <c r="E56" s="117">
        <f t="shared" si="51"/>
        <v>0</v>
      </c>
      <c r="F56" s="117"/>
      <c r="G56" s="117"/>
      <c r="H56" s="117"/>
      <c r="I56" s="117"/>
      <c r="J56" s="117">
        <f t="shared" si="30"/>
        <v>0</v>
      </c>
      <c r="K56" s="114"/>
      <c r="L56" s="114"/>
      <c r="M56" s="114"/>
      <c r="N56" s="114"/>
      <c r="O56" s="117">
        <f t="shared" si="31"/>
        <v>0</v>
      </c>
      <c r="P56" s="117">
        <f t="shared" si="32"/>
        <v>0</v>
      </c>
      <c r="Q56" s="118"/>
      <c r="R56" s="118"/>
      <c r="S56" s="117">
        <f t="shared" si="33"/>
        <v>0</v>
      </c>
      <c r="T56" s="117"/>
      <c r="U56" s="117"/>
      <c r="V56" s="117">
        <f t="shared" si="34"/>
        <v>0</v>
      </c>
      <c r="W56" s="118"/>
      <c r="X56" s="118"/>
      <c r="Y56" s="117">
        <f t="shared" si="35"/>
        <v>0</v>
      </c>
      <c r="Z56" s="117">
        <f t="shared" si="36"/>
        <v>0</v>
      </c>
      <c r="AA56" s="119">
        <f t="shared" si="50"/>
        <v>0</v>
      </c>
      <c r="AB56" s="117">
        <f t="shared" si="37"/>
        <v>0</v>
      </c>
      <c r="AC56" s="118"/>
      <c r="AD56" s="119">
        <f t="shared" si="38"/>
        <v>0</v>
      </c>
      <c r="AE56" s="118"/>
      <c r="AF56" s="118"/>
      <c r="AG56" s="118"/>
      <c r="AH56" s="118"/>
      <c r="AI56" s="152">
        <f t="shared" si="39"/>
        <v>0</v>
      </c>
      <c r="AJ56" s="118"/>
      <c r="AK56" s="120">
        <f t="shared" si="40"/>
        <v>0</v>
      </c>
      <c r="AL56" s="121">
        <f t="shared" si="41"/>
        <v>0</v>
      </c>
      <c r="AM56" s="122"/>
      <c r="AN56" s="123">
        <f t="shared" si="42"/>
        <v>0</v>
      </c>
      <c r="AO56" s="124">
        <f t="shared" si="43"/>
        <v>0</v>
      </c>
      <c r="AP56" s="124">
        <f t="shared" si="44"/>
        <v>0</v>
      </c>
      <c r="AQ56" s="124">
        <f t="shared" si="45"/>
        <v>0</v>
      </c>
      <c r="AR56" s="124">
        <f t="shared" si="46"/>
        <v>0</v>
      </c>
      <c r="AS56" s="124">
        <f t="array" ref="AS56">_xlfn.IFS(S56=0,AL56,S56&lt;0,AL56/-S56,S56&gt;0,AL56/S56)</f>
        <v>0</v>
      </c>
      <c r="AT56" s="119">
        <f t="shared" si="47"/>
        <v>0</v>
      </c>
      <c r="AU56" s="119">
        <f t="shared" si="48"/>
        <v>0</v>
      </c>
      <c r="AV56" s="125"/>
      <c r="AW56" s="120">
        <f t="shared" si="49"/>
        <v>0</v>
      </c>
    </row>
    <row r="57" spans="1:49" hidden="1" outlineLevel="1">
      <c r="A57" s="114"/>
      <c r="B57" s="115"/>
      <c r="C57" s="115"/>
      <c r="D57" s="116"/>
      <c r="E57" s="117">
        <f t="shared" si="51"/>
        <v>0</v>
      </c>
      <c r="F57" s="117"/>
      <c r="G57" s="117"/>
      <c r="H57" s="117"/>
      <c r="I57" s="117"/>
      <c r="J57" s="117">
        <f t="shared" si="30"/>
        <v>0</v>
      </c>
      <c r="K57" s="114"/>
      <c r="L57" s="114"/>
      <c r="M57" s="114"/>
      <c r="N57" s="114"/>
      <c r="O57" s="117">
        <f t="shared" si="31"/>
        <v>0</v>
      </c>
      <c r="P57" s="117">
        <f t="shared" si="32"/>
        <v>0</v>
      </c>
      <c r="Q57" s="118"/>
      <c r="R57" s="118"/>
      <c r="S57" s="117">
        <f t="shared" si="33"/>
        <v>0</v>
      </c>
      <c r="T57" s="117"/>
      <c r="U57" s="117"/>
      <c r="V57" s="117">
        <f t="shared" si="34"/>
        <v>0</v>
      </c>
      <c r="W57" s="118"/>
      <c r="X57" s="118"/>
      <c r="Y57" s="117">
        <f t="shared" si="35"/>
        <v>0</v>
      </c>
      <c r="Z57" s="117">
        <f t="shared" si="36"/>
        <v>0</v>
      </c>
      <c r="AA57" s="119">
        <f t="shared" si="50"/>
        <v>0</v>
      </c>
      <c r="AB57" s="117">
        <f t="shared" si="37"/>
        <v>0</v>
      </c>
      <c r="AC57" s="118"/>
      <c r="AD57" s="119">
        <f t="shared" si="38"/>
        <v>0</v>
      </c>
      <c r="AE57" s="118"/>
      <c r="AF57" s="118"/>
      <c r="AG57" s="118"/>
      <c r="AH57" s="118"/>
      <c r="AI57" s="152">
        <f t="shared" si="39"/>
        <v>0</v>
      </c>
      <c r="AJ57" s="118"/>
      <c r="AK57" s="120">
        <f t="shared" si="40"/>
        <v>0</v>
      </c>
      <c r="AL57" s="121">
        <f t="shared" si="41"/>
        <v>0</v>
      </c>
      <c r="AM57" s="122"/>
      <c r="AN57" s="123">
        <f t="shared" si="42"/>
        <v>0</v>
      </c>
      <c r="AO57" s="124">
        <f t="shared" si="43"/>
        <v>0</v>
      </c>
      <c r="AP57" s="124">
        <f t="shared" si="44"/>
        <v>0</v>
      </c>
      <c r="AQ57" s="124">
        <f t="shared" si="45"/>
        <v>0</v>
      </c>
      <c r="AR57" s="124">
        <f t="shared" si="46"/>
        <v>0</v>
      </c>
      <c r="AS57" s="124">
        <f t="array" ref="AS57">_xlfn.IFS(S57=0,AL57,S57&lt;0,AL57/-S57,S57&gt;0,AL57/S57)</f>
        <v>0</v>
      </c>
      <c r="AT57" s="119">
        <f t="shared" si="47"/>
        <v>0</v>
      </c>
      <c r="AU57" s="119">
        <f t="shared" si="48"/>
        <v>0</v>
      </c>
      <c r="AV57" s="125"/>
      <c r="AW57" s="120">
        <f t="shared" si="49"/>
        <v>0</v>
      </c>
    </row>
    <row r="58" spans="1:49" hidden="1" outlineLevel="1">
      <c r="A58" s="114"/>
      <c r="B58" s="115"/>
      <c r="C58" s="115"/>
      <c r="D58" s="116"/>
      <c r="E58" s="117">
        <f t="shared" si="51"/>
        <v>0</v>
      </c>
      <c r="F58" s="117"/>
      <c r="G58" s="117"/>
      <c r="H58" s="117"/>
      <c r="I58" s="117"/>
      <c r="J58" s="117">
        <f t="shared" si="30"/>
        <v>0</v>
      </c>
      <c r="K58" s="114"/>
      <c r="L58" s="114"/>
      <c r="M58" s="114"/>
      <c r="N58" s="114"/>
      <c r="O58" s="117">
        <f t="shared" si="31"/>
        <v>0</v>
      </c>
      <c r="P58" s="117">
        <f t="shared" si="32"/>
        <v>0</v>
      </c>
      <c r="Q58" s="118"/>
      <c r="R58" s="118"/>
      <c r="S58" s="117">
        <f t="shared" si="33"/>
        <v>0</v>
      </c>
      <c r="T58" s="117"/>
      <c r="U58" s="117"/>
      <c r="V58" s="117">
        <f t="shared" si="34"/>
        <v>0</v>
      </c>
      <c r="W58" s="118"/>
      <c r="X58" s="118"/>
      <c r="Y58" s="117">
        <f t="shared" si="35"/>
        <v>0</v>
      </c>
      <c r="Z58" s="117">
        <f t="shared" si="36"/>
        <v>0</v>
      </c>
      <c r="AA58" s="119">
        <f t="shared" si="50"/>
        <v>0</v>
      </c>
      <c r="AB58" s="117">
        <f t="shared" si="37"/>
        <v>0</v>
      </c>
      <c r="AC58" s="118"/>
      <c r="AD58" s="119">
        <f t="shared" si="38"/>
        <v>0</v>
      </c>
      <c r="AE58" s="118"/>
      <c r="AF58" s="118"/>
      <c r="AG58" s="118"/>
      <c r="AH58" s="118"/>
      <c r="AI58" s="152">
        <f t="shared" si="39"/>
        <v>0</v>
      </c>
      <c r="AJ58" s="118"/>
      <c r="AK58" s="120">
        <f t="shared" si="40"/>
        <v>0</v>
      </c>
      <c r="AL58" s="121">
        <f t="shared" si="41"/>
        <v>0</v>
      </c>
      <c r="AM58" s="122"/>
      <c r="AN58" s="123">
        <f t="shared" si="42"/>
        <v>0</v>
      </c>
      <c r="AO58" s="124">
        <f t="shared" si="43"/>
        <v>0</v>
      </c>
      <c r="AP58" s="124">
        <f t="shared" si="44"/>
        <v>0</v>
      </c>
      <c r="AQ58" s="124">
        <f t="shared" si="45"/>
        <v>0</v>
      </c>
      <c r="AR58" s="124">
        <f t="shared" si="46"/>
        <v>0</v>
      </c>
      <c r="AS58" s="124">
        <f t="array" ref="AS58">_xlfn.IFS(S58=0,AL58,S58&lt;0,AL58/-S58,S58&gt;0,AL58/S58)</f>
        <v>0</v>
      </c>
      <c r="AT58" s="119">
        <f t="shared" si="47"/>
        <v>0</v>
      </c>
      <c r="AU58" s="119">
        <f t="shared" si="48"/>
        <v>0</v>
      </c>
      <c r="AV58" s="125"/>
      <c r="AW58" s="120">
        <f t="shared" si="49"/>
        <v>0</v>
      </c>
    </row>
    <row r="59" spans="1:49" hidden="1" outlineLevel="1">
      <c r="A59" s="114"/>
      <c r="B59" s="115"/>
      <c r="C59" s="115"/>
      <c r="D59" s="116"/>
      <c r="E59" s="117">
        <f t="shared" si="51"/>
        <v>0</v>
      </c>
      <c r="F59" s="117"/>
      <c r="G59" s="117"/>
      <c r="H59" s="117"/>
      <c r="I59" s="117"/>
      <c r="J59" s="117">
        <f t="shared" si="30"/>
        <v>0</v>
      </c>
      <c r="K59" s="114"/>
      <c r="L59" s="114"/>
      <c r="M59" s="114"/>
      <c r="N59" s="114"/>
      <c r="O59" s="117">
        <f t="shared" si="31"/>
        <v>0</v>
      </c>
      <c r="P59" s="117">
        <f t="shared" si="32"/>
        <v>0</v>
      </c>
      <c r="Q59" s="118"/>
      <c r="R59" s="118"/>
      <c r="S59" s="117">
        <f t="shared" si="33"/>
        <v>0</v>
      </c>
      <c r="T59" s="117"/>
      <c r="U59" s="117"/>
      <c r="V59" s="117">
        <f t="shared" si="34"/>
        <v>0</v>
      </c>
      <c r="W59" s="118"/>
      <c r="X59" s="118"/>
      <c r="Y59" s="117">
        <f t="shared" si="35"/>
        <v>0</v>
      </c>
      <c r="Z59" s="117">
        <f t="shared" si="36"/>
        <v>0</v>
      </c>
      <c r="AA59" s="119">
        <f t="shared" si="50"/>
        <v>0</v>
      </c>
      <c r="AB59" s="117">
        <f t="shared" si="37"/>
        <v>0</v>
      </c>
      <c r="AC59" s="118"/>
      <c r="AD59" s="119">
        <f t="shared" si="38"/>
        <v>0</v>
      </c>
      <c r="AE59" s="118"/>
      <c r="AF59" s="118"/>
      <c r="AG59" s="118"/>
      <c r="AH59" s="118"/>
      <c r="AI59" s="152">
        <f t="shared" si="39"/>
        <v>0</v>
      </c>
      <c r="AJ59" s="118"/>
      <c r="AK59" s="120">
        <f t="shared" si="40"/>
        <v>0</v>
      </c>
      <c r="AL59" s="121">
        <f t="shared" si="41"/>
        <v>0</v>
      </c>
      <c r="AM59" s="122"/>
      <c r="AN59" s="123">
        <f t="shared" si="42"/>
        <v>0</v>
      </c>
      <c r="AO59" s="124">
        <f t="shared" si="43"/>
        <v>0</v>
      </c>
      <c r="AP59" s="124">
        <f t="shared" si="44"/>
        <v>0</v>
      </c>
      <c r="AQ59" s="124">
        <f t="shared" si="45"/>
        <v>0</v>
      </c>
      <c r="AR59" s="124">
        <f t="shared" si="46"/>
        <v>0</v>
      </c>
      <c r="AS59" s="124">
        <f t="array" ref="AS59">_xlfn.IFS(S59=0,AL59,S59&lt;0,AL59/-S59,S59&gt;0,AL59/S59)</f>
        <v>0</v>
      </c>
      <c r="AT59" s="119">
        <f t="shared" si="47"/>
        <v>0</v>
      </c>
      <c r="AU59" s="119">
        <f t="shared" si="48"/>
        <v>0</v>
      </c>
      <c r="AV59" s="125"/>
      <c r="AW59" s="120">
        <f t="shared" si="49"/>
        <v>0</v>
      </c>
    </row>
    <row r="60" spans="1:49" hidden="1" outlineLevel="1">
      <c r="A60" s="114"/>
      <c r="B60" s="115"/>
      <c r="C60" s="115"/>
      <c r="D60" s="116"/>
      <c r="E60" s="117">
        <f t="shared" si="51"/>
        <v>0</v>
      </c>
      <c r="F60" s="117"/>
      <c r="G60" s="117"/>
      <c r="H60" s="117"/>
      <c r="I60" s="117"/>
      <c r="J60" s="117">
        <f t="shared" si="30"/>
        <v>0</v>
      </c>
      <c r="K60" s="114"/>
      <c r="L60" s="114"/>
      <c r="M60" s="114"/>
      <c r="N60" s="114"/>
      <c r="O60" s="117">
        <f t="shared" si="31"/>
        <v>0</v>
      </c>
      <c r="P60" s="117">
        <f t="shared" si="32"/>
        <v>0</v>
      </c>
      <c r="Q60" s="118"/>
      <c r="R60" s="118"/>
      <c r="S60" s="117">
        <f t="shared" si="33"/>
        <v>0</v>
      </c>
      <c r="T60" s="117"/>
      <c r="U60" s="117"/>
      <c r="V60" s="117">
        <f t="shared" si="34"/>
        <v>0</v>
      </c>
      <c r="W60" s="118"/>
      <c r="X60" s="118"/>
      <c r="Y60" s="117">
        <f t="shared" si="35"/>
        <v>0</v>
      </c>
      <c r="Z60" s="117">
        <f t="shared" si="36"/>
        <v>0</v>
      </c>
      <c r="AA60" s="119">
        <f t="shared" si="50"/>
        <v>0</v>
      </c>
      <c r="AB60" s="117">
        <f t="shared" si="37"/>
        <v>0</v>
      </c>
      <c r="AC60" s="118"/>
      <c r="AD60" s="119">
        <f t="shared" si="38"/>
        <v>0</v>
      </c>
      <c r="AE60" s="118"/>
      <c r="AF60" s="118"/>
      <c r="AG60" s="118"/>
      <c r="AH60" s="118"/>
      <c r="AI60" s="152">
        <f t="shared" si="39"/>
        <v>0</v>
      </c>
      <c r="AJ60" s="118"/>
      <c r="AK60" s="120">
        <f t="shared" si="40"/>
        <v>0</v>
      </c>
      <c r="AL60" s="121">
        <f t="shared" si="41"/>
        <v>0</v>
      </c>
      <c r="AM60" s="122"/>
      <c r="AN60" s="123">
        <f t="shared" si="42"/>
        <v>0</v>
      </c>
      <c r="AO60" s="124">
        <f t="shared" si="43"/>
        <v>0</v>
      </c>
      <c r="AP60" s="124">
        <f t="shared" si="44"/>
        <v>0</v>
      </c>
      <c r="AQ60" s="124">
        <f t="shared" si="45"/>
        <v>0</v>
      </c>
      <c r="AR60" s="124">
        <f t="shared" si="46"/>
        <v>0</v>
      </c>
      <c r="AS60" s="124">
        <f t="array" ref="AS60">_xlfn.IFS(S60=0,AL60,S60&lt;0,AL60/-S60,S60&gt;0,AL60/S60)</f>
        <v>0</v>
      </c>
      <c r="AT60" s="119">
        <f t="shared" si="47"/>
        <v>0</v>
      </c>
      <c r="AU60" s="119">
        <f t="shared" si="48"/>
        <v>0</v>
      </c>
      <c r="AV60" s="125"/>
      <c r="AW60" s="120">
        <f t="shared" si="49"/>
        <v>0</v>
      </c>
    </row>
    <row r="61" spans="1:49" hidden="1" outlineLevel="1">
      <c r="A61" s="114"/>
      <c r="B61" s="115"/>
      <c r="C61" s="115"/>
      <c r="D61" s="116"/>
      <c r="E61" s="117">
        <f t="shared" si="51"/>
        <v>0</v>
      </c>
      <c r="F61" s="117"/>
      <c r="G61" s="117"/>
      <c r="H61" s="117"/>
      <c r="I61" s="117"/>
      <c r="J61" s="117">
        <f t="shared" si="30"/>
        <v>0</v>
      </c>
      <c r="K61" s="114"/>
      <c r="L61" s="114"/>
      <c r="M61" s="114"/>
      <c r="N61" s="114"/>
      <c r="O61" s="117">
        <f t="shared" si="31"/>
        <v>0</v>
      </c>
      <c r="P61" s="117">
        <f t="shared" si="32"/>
        <v>0</v>
      </c>
      <c r="Q61" s="118"/>
      <c r="R61" s="118"/>
      <c r="S61" s="117">
        <f t="shared" si="33"/>
        <v>0</v>
      </c>
      <c r="T61" s="117"/>
      <c r="U61" s="117"/>
      <c r="V61" s="117">
        <f t="shared" si="34"/>
        <v>0</v>
      </c>
      <c r="W61" s="118"/>
      <c r="X61" s="118"/>
      <c r="Y61" s="117">
        <f t="shared" si="35"/>
        <v>0</v>
      </c>
      <c r="Z61" s="117">
        <f t="shared" si="36"/>
        <v>0</v>
      </c>
      <c r="AA61" s="119">
        <f t="shared" si="50"/>
        <v>0</v>
      </c>
      <c r="AB61" s="117">
        <f t="shared" si="37"/>
        <v>0</v>
      </c>
      <c r="AC61" s="118"/>
      <c r="AD61" s="119">
        <f t="shared" si="38"/>
        <v>0</v>
      </c>
      <c r="AE61" s="118"/>
      <c r="AF61" s="118"/>
      <c r="AG61" s="118"/>
      <c r="AH61" s="118"/>
      <c r="AI61" s="152">
        <f t="shared" si="39"/>
        <v>0</v>
      </c>
      <c r="AJ61" s="118"/>
      <c r="AK61" s="120">
        <f t="shared" si="40"/>
        <v>0</v>
      </c>
      <c r="AL61" s="121">
        <f t="shared" si="41"/>
        <v>0</v>
      </c>
      <c r="AM61" s="122"/>
      <c r="AN61" s="123">
        <f t="shared" si="42"/>
        <v>0</v>
      </c>
      <c r="AO61" s="124">
        <f t="shared" si="43"/>
        <v>0</v>
      </c>
      <c r="AP61" s="124">
        <f t="shared" si="44"/>
        <v>0</v>
      </c>
      <c r="AQ61" s="124">
        <f t="shared" si="45"/>
        <v>0</v>
      </c>
      <c r="AR61" s="124">
        <f t="shared" si="46"/>
        <v>0</v>
      </c>
      <c r="AS61" s="124">
        <f t="array" ref="AS61">_xlfn.IFS(S61=0,AL61,S61&lt;0,AL61/-S61,S61&gt;0,AL61/S61)</f>
        <v>0</v>
      </c>
      <c r="AT61" s="119">
        <f t="shared" si="47"/>
        <v>0</v>
      </c>
      <c r="AU61" s="119">
        <f t="shared" si="48"/>
        <v>0</v>
      </c>
      <c r="AV61" s="125"/>
      <c r="AW61" s="120">
        <f t="shared" si="49"/>
        <v>0</v>
      </c>
    </row>
    <row r="62" spans="1:49" hidden="1" outlineLevel="1">
      <c r="A62" s="114"/>
      <c r="B62" s="115"/>
      <c r="C62" s="115"/>
      <c r="D62" s="116"/>
      <c r="E62" s="117">
        <f t="shared" si="51"/>
        <v>0</v>
      </c>
      <c r="F62" s="117"/>
      <c r="G62" s="117"/>
      <c r="H62" s="117"/>
      <c r="I62" s="117"/>
      <c r="J62" s="117">
        <f t="shared" si="30"/>
        <v>0</v>
      </c>
      <c r="K62" s="114"/>
      <c r="L62" s="114"/>
      <c r="M62" s="114"/>
      <c r="N62" s="114"/>
      <c r="O62" s="117">
        <f t="shared" si="31"/>
        <v>0</v>
      </c>
      <c r="P62" s="117">
        <f t="shared" si="32"/>
        <v>0</v>
      </c>
      <c r="Q62" s="118"/>
      <c r="R62" s="118"/>
      <c r="S62" s="117">
        <f t="shared" si="33"/>
        <v>0</v>
      </c>
      <c r="T62" s="117"/>
      <c r="U62" s="117"/>
      <c r="V62" s="117">
        <f t="shared" si="34"/>
        <v>0</v>
      </c>
      <c r="W62" s="118"/>
      <c r="X62" s="118"/>
      <c r="Y62" s="117">
        <f t="shared" si="35"/>
        <v>0</v>
      </c>
      <c r="Z62" s="117">
        <f t="shared" si="36"/>
        <v>0</v>
      </c>
      <c r="AA62" s="119">
        <f t="shared" si="50"/>
        <v>0</v>
      </c>
      <c r="AB62" s="117">
        <f t="shared" si="37"/>
        <v>0</v>
      </c>
      <c r="AC62" s="118"/>
      <c r="AD62" s="119">
        <f t="shared" si="38"/>
        <v>0</v>
      </c>
      <c r="AE62" s="118"/>
      <c r="AF62" s="118"/>
      <c r="AG62" s="118"/>
      <c r="AH62" s="118"/>
      <c r="AI62" s="152">
        <f t="shared" si="39"/>
        <v>0</v>
      </c>
      <c r="AJ62" s="118"/>
      <c r="AK62" s="120">
        <f t="shared" si="40"/>
        <v>0</v>
      </c>
      <c r="AL62" s="121">
        <f t="shared" si="41"/>
        <v>0</v>
      </c>
      <c r="AM62" s="122"/>
      <c r="AN62" s="123">
        <f t="shared" si="42"/>
        <v>0</v>
      </c>
      <c r="AO62" s="124">
        <f t="shared" si="43"/>
        <v>0</v>
      </c>
      <c r="AP62" s="124">
        <f t="shared" si="44"/>
        <v>0</v>
      </c>
      <c r="AQ62" s="124">
        <f t="shared" si="45"/>
        <v>0</v>
      </c>
      <c r="AR62" s="124">
        <f t="shared" si="46"/>
        <v>0</v>
      </c>
      <c r="AS62" s="124">
        <f t="array" ref="AS62">_xlfn.IFS(S62=0,AL62,S62&lt;0,AL62/-S62,S62&gt;0,AL62/S62)</f>
        <v>0</v>
      </c>
      <c r="AT62" s="119">
        <f t="shared" si="47"/>
        <v>0</v>
      </c>
      <c r="AU62" s="119">
        <f t="shared" si="48"/>
        <v>0</v>
      </c>
      <c r="AV62" s="125"/>
      <c r="AW62" s="120">
        <f t="shared" si="49"/>
        <v>0</v>
      </c>
    </row>
    <row r="63" spans="1:49" hidden="1" outlineLevel="1">
      <c r="A63" s="114"/>
      <c r="B63" s="115"/>
      <c r="C63" s="115"/>
      <c r="D63" s="149"/>
      <c r="E63" s="118">
        <f t="shared" si="51"/>
        <v>0</v>
      </c>
      <c r="F63" s="117"/>
      <c r="G63" s="117"/>
      <c r="H63" s="117"/>
      <c r="I63" s="117"/>
      <c r="J63" s="117">
        <f t="shared" si="30"/>
        <v>0</v>
      </c>
      <c r="K63" s="114"/>
      <c r="L63" s="114"/>
      <c r="M63" s="114"/>
      <c r="N63" s="114"/>
      <c r="O63" s="117">
        <f t="shared" si="31"/>
        <v>0</v>
      </c>
      <c r="P63" s="117">
        <f t="shared" si="32"/>
        <v>0</v>
      </c>
      <c r="Q63" s="118"/>
      <c r="R63" s="118"/>
      <c r="S63" s="117">
        <f t="shared" si="33"/>
        <v>0</v>
      </c>
      <c r="T63" s="117"/>
      <c r="U63" s="117"/>
      <c r="V63" s="117">
        <f t="shared" si="34"/>
        <v>0</v>
      </c>
      <c r="W63" s="118"/>
      <c r="X63" s="118"/>
      <c r="Y63" s="117">
        <f t="shared" si="35"/>
        <v>0</v>
      </c>
      <c r="Z63" s="117">
        <f t="shared" si="36"/>
        <v>0</v>
      </c>
      <c r="AA63" s="119">
        <f t="shared" si="50"/>
        <v>0</v>
      </c>
      <c r="AB63" s="117">
        <f t="shared" si="37"/>
        <v>0</v>
      </c>
      <c r="AC63" s="118"/>
      <c r="AD63" s="119">
        <f t="shared" si="38"/>
        <v>0</v>
      </c>
      <c r="AE63" s="118"/>
      <c r="AF63" s="118"/>
      <c r="AG63" s="118"/>
      <c r="AH63" s="118"/>
      <c r="AI63" s="152">
        <f t="shared" si="39"/>
        <v>0</v>
      </c>
      <c r="AJ63" s="118"/>
      <c r="AK63" s="120">
        <f t="shared" si="40"/>
        <v>0</v>
      </c>
      <c r="AL63" s="121">
        <f t="shared" si="41"/>
        <v>0</v>
      </c>
      <c r="AM63" s="122"/>
      <c r="AN63" s="123">
        <f t="shared" si="42"/>
        <v>0</v>
      </c>
      <c r="AO63" s="124">
        <f t="shared" si="43"/>
        <v>0</v>
      </c>
      <c r="AP63" s="124">
        <f t="shared" si="44"/>
        <v>0</v>
      </c>
      <c r="AQ63" s="124">
        <f t="shared" si="45"/>
        <v>0</v>
      </c>
      <c r="AR63" s="124">
        <f t="shared" si="46"/>
        <v>0</v>
      </c>
      <c r="AS63" s="124">
        <f t="array" ref="AS63">_xlfn.IFS(S63=0,AL63,S63&lt;0,AL63/-S63,S63&gt;0,AL63/S63)</f>
        <v>0</v>
      </c>
      <c r="AT63" s="119">
        <f t="shared" si="47"/>
        <v>0</v>
      </c>
      <c r="AU63" s="119">
        <f t="shared" si="48"/>
        <v>0</v>
      </c>
      <c r="AV63" s="125"/>
      <c r="AW63" s="120">
        <f t="shared" si="49"/>
        <v>0</v>
      </c>
    </row>
    <row r="64" spans="1:49" hidden="1" outlineLevel="1">
      <c r="A64" s="114"/>
      <c r="B64" s="115"/>
      <c r="C64" s="115"/>
      <c r="D64" s="149"/>
      <c r="E64" s="118">
        <f t="shared" si="51"/>
        <v>0</v>
      </c>
      <c r="F64" s="117"/>
      <c r="G64" s="117"/>
      <c r="H64" s="117"/>
      <c r="I64" s="117"/>
      <c r="J64" s="117">
        <f t="shared" si="30"/>
        <v>0</v>
      </c>
      <c r="K64" s="114"/>
      <c r="L64" s="114"/>
      <c r="M64" s="114"/>
      <c r="N64" s="114"/>
      <c r="O64" s="117">
        <f t="shared" si="31"/>
        <v>0</v>
      </c>
      <c r="P64" s="117">
        <f t="shared" si="32"/>
        <v>0</v>
      </c>
      <c r="Q64" s="118"/>
      <c r="R64" s="118"/>
      <c r="S64" s="117">
        <f t="shared" si="33"/>
        <v>0</v>
      </c>
      <c r="T64" s="117"/>
      <c r="U64" s="117"/>
      <c r="V64" s="117">
        <f t="shared" si="34"/>
        <v>0</v>
      </c>
      <c r="W64" s="118"/>
      <c r="X64" s="118"/>
      <c r="Y64" s="117">
        <f t="shared" si="35"/>
        <v>0</v>
      </c>
      <c r="Z64" s="117">
        <f t="shared" si="36"/>
        <v>0</v>
      </c>
      <c r="AA64" s="119">
        <f t="shared" si="50"/>
        <v>0</v>
      </c>
      <c r="AB64" s="117">
        <f t="shared" si="37"/>
        <v>0</v>
      </c>
      <c r="AC64" s="118"/>
      <c r="AD64" s="119">
        <f t="shared" si="38"/>
        <v>0</v>
      </c>
      <c r="AE64" s="118"/>
      <c r="AF64" s="118"/>
      <c r="AG64" s="118"/>
      <c r="AH64" s="118"/>
      <c r="AI64" s="152">
        <f t="shared" si="39"/>
        <v>0</v>
      </c>
      <c r="AJ64" s="118"/>
      <c r="AK64" s="120">
        <f t="shared" si="40"/>
        <v>0</v>
      </c>
      <c r="AL64" s="121">
        <f t="shared" si="41"/>
        <v>0</v>
      </c>
      <c r="AM64" s="122"/>
      <c r="AN64" s="123">
        <f t="shared" si="42"/>
        <v>0</v>
      </c>
      <c r="AO64" s="124">
        <f t="shared" si="43"/>
        <v>0</v>
      </c>
      <c r="AP64" s="124">
        <f t="shared" si="44"/>
        <v>0</v>
      </c>
      <c r="AQ64" s="124">
        <f t="shared" si="45"/>
        <v>0</v>
      </c>
      <c r="AR64" s="124">
        <f t="shared" si="46"/>
        <v>0</v>
      </c>
      <c r="AS64" s="124">
        <f t="array" ref="AS64">_xlfn.IFS(S64=0,AL64,S64&lt;0,AL64/-S64,S64&gt;0,AL64/S64)</f>
        <v>0</v>
      </c>
      <c r="AT64" s="119">
        <f t="shared" si="47"/>
        <v>0</v>
      </c>
      <c r="AU64" s="119">
        <f t="shared" si="48"/>
        <v>0</v>
      </c>
      <c r="AV64" s="125"/>
      <c r="AW64" s="120">
        <f t="shared" si="49"/>
        <v>0</v>
      </c>
    </row>
    <row r="65" spans="1:49" hidden="1" outlineLevel="1">
      <c r="A65" s="114"/>
      <c r="B65" s="115"/>
      <c r="C65" s="115"/>
      <c r="D65" s="149"/>
      <c r="E65" s="118">
        <f t="shared" si="51"/>
        <v>0</v>
      </c>
      <c r="F65" s="117"/>
      <c r="G65" s="117"/>
      <c r="H65" s="117"/>
      <c r="I65" s="117"/>
      <c r="J65" s="117">
        <f t="shared" si="30"/>
        <v>0</v>
      </c>
      <c r="K65" s="114"/>
      <c r="L65" s="114"/>
      <c r="M65" s="114"/>
      <c r="N65" s="114"/>
      <c r="O65" s="117">
        <f t="shared" si="31"/>
        <v>0</v>
      </c>
      <c r="P65" s="117">
        <f t="shared" si="32"/>
        <v>0</v>
      </c>
      <c r="Q65" s="118"/>
      <c r="R65" s="118"/>
      <c r="S65" s="117">
        <f t="shared" si="33"/>
        <v>0</v>
      </c>
      <c r="T65" s="117"/>
      <c r="U65" s="117"/>
      <c r="V65" s="117">
        <f t="shared" si="34"/>
        <v>0</v>
      </c>
      <c r="W65" s="118"/>
      <c r="X65" s="118"/>
      <c r="Y65" s="117">
        <f t="shared" si="35"/>
        <v>0</v>
      </c>
      <c r="Z65" s="117">
        <f t="shared" si="36"/>
        <v>0</v>
      </c>
      <c r="AA65" s="119">
        <f t="shared" si="50"/>
        <v>0</v>
      </c>
      <c r="AB65" s="117">
        <f t="shared" si="37"/>
        <v>0</v>
      </c>
      <c r="AC65" s="118"/>
      <c r="AD65" s="119">
        <f t="shared" si="38"/>
        <v>0</v>
      </c>
      <c r="AE65" s="118"/>
      <c r="AF65" s="118"/>
      <c r="AG65" s="118"/>
      <c r="AH65" s="118"/>
      <c r="AI65" s="152">
        <f t="shared" si="39"/>
        <v>0</v>
      </c>
      <c r="AJ65" s="118"/>
      <c r="AK65" s="120">
        <f t="shared" si="40"/>
        <v>0</v>
      </c>
      <c r="AL65" s="121">
        <f t="shared" si="41"/>
        <v>0</v>
      </c>
      <c r="AM65" s="122"/>
      <c r="AN65" s="123">
        <f t="shared" si="42"/>
        <v>0</v>
      </c>
      <c r="AO65" s="124">
        <f t="shared" si="43"/>
        <v>0</v>
      </c>
      <c r="AP65" s="124">
        <f t="shared" si="44"/>
        <v>0</v>
      </c>
      <c r="AQ65" s="124">
        <f t="shared" si="45"/>
        <v>0</v>
      </c>
      <c r="AR65" s="124">
        <f t="shared" si="46"/>
        <v>0</v>
      </c>
      <c r="AS65" s="124">
        <f t="array" ref="AS65">_xlfn.IFS(S65=0,AL65,S65&lt;0,AL65/-S65,S65&gt;0,AL65/S65)</f>
        <v>0</v>
      </c>
      <c r="AT65" s="119">
        <f t="shared" si="47"/>
        <v>0</v>
      </c>
      <c r="AU65" s="119">
        <f t="shared" si="48"/>
        <v>0</v>
      </c>
      <c r="AV65" s="125"/>
      <c r="AW65" s="120">
        <f t="shared" si="49"/>
        <v>0</v>
      </c>
    </row>
    <row r="66" spans="1:49" hidden="1" outlineLevel="1">
      <c r="A66" s="114"/>
      <c r="B66" s="115"/>
      <c r="C66" s="115"/>
      <c r="D66" s="149"/>
      <c r="E66" s="118">
        <f t="shared" si="51"/>
        <v>0</v>
      </c>
      <c r="F66" s="117"/>
      <c r="G66" s="117"/>
      <c r="H66" s="117"/>
      <c r="I66" s="117"/>
      <c r="J66" s="117">
        <f t="shared" si="30"/>
        <v>0</v>
      </c>
      <c r="K66" s="114"/>
      <c r="L66" s="114"/>
      <c r="M66" s="114"/>
      <c r="N66" s="114"/>
      <c r="O66" s="117">
        <f t="shared" si="31"/>
        <v>0</v>
      </c>
      <c r="P66" s="117">
        <f t="shared" si="32"/>
        <v>0</v>
      </c>
      <c r="Q66" s="118"/>
      <c r="R66" s="118"/>
      <c r="S66" s="117">
        <f t="shared" si="33"/>
        <v>0</v>
      </c>
      <c r="T66" s="117"/>
      <c r="U66" s="117"/>
      <c r="V66" s="117">
        <f t="shared" si="34"/>
        <v>0</v>
      </c>
      <c r="W66" s="118"/>
      <c r="X66" s="118"/>
      <c r="Y66" s="117">
        <f t="shared" si="35"/>
        <v>0</v>
      </c>
      <c r="Z66" s="117">
        <f>L66*M66*N66/100</f>
        <v>0</v>
      </c>
      <c r="AA66" s="119">
        <f t="shared" si="50"/>
        <v>0</v>
      </c>
      <c r="AB66" s="117">
        <f t="shared" si="37"/>
        <v>0</v>
      </c>
      <c r="AC66" s="118"/>
      <c r="AD66" s="119">
        <f t="shared" si="38"/>
        <v>0</v>
      </c>
      <c r="AE66" s="118"/>
      <c r="AF66" s="118"/>
      <c r="AG66" s="118"/>
      <c r="AH66" s="118"/>
      <c r="AI66" s="152">
        <f t="shared" si="39"/>
        <v>0</v>
      </c>
      <c r="AJ66" s="118"/>
      <c r="AK66" s="120">
        <f t="shared" si="40"/>
        <v>0</v>
      </c>
      <c r="AL66" s="121">
        <f t="shared" si="41"/>
        <v>0</v>
      </c>
      <c r="AM66" s="122"/>
      <c r="AN66" s="123">
        <f t="shared" si="42"/>
        <v>0</v>
      </c>
      <c r="AO66" s="124">
        <f t="shared" si="43"/>
        <v>0</v>
      </c>
      <c r="AP66" s="124">
        <f t="shared" si="44"/>
        <v>0</v>
      </c>
      <c r="AQ66" s="124">
        <f t="shared" si="45"/>
        <v>0</v>
      </c>
      <c r="AR66" s="124">
        <f t="shared" si="46"/>
        <v>0</v>
      </c>
      <c r="AS66" s="124">
        <f t="array" ref="AS66">_xlfn.IFS(S66=0,AL66,S66&lt;0,AL66/-S66,S66&gt;0,AL66/S66)</f>
        <v>0</v>
      </c>
      <c r="AT66" s="119">
        <f t="shared" si="47"/>
        <v>0</v>
      </c>
      <c r="AU66" s="119">
        <f t="shared" si="48"/>
        <v>0</v>
      </c>
      <c r="AV66" s="125"/>
      <c r="AW66" s="120">
        <f t="shared" si="49"/>
        <v>0</v>
      </c>
    </row>
    <row r="67" spans="1:49" hidden="1" outlineLevel="1">
      <c r="A67" s="114"/>
      <c r="B67" s="115"/>
      <c r="C67" s="115"/>
      <c r="D67" s="149"/>
      <c r="E67" s="118">
        <f t="shared" si="51"/>
        <v>0</v>
      </c>
      <c r="F67" s="117"/>
      <c r="G67" s="117"/>
      <c r="H67" s="117"/>
      <c r="I67" s="117"/>
      <c r="J67" s="117">
        <f t="shared" si="30"/>
        <v>0</v>
      </c>
      <c r="K67" s="114"/>
      <c r="L67" s="114"/>
      <c r="M67" s="114"/>
      <c r="N67" s="114"/>
      <c r="O67" s="117">
        <f t="shared" si="31"/>
        <v>0</v>
      </c>
      <c r="P67" s="117">
        <f t="shared" si="32"/>
        <v>0</v>
      </c>
      <c r="Q67" s="118"/>
      <c r="R67" s="118"/>
      <c r="S67" s="117">
        <f t="shared" si="33"/>
        <v>0</v>
      </c>
      <c r="T67" s="117"/>
      <c r="U67" s="117"/>
      <c r="V67" s="117">
        <f t="shared" si="34"/>
        <v>0</v>
      </c>
      <c r="W67" s="118"/>
      <c r="X67" s="118"/>
      <c r="Y67" s="117">
        <f t="shared" si="35"/>
        <v>0</v>
      </c>
      <c r="Z67" s="117">
        <f t="shared" ref="Z67:Z70" si="52">L67*M67*N67/100</f>
        <v>0</v>
      </c>
      <c r="AA67" s="119">
        <f t="shared" si="50"/>
        <v>0</v>
      </c>
      <c r="AB67" s="117">
        <f t="shared" si="37"/>
        <v>0</v>
      </c>
      <c r="AC67" s="118"/>
      <c r="AD67" s="119">
        <f t="shared" si="38"/>
        <v>0</v>
      </c>
      <c r="AE67" s="118"/>
      <c r="AF67" s="118"/>
      <c r="AG67" s="118"/>
      <c r="AH67" s="118"/>
      <c r="AI67" s="152">
        <f t="shared" si="39"/>
        <v>0</v>
      </c>
      <c r="AJ67" s="118"/>
      <c r="AK67" s="120">
        <f t="shared" si="40"/>
        <v>0</v>
      </c>
      <c r="AL67" s="121">
        <f t="shared" si="41"/>
        <v>0</v>
      </c>
      <c r="AM67" s="122"/>
      <c r="AN67" s="123">
        <f t="shared" si="42"/>
        <v>0</v>
      </c>
      <c r="AO67" s="124">
        <f t="shared" si="43"/>
        <v>0</v>
      </c>
      <c r="AP67" s="124">
        <f t="shared" si="44"/>
        <v>0</v>
      </c>
      <c r="AQ67" s="124">
        <f t="shared" si="45"/>
        <v>0</v>
      </c>
      <c r="AR67" s="124">
        <f t="shared" si="46"/>
        <v>0</v>
      </c>
      <c r="AS67" s="124">
        <f t="array" ref="AS67">_xlfn.IFS(S67=0,AL67,S67&lt;0,AL67/-S67,S67&gt;0,AL67/S67)</f>
        <v>0</v>
      </c>
      <c r="AT67" s="119">
        <f t="shared" si="47"/>
        <v>0</v>
      </c>
      <c r="AU67" s="119">
        <f t="shared" si="48"/>
        <v>0</v>
      </c>
      <c r="AV67" s="125"/>
      <c r="AW67" s="120">
        <f t="shared" si="49"/>
        <v>0</v>
      </c>
    </row>
    <row r="68" spans="1:49" hidden="1" outlineLevel="1">
      <c r="A68" s="114"/>
      <c r="B68" s="115"/>
      <c r="C68" s="115"/>
      <c r="D68" s="116"/>
      <c r="E68" s="117">
        <f t="shared" si="51"/>
        <v>0</v>
      </c>
      <c r="F68" s="117"/>
      <c r="G68" s="117"/>
      <c r="H68" s="117"/>
      <c r="I68" s="117"/>
      <c r="J68" s="117">
        <f t="shared" si="30"/>
        <v>0</v>
      </c>
      <c r="K68" s="114"/>
      <c r="L68" s="114"/>
      <c r="M68" s="114"/>
      <c r="N68" s="114"/>
      <c r="O68" s="117">
        <f t="shared" si="31"/>
        <v>0</v>
      </c>
      <c r="P68" s="117">
        <f t="shared" si="32"/>
        <v>0</v>
      </c>
      <c r="Q68" s="118"/>
      <c r="R68" s="118"/>
      <c r="S68" s="117">
        <f t="shared" si="33"/>
        <v>0</v>
      </c>
      <c r="T68" s="117"/>
      <c r="U68" s="117"/>
      <c r="V68" s="117">
        <f t="shared" si="34"/>
        <v>0</v>
      </c>
      <c r="W68" s="118"/>
      <c r="X68" s="118"/>
      <c r="Y68" s="117">
        <f t="shared" si="35"/>
        <v>0</v>
      </c>
      <c r="Z68" s="117">
        <f t="shared" si="52"/>
        <v>0</v>
      </c>
      <c r="AA68" s="119">
        <f t="shared" si="50"/>
        <v>0</v>
      </c>
      <c r="AB68" s="117">
        <f t="shared" si="37"/>
        <v>0</v>
      </c>
      <c r="AC68" s="118"/>
      <c r="AD68" s="119">
        <f t="shared" si="38"/>
        <v>0</v>
      </c>
      <c r="AE68" s="118"/>
      <c r="AF68" s="118"/>
      <c r="AG68" s="118"/>
      <c r="AH68" s="118"/>
      <c r="AI68" s="152">
        <f t="shared" si="39"/>
        <v>0</v>
      </c>
      <c r="AJ68" s="118"/>
      <c r="AK68" s="120">
        <f t="shared" si="40"/>
        <v>0</v>
      </c>
      <c r="AL68" s="121">
        <f t="shared" si="41"/>
        <v>0</v>
      </c>
      <c r="AM68" s="122"/>
      <c r="AN68" s="123">
        <f t="shared" si="42"/>
        <v>0</v>
      </c>
      <c r="AO68" s="124">
        <f t="shared" si="43"/>
        <v>0</v>
      </c>
      <c r="AP68" s="124">
        <f t="shared" si="44"/>
        <v>0</v>
      </c>
      <c r="AQ68" s="124">
        <f t="shared" si="45"/>
        <v>0</v>
      </c>
      <c r="AR68" s="124">
        <f t="shared" si="46"/>
        <v>0</v>
      </c>
      <c r="AS68" s="124">
        <f t="array" ref="AS68">_xlfn.IFS(S68=0,AL68,S68&lt;0,AL68/-S68,S68&gt;0,AL68/S68)</f>
        <v>0</v>
      </c>
      <c r="AT68" s="119">
        <f t="shared" si="47"/>
        <v>0</v>
      </c>
      <c r="AU68" s="119">
        <f t="shared" si="48"/>
        <v>0</v>
      </c>
      <c r="AV68" s="125"/>
      <c r="AW68" s="120">
        <f t="shared" si="49"/>
        <v>0</v>
      </c>
    </row>
    <row r="69" spans="1:49" hidden="1" outlineLevel="1">
      <c r="A69" s="114"/>
      <c r="B69" s="115"/>
      <c r="C69" s="115"/>
      <c r="D69" s="116"/>
      <c r="E69" s="117">
        <f t="shared" si="51"/>
        <v>0</v>
      </c>
      <c r="F69" s="117"/>
      <c r="G69" s="117"/>
      <c r="H69" s="117"/>
      <c r="I69" s="117"/>
      <c r="J69" s="117">
        <f t="shared" si="30"/>
        <v>0</v>
      </c>
      <c r="K69" s="114"/>
      <c r="L69" s="114"/>
      <c r="M69" s="114"/>
      <c r="N69" s="114"/>
      <c r="O69" s="117">
        <f t="shared" si="31"/>
        <v>0</v>
      </c>
      <c r="P69" s="117">
        <f t="shared" si="32"/>
        <v>0</v>
      </c>
      <c r="Q69" s="118"/>
      <c r="R69" s="118"/>
      <c r="S69" s="117">
        <f t="shared" si="33"/>
        <v>0</v>
      </c>
      <c r="T69" s="117"/>
      <c r="U69" s="117"/>
      <c r="V69" s="117">
        <f t="shared" si="34"/>
        <v>0</v>
      </c>
      <c r="W69" s="118"/>
      <c r="X69" s="118"/>
      <c r="Y69" s="117">
        <f t="shared" si="35"/>
        <v>0</v>
      </c>
      <c r="Z69" s="117">
        <f t="shared" si="52"/>
        <v>0</v>
      </c>
      <c r="AA69" s="119">
        <f t="shared" si="50"/>
        <v>0</v>
      </c>
      <c r="AB69" s="117">
        <f t="shared" si="37"/>
        <v>0</v>
      </c>
      <c r="AC69" s="118"/>
      <c r="AD69" s="119">
        <f t="shared" si="38"/>
        <v>0</v>
      </c>
      <c r="AE69" s="118"/>
      <c r="AF69" s="118"/>
      <c r="AG69" s="118"/>
      <c r="AH69" s="118"/>
      <c r="AI69" s="152">
        <f t="shared" si="39"/>
        <v>0</v>
      </c>
      <c r="AJ69" s="118"/>
      <c r="AK69" s="120">
        <f t="shared" si="40"/>
        <v>0</v>
      </c>
      <c r="AL69" s="121">
        <f t="shared" si="41"/>
        <v>0</v>
      </c>
      <c r="AM69" s="122"/>
      <c r="AN69" s="123">
        <f t="shared" si="42"/>
        <v>0</v>
      </c>
      <c r="AO69" s="124">
        <f t="shared" si="43"/>
        <v>0</v>
      </c>
      <c r="AP69" s="124">
        <f t="shared" si="44"/>
        <v>0</v>
      </c>
      <c r="AQ69" s="124">
        <f t="shared" si="45"/>
        <v>0</v>
      </c>
      <c r="AR69" s="124">
        <f t="shared" si="46"/>
        <v>0</v>
      </c>
      <c r="AS69" s="124">
        <f t="array" ref="AS69">_xlfn.IFS(S69=0,AL69,S69&lt;0,AL69/-S69,S69&gt;0,AL69/S69)</f>
        <v>0</v>
      </c>
      <c r="AT69" s="119">
        <f t="shared" si="47"/>
        <v>0</v>
      </c>
      <c r="AU69" s="119">
        <f t="shared" si="48"/>
        <v>0</v>
      </c>
      <c r="AV69" s="125"/>
      <c r="AW69" s="120">
        <f t="shared" si="49"/>
        <v>0</v>
      </c>
    </row>
    <row r="70" spans="1:49" hidden="1" outlineLevel="1">
      <c r="A70" s="114"/>
      <c r="B70" s="115"/>
      <c r="C70" s="115"/>
      <c r="D70" s="116"/>
      <c r="E70" s="117">
        <f t="shared" si="51"/>
        <v>0</v>
      </c>
      <c r="F70" s="117"/>
      <c r="G70" s="117"/>
      <c r="H70" s="117"/>
      <c r="I70" s="117"/>
      <c r="J70" s="117">
        <f t="shared" si="30"/>
        <v>0</v>
      </c>
      <c r="K70" s="114"/>
      <c r="L70" s="114"/>
      <c r="M70" s="114"/>
      <c r="N70" s="114"/>
      <c r="O70" s="117">
        <f t="shared" si="31"/>
        <v>0</v>
      </c>
      <c r="P70" s="117">
        <f t="shared" si="32"/>
        <v>0</v>
      </c>
      <c r="Q70" s="118"/>
      <c r="R70" s="118"/>
      <c r="S70" s="117">
        <f t="shared" si="33"/>
        <v>0</v>
      </c>
      <c r="T70" s="117"/>
      <c r="U70" s="117"/>
      <c r="V70" s="117">
        <f t="shared" si="34"/>
        <v>0</v>
      </c>
      <c r="W70" s="118"/>
      <c r="X70" s="118"/>
      <c r="Y70" s="117">
        <f t="shared" si="35"/>
        <v>0</v>
      </c>
      <c r="Z70" s="117">
        <f t="shared" si="52"/>
        <v>0</v>
      </c>
      <c r="AA70" s="119">
        <f t="shared" si="50"/>
        <v>0</v>
      </c>
      <c r="AB70" s="117">
        <f t="shared" si="37"/>
        <v>0</v>
      </c>
      <c r="AC70" s="118"/>
      <c r="AD70" s="119">
        <f t="shared" si="38"/>
        <v>0</v>
      </c>
      <c r="AE70" s="118"/>
      <c r="AF70" s="118"/>
      <c r="AG70" s="118"/>
      <c r="AH70" s="118"/>
      <c r="AI70" s="152">
        <f t="shared" si="39"/>
        <v>0</v>
      </c>
      <c r="AJ70" s="118"/>
      <c r="AK70" s="120">
        <f t="shared" si="40"/>
        <v>0</v>
      </c>
      <c r="AL70" s="121">
        <f t="shared" si="41"/>
        <v>0</v>
      </c>
      <c r="AM70" s="122"/>
      <c r="AN70" s="123">
        <f t="shared" si="42"/>
        <v>0</v>
      </c>
      <c r="AO70" s="124">
        <f t="shared" si="43"/>
        <v>0</v>
      </c>
      <c r="AP70" s="124">
        <f t="shared" si="44"/>
        <v>0</v>
      </c>
      <c r="AQ70" s="124">
        <f t="shared" si="45"/>
        <v>0</v>
      </c>
      <c r="AR70" s="124">
        <f t="shared" si="46"/>
        <v>0</v>
      </c>
      <c r="AS70" s="124">
        <f t="array" ref="AS70">_xlfn.IFS(S70=0,AL70,S70&lt;0,AL70/-S70,S70&gt;0,AL70/S70)</f>
        <v>0</v>
      </c>
      <c r="AT70" s="119">
        <f t="shared" si="47"/>
        <v>0</v>
      </c>
      <c r="AU70" s="119">
        <f t="shared" si="48"/>
        <v>0</v>
      </c>
      <c r="AV70" s="125"/>
      <c r="AW70" s="120">
        <f t="shared" si="49"/>
        <v>0</v>
      </c>
    </row>
    <row r="71" spans="1:49" collapsed="1">
      <c r="A71" s="158"/>
      <c r="B71" s="126"/>
      <c r="C71" s="114"/>
      <c r="D71" s="158"/>
      <c r="E71" s="117"/>
      <c r="F71" s="117"/>
      <c r="G71" s="117"/>
      <c r="H71" s="117"/>
      <c r="I71" s="117"/>
      <c r="J71" s="117"/>
      <c r="K71" s="159"/>
      <c r="L71" s="160"/>
      <c r="M71" s="160"/>
      <c r="N71" s="160"/>
      <c r="O71" s="159"/>
      <c r="P71" s="159"/>
      <c r="Q71" s="117"/>
      <c r="R71" s="117"/>
      <c r="S71" s="117"/>
      <c r="T71" s="117"/>
      <c r="U71" s="117"/>
      <c r="V71" s="117"/>
      <c r="W71" s="117"/>
      <c r="X71" s="117"/>
      <c r="Y71" s="117"/>
      <c r="Z71" s="117"/>
      <c r="AA71" s="119"/>
      <c r="AB71" s="117"/>
      <c r="AC71" s="117"/>
      <c r="AD71" s="119"/>
      <c r="AE71" s="117"/>
      <c r="AF71" s="118"/>
      <c r="AG71" s="118"/>
      <c r="AH71" s="118"/>
      <c r="AI71" s="152"/>
      <c r="AJ71" s="118"/>
      <c r="AK71" s="120"/>
      <c r="AL71" s="121"/>
      <c r="AM71" s="122"/>
      <c r="AN71" s="161">
        <f>AVERAGE(AN19:AN70)</f>
        <v>0</v>
      </c>
      <c r="AO71" s="161">
        <f t="shared" ref="AO71:AU71" si="53">AVERAGE(AO19:AO70)</f>
        <v>0</v>
      </c>
      <c r="AP71" s="161">
        <f t="shared" si="53"/>
        <v>0</v>
      </c>
      <c r="AQ71" s="161">
        <f t="shared" si="53"/>
        <v>0</v>
      </c>
      <c r="AR71" s="161">
        <f t="shared" si="53"/>
        <v>0</v>
      </c>
      <c r="AS71" s="161">
        <f t="shared" si="53"/>
        <v>0</v>
      </c>
      <c r="AT71" s="162">
        <f t="shared" si="53"/>
        <v>0</v>
      </c>
      <c r="AU71" s="162">
        <f t="shared" si="53"/>
        <v>0</v>
      </c>
      <c r="AV71" s="125"/>
      <c r="AW71" s="120"/>
    </row>
    <row r="72" spans="1:49" s="171" customFormat="1" ht="15" customHeight="1">
      <c r="A72" s="163" t="s">
        <v>107</v>
      </c>
      <c r="B72" s="164"/>
      <c r="C72" s="165"/>
      <c r="D72" s="165"/>
      <c r="E72" s="165">
        <f>SUM(E19:E70)</f>
        <v>0</v>
      </c>
      <c r="F72" s="165">
        <f>SUM(F19:F70)</f>
        <v>0</v>
      </c>
      <c r="G72" s="165">
        <f>SUM(G19:G70)</f>
        <v>0</v>
      </c>
      <c r="H72" s="165">
        <f>SUM(H19:H70)</f>
        <v>0</v>
      </c>
      <c r="I72" s="165"/>
      <c r="J72" s="165">
        <f>SUM(J19:J70)</f>
        <v>0</v>
      </c>
      <c r="K72" s="165"/>
      <c r="L72" s="165">
        <f>SUM(L19:L70)</f>
        <v>0</v>
      </c>
      <c r="M72" s="165"/>
      <c r="N72" s="165"/>
      <c r="O72" s="165"/>
      <c r="P72" s="165"/>
      <c r="Q72" s="165">
        <f t="shared" ref="Q72:AC72" si="54">SUM(Q19:Q70)</f>
        <v>0</v>
      </c>
      <c r="R72" s="165">
        <f t="shared" si="54"/>
        <v>0</v>
      </c>
      <c r="S72" s="165">
        <f t="shared" si="54"/>
        <v>0</v>
      </c>
      <c r="T72" s="165">
        <f t="shared" si="54"/>
        <v>0</v>
      </c>
      <c r="U72" s="165">
        <f t="shared" si="54"/>
        <v>0</v>
      </c>
      <c r="V72" s="165">
        <f t="shared" si="54"/>
        <v>0</v>
      </c>
      <c r="W72" s="165">
        <f t="shared" si="54"/>
        <v>0</v>
      </c>
      <c r="X72" s="165">
        <f t="shared" si="54"/>
        <v>0</v>
      </c>
      <c r="Y72" s="165">
        <f t="shared" si="54"/>
        <v>0</v>
      </c>
      <c r="Z72" s="165">
        <f t="shared" si="54"/>
        <v>0</v>
      </c>
      <c r="AA72" s="166">
        <f t="shared" si="54"/>
        <v>0</v>
      </c>
      <c r="AB72" s="167">
        <f t="shared" si="54"/>
        <v>0</v>
      </c>
      <c r="AC72" s="165">
        <f t="shared" si="54"/>
        <v>0</v>
      </c>
      <c r="AD72" s="166" t="e">
        <f>AC72/Y72</f>
        <v>#DIV/0!</v>
      </c>
      <c r="AE72" s="165">
        <f t="shared" ref="AE72:AK72" si="55">SUM(AE19:AE70)</f>
        <v>0</v>
      </c>
      <c r="AF72" s="165">
        <f t="shared" si="55"/>
        <v>0</v>
      </c>
      <c r="AG72" s="165">
        <f>SUM(AG19:AG70)</f>
        <v>0</v>
      </c>
      <c r="AH72" s="165">
        <f>SUM(AH19:AH70)</f>
        <v>0</v>
      </c>
      <c r="AI72" s="168">
        <f>SUM(AI19:AI70)</f>
        <v>0</v>
      </c>
      <c r="AJ72" s="165">
        <f t="shared" si="55"/>
        <v>0</v>
      </c>
      <c r="AK72" s="165">
        <f t="shared" si="55"/>
        <v>0</v>
      </c>
      <c r="AL72" s="165">
        <f>SUM(AL19:AL70)</f>
        <v>0</v>
      </c>
      <c r="AM72" s="169"/>
      <c r="AN72" s="165"/>
      <c r="AO72" s="165"/>
      <c r="AP72" s="165"/>
      <c r="AQ72" s="165"/>
      <c r="AR72" s="165" t="e">
        <f>(AF72+AG72)/Q72</f>
        <v>#DIV/0!</v>
      </c>
      <c r="AS72" s="165"/>
      <c r="AT72" s="165"/>
      <c r="AU72" s="165"/>
      <c r="AV72" s="170"/>
      <c r="AW72" s="165">
        <f>SUM(AW19:AW70)</f>
        <v>0</v>
      </c>
    </row>
    <row r="73" spans="1:49" s="175" customFormat="1">
      <c r="A73" s="172"/>
      <c r="B73" s="173"/>
      <c r="C73" s="174"/>
      <c r="D73" s="174"/>
      <c r="L73" s="176"/>
      <c r="M73" s="176"/>
      <c r="N73" s="176"/>
      <c r="P73" s="177"/>
      <c r="Q73" s="178"/>
      <c r="R73" s="178"/>
      <c r="S73" s="179"/>
      <c r="T73" s="179"/>
      <c r="U73" s="179"/>
      <c r="V73" s="179"/>
      <c r="W73" s="178"/>
      <c r="X73" s="179"/>
      <c r="Y73" s="179"/>
      <c r="Z73" s="179"/>
      <c r="AC73" s="180"/>
      <c r="AE73" s="178"/>
      <c r="AF73" s="347"/>
      <c r="AG73" s="347"/>
      <c r="AH73" s="237"/>
      <c r="AI73" s="182"/>
      <c r="AJ73" s="183"/>
      <c r="AM73" s="184"/>
      <c r="AN73" s="176"/>
      <c r="AO73" s="176"/>
      <c r="AP73" s="176"/>
      <c r="AQ73" s="176"/>
      <c r="AR73" s="176"/>
      <c r="AS73" s="176"/>
      <c r="AT73" s="176"/>
      <c r="AU73" s="176"/>
      <c r="AV73" s="185"/>
    </row>
    <row r="74" spans="1:49" s="194" customFormat="1">
      <c r="A74" s="186" t="s">
        <v>7</v>
      </c>
      <c r="B74" s="187"/>
      <c r="C74" s="188"/>
      <c r="D74" s="188"/>
      <c r="E74" s="188">
        <f t="shared" ref="E74:AC74" si="56">E17+E72</f>
        <v>2244</v>
      </c>
      <c r="F74" s="188">
        <f t="shared" si="56"/>
        <v>99</v>
      </c>
      <c r="G74" s="188">
        <f t="shared" si="56"/>
        <v>19</v>
      </c>
      <c r="H74" s="188">
        <f t="shared" si="56"/>
        <v>2126</v>
      </c>
      <c r="I74" s="188">
        <f t="shared" si="56"/>
        <v>0</v>
      </c>
      <c r="J74" s="188">
        <f t="shared" si="56"/>
        <v>306013.86</v>
      </c>
      <c r="K74" s="188">
        <f t="shared" si="56"/>
        <v>0</v>
      </c>
      <c r="L74" s="188">
        <f t="shared" si="56"/>
        <v>157</v>
      </c>
      <c r="M74" s="188">
        <f t="shared" si="56"/>
        <v>0</v>
      </c>
      <c r="N74" s="188">
        <f t="shared" si="56"/>
        <v>0</v>
      </c>
      <c r="O74" s="188">
        <f t="shared" si="56"/>
        <v>0</v>
      </c>
      <c r="P74" s="188">
        <f t="shared" si="56"/>
        <v>0</v>
      </c>
      <c r="Q74" s="188">
        <f t="shared" si="56"/>
        <v>70</v>
      </c>
      <c r="R74" s="188">
        <f t="shared" si="56"/>
        <v>-1</v>
      </c>
      <c r="S74" s="188">
        <f t="shared" si="56"/>
        <v>69</v>
      </c>
      <c r="T74" s="188">
        <f t="shared" si="56"/>
        <v>53707.42</v>
      </c>
      <c r="U74" s="188">
        <f t="shared" si="56"/>
        <v>-813</v>
      </c>
      <c r="V74" s="188">
        <f t="shared" si="56"/>
        <v>52894.42</v>
      </c>
      <c r="W74" s="188">
        <f t="shared" si="56"/>
        <v>80352</v>
      </c>
      <c r="X74" s="188">
        <f t="shared" si="56"/>
        <v>-1238</v>
      </c>
      <c r="Y74" s="188">
        <f t="shared" si="56"/>
        <v>79114</v>
      </c>
      <c r="Z74" s="188">
        <f t="shared" si="56"/>
        <v>119553.87999999999</v>
      </c>
      <c r="AA74" s="189">
        <f t="shared" si="56"/>
        <v>1</v>
      </c>
      <c r="AB74" s="190">
        <f t="shared" si="56"/>
        <v>9760.3200000000015</v>
      </c>
      <c r="AC74" s="188">
        <f t="shared" si="56"/>
        <v>28720.66</v>
      </c>
      <c r="AD74" s="189">
        <f>AC74/Y74</f>
        <v>0.36302879389235787</v>
      </c>
      <c r="AE74" s="190">
        <f>AE17+AE72</f>
        <v>8509.6</v>
      </c>
      <c r="AF74" s="191">
        <f>AF17+AF72</f>
        <v>13613</v>
      </c>
      <c r="AG74" s="191">
        <f>AG17+AG72</f>
        <v>9632</v>
      </c>
      <c r="AH74" s="191">
        <f>AH17+AH72</f>
        <v>0</v>
      </c>
      <c r="AI74" s="192">
        <v>1377.57</v>
      </c>
      <c r="AJ74" s="188">
        <f>AJ17+AJ72</f>
        <v>0</v>
      </c>
      <c r="AK74" s="188">
        <f>AK17+AK72</f>
        <v>528.94420000000014</v>
      </c>
      <c r="AL74" s="188">
        <f>AL17+AL72</f>
        <v>6971.9057999999986</v>
      </c>
      <c r="AM74" s="188"/>
      <c r="AN74" s="188"/>
      <c r="AO74" s="188"/>
      <c r="AP74" s="188"/>
      <c r="AQ74" s="188"/>
      <c r="AR74" s="188">
        <f>(AF74+AG74)/Q74</f>
        <v>332.07142857142856</v>
      </c>
      <c r="AS74" s="188"/>
      <c r="AT74" s="188"/>
      <c r="AU74" s="188"/>
      <c r="AV74" s="193"/>
      <c r="AW74" s="188">
        <f>AW17+AW72</f>
        <v>61001.691781310597</v>
      </c>
    </row>
    <row r="75" spans="1:49" s="175" customFormat="1">
      <c r="A75" s="174"/>
      <c r="B75" s="173"/>
      <c r="C75" s="195"/>
      <c r="D75" s="174"/>
      <c r="L75" s="176"/>
      <c r="M75" s="176"/>
      <c r="N75" s="176"/>
      <c r="P75" s="177"/>
      <c r="Q75" s="178"/>
      <c r="R75" s="178"/>
      <c r="S75" s="179"/>
      <c r="T75" s="179"/>
      <c r="U75" s="179"/>
      <c r="V75" s="179"/>
      <c r="W75" s="178"/>
      <c r="X75" s="179"/>
      <c r="Y75" s="179"/>
      <c r="Z75" s="179"/>
      <c r="AC75" s="180"/>
      <c r="AE75" s="196"/>
      <c r="AF75" s="347">
        <f>AF18+AF73</f>
        <v>0</v>
      </c>
      <c r="AG75" s="347"/>
      <c r="AH75" s="237"/>
      <c r="AI75" s="182"/>
      <c r="AJ75" s="183"/>
      <c r="AM75" s="184"/>
      <c r="AN75" s="184"/>
      <c r="AO75" s="184"/>
      <c r="AP75" s="184"/>
      <c r="AQ75" s="184"/>
      <c r="AR75" s="184"/>
      <c r="AS75" s="184"/>
      <c r="AT75" s="184"/>
      <c r="AU75" s="184"/>
      <c r="AV75" s="185"/>
    </row>
    <row r="76" spans="1:49">
      <c r="C76" s="198"/>
      <c r="D76" s="198"/>
    </row>
    <row r="77" spans="1:49">
      <c r="C77" s="198"/>
      <c r="D77" s="198"/>
    </row>
  </sheetData>
  <mergeCells count="10">
    <mergeCell ref="AN1:AU1"/>
    <mergeCell ref="AF18:AG18"/>
    <mergeCell ref="AF73:AG73"/>
    <mergeCell ref="AF75:AG75"/>
    <mergeCell ref="F1:H1"/>
    <mergeCell ref="L1:N1"/>
    <mergeCell ref="Q1:R1"/>
    <mergeCell ref="T1:U1"/>
    <mergeCell ref="W1:X1"/>
    <mergeCell ref="AF1:AG1"/>
  </mergeCells>
  <conditionalFormatting sqref="K71:M71 K18:K70 K3:K16">
    <cfRule type="cellIs" dxfId="18" priority="4" operator="greaterThan">
      <formula>120</formula>
    </cfRule>
  </conditionalFormatting>
  <conditionalFormatting sqref="O71">
    <cfRule type="cellIs" dxfId="17" priority="3" operator="between">
      <formula>0.000001</formula>
      <formula>25</formula>
    </cfRule>
  </conditionalFormatting>
  <conditionalFormatting sqref="AA73 AA75:AA1048576">
    <cfRule type="cellIs" dxfId="16" priority="5" operator="greaterThan">
      <formula>0.23</formula>
    </cfRule>
  </conditionalFormatting>
  <conditionalFormatting sqref="Y18:AA71 Y3:AA16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{0DFC560D-8F09-4E27-B2E6-67D2F1348104}</x14:id>
        </ext>
      </extLst>
    </cfRule>
  </conditionalFormatting>
  <conditionalFormatting sqref="AS18:AS70 AS3:AS15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{4AF4939E-C0B8-436D-BC2D-53D588752333}</x14:id>
        </ext>
      </extLst>
    </cfRule>
  </conditionalFormatting>
  <conditionalFormatting sqref="AT18:AU70 AT3:AU15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{CD13A8CA-25D9-49FD-AF54-CEC3D272FC90}</x14:id>
        </ext>
      </extLst>
    </cfRule>
  </conditionalFormatting>
  <conditionalFormatting sqref="AW18:AW71 AW3:AW16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{080A890C-918C-4FC9-9BA2-0F11D2588BC0}</x14:id>
        </ext>
      </extLst>
    </cfRule>
  </conditionalFormatting>
  <conditionalFormatting sqref="AA18:AA70 AA3:AA16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{153D7104-A803-4A67-A59F-006F248F9FE5}</x14:id>
        </ext>
      </extLst>
    </cfRule>
  </conditionalFormatting>
  <conditionalFormatting sqref="AW18:AW70 AW3:AW16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{F93427C8-218F-4354-8079-7811E94DDB0A}</x14:id>
        </ext>
      </extLst>
    </cfRule>
  </conditionalFormatting>
  <conditionalFormatting sqref="AL18:AL71 AL3:AL16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{7CC2BAC9-25D5-4C50-97D6-1A81032E93D5}</x14:id>
        </ext>
      </extLst>
    </cfRule>
  </conditionalFormatting>
  <conditionalFormatting sqref="AL18:AL70 AL3:AL16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{694D05B2-3DB3-41BC-AC4A-D061EFEAB9F0}</x14:id>
        </ext>
      </extLst>
    </cfRule>
  </conditionalFormatting>
  <conditionalFormatting sqref="AA1">
    <cfRule type="cellIs" dxfId="15" priority="1" operator="greaterThan">
      <formula>0.23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DFC560D-8F09-4E27-B2E6-67D2F134810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Y18:AA71 Y3:AA16</xm:sqref>
        </x14:conditionalFormatting>
        <x14:conditionalFormatting xmlns:xm="http://schemas.microsoft.com/office/excel/2006/main">
          <x14:cfRule type="dataBar" id="{4AF4939E-C0B8-436D-BC2D-53D58875233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AS18:AS70 AS3:AS15</xm:sqref>
        </x14:conditionalFormatting>
        <x14:conditionalFormatting xmlns:xm="http://schemas.microsoft.com/office/excel/2006/main">
          <x14:cfRule type="dataBar" id="{CD13A8CA-25D9-49FD-AF54-CEC3D272FC9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AT18:AU70 AT3:AU15</xm:sqref>
        </x14:conditionalFormatting>
        <x14:conditionalFormatting xmlns:xm="http://schemas.microsoft.com/office/excel/2006/main">
          <x14:cfRule type="dataBar" id="{080A890C-918C-4FC9-9BA2-0F11D2588BC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AW18:AW71 AW3:AW16</xm:sqref>
        </x14:conditionalFormatting>
        <x14:conditionalFormatting xmlns:xm="http://schemas.microsoft.com/office/excel/2006/main">
          <x14:cfRule type="dataBar" id="{153D7104-A803-4A67-A59F-006F248F9FE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AA18:AA70 AA3:AA16</xm:sqref>
        </x14:conditionalFormatting>
        <x14:conditionalFormatting xmlns:xm="http://schemas.microsoft.com/office/excel/2006/main">
          <x14:cfRule type="dataBar" id="{F93427C8-218F-4354-8079-7811E94DDB0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AW18:AW70 AW3:AW16</xm:sqref>
        </x14:conditionalFormatting>
        <x14:conditionalFormatting xmlns:xm="http://schemas.microsoft.com/office/excel/2006/main">
          <x14:cfRule type="dataBar" id="{7CC2BAC9-25D5-4C50-97D6-1A81032E93D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AL18:AL71 AL3:AL16</xm:sqref>
        </x14:conditionalFormatting>
        <x14:conditionalFormatting xmlns:xm="http://schemas.microsoft.com/office/excel/2006/main">
          <x14:cfRule type="dataBar" id="{694D05B2-3DB3-41BC-AC4A-D061EFEAB9F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AL18:AL70 AL3:AL16</xm:sqref>
        </x14:conditionalFormatting>
      </x14:conditionalFormatting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DD5BF-1D37-4D1E-AE9D-511D6EED3352}">
  <dimension ref="A1:AW77"/>
  <sheetViews>
    <sheetView zoomScale="70" zoomScaleNormal="70" workbookViewId="0">
      <pane xSplit="3" ySplit="2" topLeftCell="J3" activePane="bottomRight" state="frozen"/>
      <selection pane="topRight" activeCell="D1" sqref="D1"/>
      <selection pane="bottomLeft" activeCell="A3" sqref="A3"/>
      <selection pane="bottomRight" activeCell="BL3" sqref="BL3"/>
    </sheetView>
  </sheetViews>
  <sheetFormatPr defaultColWidth="12.54296875" defaultRowHeight="14.5" outlineLevelRow="1"/>
  <cols>
    <col min="1" max="1" width="9.08984375" style="197" customWidth="1"/>
    <col min="2" max="2" width="12.54296875" style="202"/>
    <col min="3" max="3" width="19.90625" style="197" customWidth="1"/>
    <col min="4" max="4" width="16.6328125" style="197" customWidth="1"/>
    <col min="5" max="5" width="12.36328125" style="126" customWidth="1"/>
    <col min="6" max="6" width="10.90625" style="126" customWidth="1"/>
    <col min="7" max="8" width="12.36328125" style="126" customWidth="1"/>
    <col min="9" max="9" width="13.36328125" style="126" customWidth="1"/>
    <col min="10" max="10" width="14.1796875" style="126" customWidth="1"/>
    <col min="11" max="11" width="14.26953125" style="126" customWidth="1"/>
    <col min="12" max="12" width="13.6328125" style="126" customWidth="1"/>
    <col min="13" max="13" width="15.08984375" style="126" customWidth="1"/>
    <col min="14" max="14" width="14.54296875" style="126" customWidth="1"/>
    <col min="15" max="16" width="11" style="126" customWidth="1"/>
    <col min="17" max="17" width="11.1796875" style="126" customWidth="1"/>
    <col min="18" max="18" width="12.08984375" style="126" customWidth="1"/>
    <col min="19" max="22" width="11.26953125" style="199" customWidth="1"/>
    <col min="23" max="23" width="13.1796875" style="199" customWidth="1"/>
    <col min="24" max="24" width="12.36328125" style="199" customWidth="1"/>
    <col min="25" max="25" width="20.7265625" style="199" customWidth="1"/>
    <col min="26" max="26" width="15.90625" style="199" customWidth="1"/>
    <col min="27" max="27" width="13.36328125" style="200" customWidth="1"/>
    <col min="28" max="28" width="14.453125" style="126" customWidth="1"/>
    <col min="29" max="29" width="17.81640625" style="126" customWidth="1"/>
    <col min="30" max="30" width="14.26953125" style="126" customWidth="1"/>
    <col min="31" max="31" width="19.08984375" style="126" customWidth="1"/>
    <col min="32" max="34" width="10.36328125" style="117" customWidth="1"/>
    <col min="35" max="35" width="18.08984375" style="201" customWidth="1"/>
    <col min="36" max="36" width="18.6328125" style="117" customWidth="1"/>
    <col min="37" max="37" width="12.54296875" style="126"/>
    <col min="38" max="38" width="18.90625" style="126" customWidth="1"/>
    <col min="39" max="39" width="3.08984375" style="126" customWidth="1"/>
    <col min="40" max="40" width="19.90625" style="126" customWidth="1"/>
    <col min="41" max="41" width="14.26953125" style="126" customWidth="1"/>
    <col min="42" max="42" width="9.6328125" style="126" customWidth="1"/>
    <col min="43" max="43" width="11.1796875" style="126" customWidth="1"/>
    <col min="44" max="44" width="9.54296875" style="126" customWidth="1"/>
    <col min="45" max="45" width="10.1796875" style="126" customWidth="1"/>
    <col min="46" max="46" width="11.7265625" style="126" customWidth="1"/>
    <col min="47" max="47" width="12.54296875" style="126"/>
    <col min="48" max="48" width="3.36328125" style="140" customWidth="1"/>
    <col min="49" max="16384" width="12.54296875" style="126"/>
  </cols>
  <sheetData>
    <row r="1" spans="1:49" s="95" customFormat="1" ht="16" customHeight="1">
      <c r="A1" s="92" t="s">
        <v>132</v>
      </c>
      <c r="B1" s="93"/>
      <c r="C1" s="92"/>
      <c r="D1" s="92"/>
      <c r="E1" s="94"/>
      <c r="F1" s="348" t="s">
        <v>47</v>
      </c>
      <c r="G1" s="348"/>
      <c r="H1" s="348"/>
      <c r="K1" s="234" t="s">
        <v>48</v>
      </c>
      <c r="L1" s="348" t="s">
        <v>49</v>
      </c>
      <c r="M1" s="348"/>
      <c r="N1" s="348"/>
      <c r="P1" s="96"/>
      <c r="Q1" s="349"/>
      <c r="R1" s="349"/>
      <c r="S1" s="240"/>
      <c r="T1" s="350"/>
      <c r="U1" s="351"/>
      <c r="V1" s="240"/>
      <c r="W1" s="349"/>
      <c r="X1" s="349"/>
      <c r="Y1" s="96"/>
      <c r="Z1" s="96"/>
      <c r="AA1" s="96"/>
      <c r="AB1" s="96"/>
      <c r="AC1" s="239"/>
      <c r="AD1" s="240"/>
      <c r="AE1" s="239"/>
      <c r="AF1" s="352"/>
      <c r="AG1" s="352"/>
      <c r="AH1" s="235"/>
      <c r="AI1" s="97" t="s">
        <v>50</v>
      </c>
      <c r="AJ1" s="239"/>
      <c r="AM1" s="98"/>
      <c r="AN1" s="343" t="s">
        <v>51</v>
      </c>
      <c r="AO1" s="344"/>
      <c r="AP1" s="344"/>
      <c r="AQ1" s="344"/>
      <c r="AR1" s="344"/>
      <c r="AS1" s="344"/>
      <c r="AT1" s="344"/>
      <c r="AU1" s="345"/>
      <c r="AV1" s="99"/>
    </row>
    <row r="2" spans="1:49" s="113" customFormat="1" ht="50.5" customHeight="1">
      <c r="A2" s="100" t="s">
        <v>52</v>
      </c>
      <c r="B2" s="101" t="s">
        <v>53</v>
      </c>
      <c r="C2" s="100" t="s">
        <v>54</v>
      </c>
      <c r="D2" s="100" t="s">
        <v>55</v>
      </c>
      <c r="E2" s="100" t="s">
        <v>138</v>
      </c>
      <c r="F2" s="102" t="s">
        <v>57</v>
      </c>
      <c r="G2" s="102" t="s">
        <v>58</v>
      </c>
      <c r="H2" s="102" t="s">
        <v>59</v>
      </c>
      <c r="I2" s="100" t="s">
        <v>60</v>
      </c>
      <c r="J2" s="100" t="s">
        <v>61</v>
      </c>
      <c r="K2" s="103" t="s">
        <v>62</v>
      </c>
      <c r="L2" s="103" t="s">
        <v>63</v>
      </c>
      <c r="M2" s="103" t="s">
        <v>64</v>
      </c>
      <c r="N2" s="103" t="s">
        <v>65</v>
      </c>
      <c r="O2" s="104" t="s">
        <v>66</v>
      </c>
      <c r="P2" s="104" t="s">
        <v>67</v>
      </c>
      <c r="Q2" s="105" t="s">
        <v>68</v>
      </c>
      <c r="R2" s="105" t="s">
        <v>69</v>
      </c>
      <c r="S2" s="100" t="s">
        <v>70</v>
      </c>
      <c r="T2" s="102" t="s">
        <v>71</v>
      </c>
      <c r="U2" s="102" t="s">
        <v>72</v>
      </c>
      <c r="V2" s="106" t="s">
        <v>73</v>
      </c>
      <c r="W2" s="105" t="s">
        <v>74</v>
      </c>
      <c r="X2" s="105" t="s">
        <v>75</v>
      </c>
      <c r="Y2" s="107" t="s">
        <v>76</v>
      </c>
      <c r="Z2" s="108" t="s">
        <v>77</v>
      </c>
      <c r="AA2" s="107" t="s">
        <v>78</v>
      </c>
      <c r="AB2" s="107" t="s">
        <v>18</v>
      </c>
      <c r="AC2" s="109" t="s">
        <v>79</v>
      </c>
      <c r="AD2" s="110" t="s">
        <v>80</v>
      </c>
      <c r="AE2" s="105" t="s">
        <v>8</v>
      </c>
      <c r="AF2" s="104" t="s">
        <v>25</v>
      </c>
      <c r="AG2" s="104" t="s">
        <v>26</v>
      </c>
      <c r="AH2" s="104" t="s">
        <v>27</v>
      </c>
      <c r="AI2" s="105" t="s">
        <v>9</v>
      </c>
      <c r="AJ2" s="105" t="s">
        <v>81</v>
      </c>
      <c r="AK2" s="100" t="s">
        <v>82</v>
      </c>
      <c r="AL2" s="100" t="s">
        <v>11</v>
      </c>
      <c r="AM2" s="111"/>
      <c r="AN2" s="110" t="s">
        <v>83</v>
      </c>
      <c r="AO2" s="110" t="s">
        <v>84</v>
      </c>
      <c r="AP2" s="110" t="s">
        <v>85</v>
      </c>
      <c r="AQ2" s="110" t="s">
        <v>86</v>
      </c>
      <c r="AR2" s="110" t="s">
        <v>87</v>
      </c>
      <c r="AS2" s="110" t="s">
        <v>88</v>
      </c>
      <c r="AT2" s="110" t="s">
        <v>89</v>
      </c>
      <c r="AU2" s="110" t="s">
        <v>90</v>
      </c>
      <c r="AV2" s="112"/>
      <c r="AW2" s="100" t="s">
        <v>91</v>
      </c>
    </row>
    <row r="3" spans="1:49" outlineLevel="1">
      <c r="A3" s="114"/>
      <c r="B3" s="115">
        <v>341479791</v>
      </c>
      <c r="C3" s="115" t="s">
        <v>92</v>
      </c>
      <c r="D3" s="116" t="s">
        <v>93</v>
      </c>
      <c r="E3" s="117">
        <f t="shared" ref="E3:E15" si="0">SUM(F3:H3)</f>
        <v>407</v>
      </c>
      <c r="F3" s="117">
        <v>16</v>
      </c>
      <c r="G3" s="117">
        <v>3</v>
      </c>
      <c r="H3" s="117">
        <v>388</v>
      </c>
      <c r="I3" s="117">
        <v>142.97999999999999</v>
      </c>
      <c r="J3" s="117">
        <f t="shared" ref="J3:J15" si="1">E3*I3</f>
        <v>58192.859999999993</v>
      </c>
      <c r="K3" s="114">
        <v>232</v>
      </c>
      <c r="L3" s="114">
        <v>32</v>
      </c>
      <c r="M3" s="114">
        <v>1238</v>
      </c>
      <c r="N3" s="114">
        <v>77</v>
      </c>
      <c r="O3" s="213">
        <f t="shared" ref="O3:O15" si="2">L3/7</f>
        <v>4.5714285714285712</v>
      </c>
      <c r="P3" s="117">
        <f t="shared" ref="P3" si="3">S3/7</f>
        <v>3</v>
      </c>
      <c r="Q3" s="118">
        <v>22</v>
      </c>
      <c r="R3" s="118">
        <v>-1</v>
      </c>
      <c r="S3" s="117">
        <f>Q3+R3</f>
        <v>21</v>
      </c>
      <c r="T3" s="118">
        <v>20652</v>
      </c>
      <c r="U3" s="118">
        <v>-1057</v>
      </c>
      <c r="V3" s="117">
        <f>T3+U3</f>
        <v>19595</v>
      </c>
      <c r="W3" s="118">
        <v>27236</v>
      </c>
      <c r="X3" s="118">
        <v>-1238</v>
      </c>
      <c r="Y3" s="117">
        <f t="shared" ref="Y3:Y15" si="4">W3+X3</f>
        <v>25998</v>
      </c>
      <c r="Z3" s="117">
        <f>L3*M3*N3/100</f>
        <v>30504.32</v>
      </c>
      <c r="AA3" s="119">
        <f t="shared" ref="AA3:AA15" si="5">Y3/$Y$74</f>
        <v>0.45682921724901937</v>
      </c>
      <c r="AB3" s="117">
        <f>S3*I3</f>
        <v>3002.58</v>
      </c>
      <c r="AC3" s="118">
        <v>9406.6299999999974</v>
      </c>
      <c r="AD3" s="119">
        <f t="shared" ref="AD3:AD15" si="6">IF(Y3=0,0,AC3/Y3)</f>
        <v>0.36182129394568802</v>
      </c>
      <c r="AE3" s="118">
        <v>2466.8500000000004</v>
      </c>
      <c r="AF3" s="118">
        <v>4000</v>
      </c>
      <c r="AG3" s="118">
        <v>1000</v>
      </c>
      <c r="AH3" s="118">
        <v>0</v>
      </c>
      <c r="AI3" s="152">
        <f t="shared" ref="AI3:AI15" si="7">IFERROR($AI$74*H3/$H$74,0)</f>
        <v>248.14583111111111</v>
      </c>
      <c r="AJ3" s="118">
        <v>0</v>
      </c>
      <c r="AK3" s="120">
        <f>V3*1%</f>
        <v>195.95000000000002</v>
      </c>
      <c r="AL3" s="121">
        <f>Y3-AB3-AC3-AE3-AF3-AG3-AH3-AI3-AK3-AJ3</f>
        <v>5677.8441688888897</v>
      </c>
      <c r="AM3" s="122"/>
      <c r="AN3" s="123">
        <f t="shared" ref="AN3:AN15" si="8">IF(S3=0,0,Y3/S3)</f>
        <v>1238</v>
      </c>
      <c r="AO3" s="124">
        <f t="shared" ref="AO3:AO15" si="9">I3</f>
        <v>142.97999999999999</v>
      </c>
      <c r="AP3" s="124">
        <f t="shared" ref="AP3:AP15" si="10">IF(S3=0,0,AC3/S3)</f>
        <v>447.93476190476179</v>
      </c>
      <c r="AQ3" s="124">
        <f>IF(Q3=0,AE3/1,AE3/Q3)</f>
        <v>112.12954545454546</v>
      </c>
      <c r="AR3" s="124">
        <f>IF(Q3=0,0,(AF3+AG3)/Q3)</f>
        <v>227.27272727272728</v>
      </c>
      <c r="AS3" s="124">
        <f>_xlfn.IFS(S3=0,AL3,S3&lt;0,AL3/-S3,S3&gt;0,AL3/S3)</f>
        <v>270.37353185185191</v>
      </c>
      <c r="AT3" s="119">
        <f t="shared" ref="AT3" si="11">IF(AN3=0,0,AS3/AN3)</f>
        <v>0.21839542152815178</v>
      </c>
      <c r="AU3" s="119">
        <f t="shared" ref="AU3" si="12">IF(AO3=0,0,AS3/AO3)</f>
        <v>1.8909884728762898</v>
      </c>
      <c r="AV3" s="125"/>
      <c r="AW3" s="120">
        <f t="shared" ref="AW3:AW15" si="13">AS3*E3</f>
        <v>110042.02746370372</v>
      </c>
    </row>
    <row r="4" spans="1:49" outlineLevel="1">
      <c r="A4" s="114"/>
      <c r="B4" s="115">
        <v>340343575</v>
      </c>
      <c r="C4" s="115" t="s">
        <v>94</v>
      </c>
      <c r="D4" s="116" t="s">
        <v>93</v>
      </c>
      <c r="E4" s="117">
        <f t="shared" si="0"/>
        <v>289</v>
      </c>
      <c r="F4" s="117">
        <v>1</v>
      </c>
      <c r="G4" s="117">
        <v>2</v>
      </c>
      <c r="H4" s="117">
        <v>286</v>
      </c>
      <c r="I4" s="117">
        <v>123.09</v>
      </c>
      <c r="J4" s="117">
        <f t="shared" si="1"/>
        <v>35573.01</v>
      </c>
      <c r="K4" s="114">
        <v>999</v>
      </c>
      <c r="L4" s="114">
        <v>1</v>
      </c>
      <c r="M4" s="114">
        <v>929</v>
      </c>
      <c r="N4" s="114">
        <v>0</v>
      </c>
      <c r="O4" s="213">
        <f t="shared" si="2"/>
        <v>0.14285714285714285</v>
      </c>
      <c r="P4" s="117">
        <f>S4/7</f>
        <v>0</v>
      </c>
      <c r="Q4" s="118">
        <v>0</v>
      </c>
      <c r="R4" s="118">
        <v>0</v>
      </c>
      <c r="S4" s="117">
        <f t="shared" ref="S4:S15" si="14">Q4+R4</f>
        <v>0</v>
      </c>
      <c r="T4" s="118">
        <v>0</v>
      </c>
      <c r="U4" s="118">
        <v>0</v>
      </c>
      <c r="V4" s="117">
        <f t="shared" ref="V4:V15" si="15">T4+U4</f>
        <v>0</v>
      </c>
      <c r="W4" s="118">
        <v>0</v>
      </c>
      <c r="X4" s="118">
        <v>0</v>
      </c>
      <c r="Y4" s="117">
        <f t="shared" si="4"/>
        <v>0</v>
      </c>
      <c r="Z4" s="117">
        <f t="shared" ref="Z4:Z15" si="16">L4*M4*N4/100</f>
        <v>0</v>
      </c>
      <c r="AA4" s="119">
        <f t="shared" si="5"/>
        <v>0</v>
      </c>
      <c r="AB4" s="117">
        <f t="shared" ref="AB4:AB15" si="17">S4*I4</f>
        <v>0</v>
      </c>
      <c r="AC4" s="118">
        <v>0</v>
      </c>
      <c r="AD4" s="119">
        <f t="shared" si="6"/>
        <v>0</v>
      </c>
      <c r="AE4" s="118">
        <v>0</v>
      </c>
      <c r="AF4" s="118"/>
      <c r="AG4" s="118">
        <v>112</v>
      </c>
      <c r="AH4" s="118">
        <v>0</v>
      </c>
      <c r="AI4" s="152">
        <f t="shared" si="7"/>
        <v>182.91161777777779</v>
      </c>
      <c r="AJ4" s="118">
        <v>0</v>
      </c>
      <c r="AK4" s="120">
        <f t="shared" ref="AK4:AK15" si="18">V4*1%</f>
        <v>0</v>
      </c>
      <c r="AL4" s="121">
        <f t="shared" ref="AL4:AL15" si="19">Y4-AB4-AC4-AE4-AF4-AG4-AH4-AI4-AK4-AJ4</f>
        <v>-294.91161777777779</v>
      </c>
      <c r="AM4" s="122"/>
      <c r="AN4" s="123">
        <f t="shared" si="8"/>
        <v>0</v>
      </c>
      <c r="AO4" s="124">
        <f t="shared" si="9"/>
        <v>123.09</v>
      </c>
      <c r="AP4" s="124">
        <f t="shared" si="10"/>
        <v>0</v>
      </c>
      <c r="AQ4" s="124">
        <f t="shared" ref="AQ4:AQ15" si="20">IF(Q4=0,AE4/1,AE4/Q4)</f>
        <v>0</v>
      </c>
      <c r="AR4" s="124">
        <f t="shared" ref="AR4:AR15" si="21">IF(Q4=0,0,(AF4+AG4)/Q4)</f>
        <v>0</v>
      </c>
      <c r="AS4" s="124">
        <f t="array" ref="AS4">_xlfn.IFS(S4=0,AL4,S4&lt;0,AL4/-S4,S4&gt;0,AL4/S4)</f>
        <v>-294.91161777777779</v>
      </c>
      <c r="AT4" s="119">
        <f>IF(AN4=0,0,AS4/AN4)</f>
        <v>0</v>
      </c>
      <c r="AU4" s="119">
        <f>IF(AO4=0,0,AS4/AO4)</f>
        <v>-2.3959023298219009</v>
      </c>
      <c r="AV4" s="125"/>
      <c r="AW4" s="120">
        <f t="shared" si="13"/>
        <v>-85229.45753777778</v>
      </c>
    </row>
    <row r="5" spans="1:49" outlineLevel="1">
      <c r="A5" s="114"/>
      <c r="B5" s="115">
        <v>340332621</v>
      </c>
      <c r="C5" s="115" t="s">
        <v>95</v>
      </c>
      <c r="D5" s="116" t="s">
        <v>93</v>
      </c>
      <c r="E5" s="117">
        <f t="shared" si="0"/>
        <v>378</v>
      </c>
      <c r="F5" s="117">
        <v>1</v>
      </c>
      <c r="G5" s="117" t="s">
        <v>145</v>
      </c>
      <c r="H5" s="117">
        <v>377</v>
      </c>
      <c r="I5" s="117">
        <v>123.09</v>
      </c>
      <c r="J5" s="117">
        <f t="shared" si="1"/>
        <v>46528.020000000004</v>
      </c>
      <c r="K5" s="114">
        <v>999</v>
      </c>
      <c r="L5" s="114">
        <v>1</v>
      </c>
      <c r="M5" s="114">
        <v>1052</v>
      </c>
      <c r="N5" s="114">
        <v>0</v>
      </c>
      <c r="O5" s="213">
        <f t="shared" si="2"/>
        <v>0.14285714285714285</v>
      </c>
      <c r="P5" s="117">
        <f>S5/7</f>
        <v>0</v>
      </c>
      <c r="Q5" s="118">
        <v>0</v>
      </c>
      <c r="R5" s="118">
        <v>0</v>
      </c>
      <c r="S5" s="117">
        <f t="shared" si="14"/>
        <v>0</v>
      </c>
      <c r="T5" s="118">
        <v>0</v>
      </c>
      <c r="U5" s="118">
        <v>0</v>
      </c>
      <c r="V5" s="117">
        <f t="shared" si="15"/>
        <v>0</v>
      </c>
      <c r="W5" s="118">
        <v>0</v>
      </c>
      <c r="X5" s="118">
        <v>0</v>
      </c>
      <c r="Y5" s="117">
        <f t="shared" si="4"/>
        <v>0</v>
      </c>
      <c r="Z5" s="117">
        <f t="shared" si="16"/>
        <v>0</v>
      </c>
      <c r="AA5" s="119">
        <f t="shared" si="5"/>
        <v>0</v>
      </c>
      <c r="AB5" s="117">
        <f t="shared" si="17"/>
        <v>0</v>
      </c>
      <c r="AC5" s="118">
        <v>0</v>
      </c>
      <c r="AD5" s="119">
        <f t="shared" si="6"/>
        <v>0</v>
      </c>
      <c r="AE5" s="118">
        <v>0</v>
      </c>
      <c r="AF5" s="118"/>
      <c r="AG5" s="118">
        <v>142</v>
      </c>
      <c r="AH5" s="118">
        <v>0</v>
      </c>
      <c r="AI5" s="152">
        <f t="shared" si="7"/>
        <v>241.11076888888888</v>
      </c>
      <c r="AJ5" s="118">
        <v>0</v>
      </c>
      <c r="AK5" s="120">
        <f t="shared" si="18"/>
        <v>0</v>
      </c>
      <c r="AL5" s="121">
        <f t="shared" si="19"/>
        <v>-383.11076888888886</v>
      </c>
      <c r="AM5" s="122"/>
      <c r="AN5" s="123">
        <f t="shared" si="8"/>
        <v>0</v>
      </c>
      <c r="AO5" s="124">
        <f t="shared" si="9"/>
        <v>123.09</v>
      </c>
      <c r="AP5" s="124">
        <f t="shared" si="10"/>
        <v>0</v>
      </c>
      <c r="AQ5" s="124">
        <f t="shared" si="20"/>
        <v>0</v>
      </c>
      <c r="AR5" s="124">
        <f t="shared" si="21"/>
        <v>0</v>
      </c>
      <c r="AS5" s="124">
        <f t="array" ref="AS5">_xlfn.IFS(S5=0,AL5,S5&lt;0,AL5/-S5,S5&gt;0,AL5/S5)</f>
        <v>-383.11076888888886</v>
      </c>
      <c r="AT5" s="119">
        <f>IF(AN5=0,0,AS5/AN5)</f>
        <v>0</v>
      </c>
      <c r="AU5" s="119">
        <f>IF(AO5=0,0,AS5/AO5)</f>
        <v>-3.1124443000153454</v>
      </c>
      <c r="AV5" s="125"/>
      <c r="AW5" s="120">
        <f t="shared" si="13"/>
        <v>-144815.87063999998</v>
      </c>
    </row>
    <row r="6" spans="1:49" outlineLevel="1">
      <c r="A6" s="114"/>
      <c r="B6" s="115">
        <v>340341838</v>
      </c>
      <c r="C6" s="115" t="s">
        <v>96</v>
      </c>
      <c r="D6" s="116" t="s">
        <v>93</v>
      </c>
      <c r="E6" s="117">
        <f t="shared" si="0"/>
        <v>350</v>
      </c>
      <c r="F6" s="117">
        <v>3</v>
      </c>
      <c r="G6" s="117">
        <v>1</v>
      </c>
      <c r="H6" s="117">
        <v>346</v>
      </c>
      <c r="I6" s="117">
        <v>123.09</v>
      </c>
      <c r="J6" s="117">
        <f t="shared" si="1"/>
        <v>43081.5</v>
      </c>
      <c r="K6" s="114">
        <v>392</v>
      </c>
      <c r="L6" s="114">
        <v>5</v>
      </c>
      <c r="M6" s="114">
        <v>1176</v>
      </c>
      <c r="N6" s="114">
        <v>100</v>
      </c>
      <c r="O6" s="213">
        <f t="shared" si="2"/>
        <v>0.7142857142857143</v>
      </c>
      <c r="P6" s="117">
        <f t="shared" ref="P6:P15" si="22">S6/7</f>
        <v>0.5714285714285714</v>
      </c>
      <c r="Q6" s="118">
        <v>4</v>
      </c>
      <c r="R6" s="118">
        <v>0</v>
      </c>
      <c r="S6" s="117">
        <f t="shared" si="14"/>
        <v>4</v>
      </c>
      <c r="T6" s="118">
        <v>3391</v>
      </c>
      <c r="U6" s="118">
        <v>0</v>
      </c>
      <c r="V6" s="117">
        <f t="shared" si="15"/>
        <v>3391</v>
      </c>
      <c r="W6" s="118">
        <v>4704</v>
      </c>
      <c r="X6" s="118">
        <v>0</v>
      </c>
      <c r="Y6" s="117">
        <f t="shared" si="4"/>
        <v>4704</v>
      </c>
      <c r="Z6" s="117">
        <f t="shared" si="16"/>
        <v>5880</v>
      </c>
      <c r="AA6" s="119">
        <f t="shared" si="5"/>
        <v>8.2657305867350844E-2</v>
      </c>
      <c r="AB6" s="117">
        <f t="shared" si="17"/>
        <v>492.36</v>
      </c>
      <c r="AC6" s="118">
        <v>1704.3700000000003</v>
      </c>
      <c r="AD6" s="119">
        <f t="shared" si="6"/>
        <v>0.36232355442176878</v>
      </c>
      <c r="AE6" s="118">
        <v>427.1</v>
      </c>
      <c r="AF6" s="118">
        <v>3</v>
      </c>
      <c r="AG6" s="118"/>
      <c r="AH6" s="118">
        <v>0</v>
      </c>
      <c r="AI6" s="152">
        <f t="shared" si="7"/>
        <v>221.28468444444442</v>
      </c>
      <c r="AJ6" s="118">
        <v>0</v>
      </c>
      <c r="AK6" s="120">
        <f t="shared" si="18"/>
        <v>33.910000000000004</v>
      </c>
      <c r="AL6" s="121">
        <f t="shared" si="19"/>
        <v>1821.9753155555557</v>
      </c>
      <c r="AM6" s="122"/>
      <c r="AN6" s="123">
        <f t="shared" si="8"/>
        <v>1176</v>
      </c>
      <c r="AO6" s="124">
        <f t="shared" si="9"/>
        <v>123.09</v>
      </c>
      <c r="AP6" s="124">
        <f t="shared" si="10"/>
        <v>426.09250000000009</v>
      </c>
      <c r="AQ6" s="124">
        <f t="shared" si="20"/>
        <v>106.77500000000001</v>
      </c>
      <c r="AR6" s="124">
        <f t="shared" si="21"/>
        <v>0.75</v>
      </c>
      <c r="AS6" s="124">
        <f t="array" ref="AS6">_xlfn.IFS(S6=0,AL6,S6&lt;0,AL6/-S6,S6&gt;0,AL6/S6)</f>
        <v>455.49382888888891</v>
      </c>
      <c r="AT6" s="119">
        <f t="shared" ref="AT6:AT15" si="23">IF(AN6=0,0,AS6/AN6)</f>
        <v>0.38732468442932733</v>
      </c>
      <c r="AU6" s="119">
        <f t="shared" ref="AU6:AU15" si="24">IF(AO6=0,0,AS6/AO6)</f>
        <v>3.7004941822153619</v>
      </c>
      <c r="AV6" s="125"/>
      <c r="AW6" s="120">
        <f t="shared" si="13"/>
        <v>159422.84011111112</v>
      </c>
    </row>
    <row r="7" spans="1:49" outlineLevel="1">
      <c r="A7" s="114"/>
      <c r="B7" s="115">
        <v>445291724</v>
      </c>
      <c r="C7" s="115" t="s">
        <v>97</v>
      </c>
      <c r="D7" s="116" t="s">
        <v>93</v>
      </c>
      <c r="E7" s="117">
        <f t="shared" si="0"/>
        <v>284</v>
      </c>
      <c r="F7" s="117" t="s">
        <v>145</v>
      </c>
      <c r="G7" s="117" t="s">
        <v>145</v>
      </c>
      <c r="H7" s="117">
        <v>284</v>
      </c>
      <c r="I7" s="117">
        <v>123.09</v>
      </c>
      <c r="J7" s="117">
        <f t="shared" si="1"/>
        <v>34957.56</v>
      </c>
      <c r="K7" s="114">
        <v>999</v>
      </c>
      <c r="L7" s="114">
        <v>0</v>
      </c>
      <c r="M7" s="114">
        <v>0</v>
      </c>
      <c r="N7" s="114">
        <v>0</v>
      </c>
      <c r="O7" s="213">
        <f t="shared" si="2"/>
        <v>0</v>
      </c>
      <c r="P7" s="117">
        <f t="shared" si="22"/>
        <v>0</v>
      </c>
      <c r="Q7" s="118">
        <v>0</v>
      </c>
      <c r="R7" s="118">
        <v>0</v>
      </c>
      <c r="S7" s="117">
        <f t="shared" si="14"/>
        <v>0</v>
      </c>
      <c r="T7" s="118">
        <v>0</v>
      </c>
      <c r="U7" s="118">
        <v>0</v>
      </c>
      <c r="V7" s="117">
        <f t="shared" si="15"/>
        <v>0</v>
      </c>
      <c r="W7" s="118">
        <v>0</v>
      </c>
      <c r="X7" s="118">
        <v>0</v>
      </c>
      <c r="Y7" s="117">
        <f t="shared" si="4"/>
        <v>0</v>
      </c>
      <c r="Z7" s="117">
        <f t="shared" si="16"/>
        <v>0</v>
      </c>
      <c r="AA7" s="119">
        <f t="shared" si="5"/>
        <v>0</v>
      </c>
      <c r="AB7" s="117">
        <f t="shared" si="17"/>
        <v>0</v>
      </c>
      <c r="AC7" s="118">
        <v>0</v>
      </c>
      <c r="AD7" s="119">
        <f t="shared" si="6"/>
        <v>0</v>
      </c>
      <c r="AE7" s="118">
        <v>113.8</v>
      </c>
      <c r="AF7" s="118">
        <v>27</v>
      </c>
      <c r="AG7" s="118">
        <v>170</v>
      </c>
      <c r="AH7" s="118">
        <v>0</v>
      </c>
      <c r="AI7" s="152">
        <f t="shared" si="7"/>
        <v>181.63251555555556</v>
      </c>
      <c r="AJ7" s="118">
        <v>0</v>
      </c>
      <c r="AK7" s="120">
        <f t="shared" si="18"/>
        <v>0</v>
      </c>
      <c r="AL7" s="121">
        <f t="shared" si="19"/>
        <v>-492.4325155555556</v>
      </c>
      <c r="AM7" s="122"/>
      <c r="AN7" s="123">
        <f t="shared" si="8"/>
        <v>0</v>
      </c>
      <c r="AO7" s="124">
        <f t="shared" si="9"/>
        <v>123.09</v>
      </c>
      <c r="AP7" s="124">
        <f t="shared" si="10"/>
        <v>0</v>
      </c>
      <c r="AQ7" s="124">
        <f t="shared" si="20"/>
        <v>113.8</v>
      </c>
      <c r="AR7" s="124">
        <f t="shared" si="21"/>
        <v>0</v>
      </c>
      <c r="AS7" s="124">
        <f t="array" ref="AS7">_xlfn.IFS(S7=0,AL7,S7&lt;0,AL7/-S7,S7&gt;0,AL7/S7)</f>
        <v>-492.4325155555556</v>
      </c>
      <c r="AT7" s="119">
        <f t="shared" si="23"/>
        <v>0</v>
      </c>
      <c r="AU7" s="119">
        <f t="shared" si="24"/>
        <v>-4.0005891262942201</v>
      </c>
      <c r="AV7" s="125"/>
      <c r="AW7" s="120">
        <f t="shared" si="13"/>
        <v>-139850.83441777778</v>
      </c>
    </row>
    <row r="8" spans="1:49" outlineLevel="1">
      <c r="A8" s="114"/>
      <c r="B8" s="115">
        <v>445336740</v>
      </c>
      <c r="C8" s="115" t="s">
        <v>98</v>
      </c>
      <c r="D8" s="116" t="s">
        <v>93</v>
      </c>
      <c r="E8" s="117">
        <f t="shared" si="0"/>
        <v>113</v>
      </c>
      <c r="F8" s="117">
        <v>12</v>
      </c>
      <c r="G8" s="117">
        <v>1</v>
      </c>
      <c r="H8" s="117">
        <v>100</v>
      </c>
      <c r="I8" s="117">
        <v>123.09</v>
      </c>
      <c r="J8" s="117">
        <f t="shared" si="1"/>
        <v>13909.17</v>
      </c>
      <c r="K8" s="114">
        <v>46</v>
      </c>
      <c r="L8" s="114">
        <v>15</v>
      </c>
      <c r="M8" s="114">
        <v>1212</v>
      </c>
      <c r="N8" s="114">
        <v>83</v>
      </c>
      <c r="O8" s="213">
        <f t="shared" si="2"/>
        <v>2.1428571428571428</v>
      </c>
      <c r="P8" s="117">
        <f t="shared" si="22"/>
        <v>1.4285714285714286</v>
      </c>
      <c r="Q8" s="118">
        <v>10</v>
      </c>
      <c r="R8" s="118">
        <v>0</v>
      </c>
      <c r="S8" s="117">
        <f t="shared" si="14"/>
        <v>10</v>
      </c>
      <c r="T8" s="118">
        <v>9131.880000000001</v>
      </c>
      <c r="U8" s="118">
        <v>0</v>
      </c>
      <c r="V8" s="117">
        <f t="shared" si="15"/>
        <v>9131.880000000001</v>
      </c>
      <c r="W8" s="118">
        <v>12077.67</v>
      </c>
      <c r="X8" s="118">
        <v>0</v>
      </c>
      <c r="Y8" s="117">
        <f t="shared" si="4"/>
        <v>12077.67</v>
      </c>
      <c r="Z8" s="117">
        <f t="shared" si="16"/>
        <v>15089.4</v>
      </c>
      <c r="AA8" s="119">
        <f t="shared" si="5"/>
        <v>0.21222526857035018</v>
      </c>
      <c r="AB8" s="117">
        <f t="shared" si="17"/>
        <v>1230.9000000000001</v>
      </c>
      <c r="AC8" s="118">
        <v>4334.4900000000007</v>
      </c>
      <c r="AD8" s="119">
        <f t="shared" si="6"/>
        <v>0.35888461930157062</v>
      </c>
      <c r="AE8" s="118">
        <v>822.79999999999984</v>
      </c>
      <c r="AF8" s="118">
        <v>37</v>
      </c>
      <c r="AG8" s="118"/>
      <c r="AH8" s="118">
        <v>0</v>
      </c>
      <c r="AI8" s="152">
        <f t="shared" si="7"/>
        <v>63.955111111111108</v>
      </c>
      <c r="AJ8" s="118">
        <v>0</v>
      </c>
      <c r="AK8" s="120">
        <f t="shared" si="18"/>
        <v>91.31880000000001</v>
      </c>
      <c r="AL8" s="121">
        <f t="shared" si="19"/>
        <v>5497.2060888888882</v>
      </c>
      <c r="AM8" s="122"/>
      <c r="AN8" s="123">
        <f t="shared" si="8"/>
        <v>1207.7670000000001</v>
      </c>
      <c r="AO8" s="124">
        <f t="shared" si="9"/>
        <v>123.09</v>
      </c>
      <c r="AP8" s="124">
        <f t="shared" si="10"/>
        <v>433.44900000000007</v>
      </c>
      <c r="AQ8" s="124">
        <f t="shared" si="20"/>
        <v>82.279999999999987</v>
      </c>
      <c r="AR8" s="124">
        <f t="shared" si="21"/>
        <v>3.7</v>
      </c>
      <c r="AS8" s="124">
        <f t="array" ref="AS8">_xlfn.IFS(S8=0,AL8,S8&lt;0,AL8/-S8,S8&gt;0,AL8/S8)</f>
        <v>549.72060888888882</v>
      </c>
      <c r="AT8" s="119">
        <f t="shared" si="23"/>
        <v>0.45515451977814331</v>
      </c>
      <c r="AU8" s="119">
        <f t="shared" si="24"/>
        <v>4.4660054341448436</v>
      </c>
      <c r="AV8" s="125"/>
      <c r="AW8" s="120">
        <f t="shared" si="13"/>
        <v>62118.42880444444</v>
      </c>
    </row>
    <row r="9" spans="1:49" outlineLevel="1">
      <c r="A9" s="114"/>
      <c r="B9" s="115">
        <v>445341507</v>
      </c>
      <c r="C9" s="115" t="s">
        <v>99</v>
      </c>
      <c r="D9" s="116" t="s">
        <v>93</v>
      </c>
      <c r="E9" s="117">
        <f t="shared" si="0"/>
        <v>259</v>
      </c>
      <c r="F9" s="117">
        <v>8</v>
      </c>
      <c r="G9" s="117">
        <v>3</v>
      </c>
      <c r="H9" s="117">
        <v>248</v>
      </c>
      <c r="I9" s="117">
        <v>169.89</v>
      </c>
      <c r="J9" s="117">
        <f t="shared" si="1"/>
        <v>44001.509999999995</v>
      </c>
      <c r="K9" s="114">
        <v>290</v>
      </c>
      <c r="L9" s="114">
        <v>21</v>
      </c>
      <c r="M9" s="114">
        <v>1174</v>
      </c>
      <c r="N9" s="114">
        <v>62</v>
      </c>
      <c r="O9" s="213">
        <f t="shared" si="2"/>
        <v>3</v>
      </c>
      <c r="P9" s="117">
        <f t="shared" si="22"/>
        <v>1.2857142857142858</v>
      </c>
      <c r="Q9" s="118">
        <v>10</v>
      </c>
      <c r="R9" s="118">
        <v>-1</v>
      </c>
      <c r="S9" s="117">
        <f t="shared" si="14"/>
        <v>9</v>
      </c>
      <c r="T9" s="118">
        <v>8390</v>
      </c>
      <c r="U9" s="118">
        <v>-831</v>
      </c>
      <c r="V9" s="117">
        <f t="shared" si="15"/>
        <v>7559</v>
      </c>
      <c r="W9" s="118">
        <v>11740</v>
      </c>
      <c r="X9" s="118">
        <v>-1174</v>
      </c>
      <c r="Y9" s="117">
        <f t="shared" si="4"/>
        <v>10566</v>
      </c>
      <c r="Z9" s="117">
        <f t="shared" si="16"/>
        <v>15285.48</v>
      </c>
      <c r="AA9" s="119">
        <f t="shared" si="5"/>
        <v>0.18566264749031228</v>
      </c>
      <c r="AB9" s="117">
        <f t="shared" si="17"/>
        <v>1529.0099999999998</v>
      </c>
      <c r="AC9" s="118">
        <v>3809.19</v>
      </c>
      <c r="AD9" s="119">
        <f t="shared" si="6"/>
        <v>0.36051391254968768</v>
      </c>
      <c r="AE9" s="118">
        <v>1720.8500000000001</v>
      </c>
      <c r="AF9" s="118">
        <v>1849</v>
      </c>
      <c r="AG9" s="118">
        <v>609</v>
      </c>
      <c r="AH9" s="118">
        <v>0</v>
      </c>
      <c r="AI9" s="152">
        <f t="shared" si="7"/>
        <v>158.60867555555555</v>
      </c>
      <c r="AJ9" s="118">
        <v>0</v>
      </c>
      <c r="AK9" s="120">
        <f t="shared" si="18"/>
        <v>75.59</v>
      </c>
      <c r="AL9" s="121">
        <f t="shared" si="19"/>
        <v>814.7513244444433</v>
      </c>
      <c r="AM9" s="122"/>
      <c r="AN9" s="123">
        <f t="shared" si="8"/>
        <v>1174</v>
      </c>
      <c r="AO9" s="124">
        <f t="shared" si="9"/>
        <v>169.89</v>
      </c>
      <c r="AP9" s="124">
        <f t="shared" si="10"/>
        <v>423.24333333333334</v>
      </c>
      <c r="AQ9" s="124">
        <f t="shared" si="20"/>
        <v>172.08500000000001</v>
      </c>
      <c r="AR9" s="124">
        <f t="shared" si="21"/>
        <v>245.8</v>
      </c>
      <c r="AS9" s="124">
        <f t="array" ref="AS9">_xlfn.IFS(S9=0,AL9,S9&lt;0,AL9/-S9,S9&gt;0,AL9/S9)</f>
        <v>90.527924938271482</v>
      </c>
      <c r="AT9" s="119">
        <f t="shared" si="23"/>
        <v>7.7110668601594101E-2</v>
      </c>
      <c r="AU9" s="119">
        <f t="shared" si="24"/>
        <v>0.53286199857714689</v>
      </c>
      <c r="AV9" s="125"/>
      <c r="AW9" s="120">
        <f t="shared" si="13"/>
        <v>23446.732559012315</v>
      </c>
    </row>
    <row r="10" spans="1:49" outlineLevel="1">
      <c r="A10" s="114"/>
      <c r="B10" s="115">
        <v>497825485</v>
      </c>
      <c r="C10" s="115" t="s">
        <v>100</v>
      </c>
      <c r="D10" s="116" t="s">
        <v>93</v>
      </c>
      <c r="E10" s="117">
        <f t="shared" si="0"/>
        <v>41</v>
      </c>
      <c r="F10" s="117">
        <v>2</v>
      </c>
      <c r="G10" s="117" t="s">
        <v>145</v>
      </c>
      <c r="H10" s="117">
        <v>39</v>
      </c>
      <c r="I10" s="117">
        <v>169.89</v>
      </c>
      <c r="J10" s="117">
        <f t="shared" si="1"/>
        <v>6965.49</v>
      </c>
      <c r="K10" s="114">
        <v>406</v>
      </c>
      <c r="L10" s="114">
        <v>2</v>
      </c>
      <c r="M10" s="114">
        <v>1199</v>
      </c>
      <c r="N10" s="114">
        <v>0</v>
      </c>
      <c r="O10" s="213">
        <f t="shared" si="2"/>
        <v>0.2857142857142857</v>
      </c>
      <c r="P10" s="117">
        <f t="shared" si="22"/>
        <v>0</v>
      </c>
      <c r="Q10" s="118">
        <v>0</v>
      </c>
      <c r="R10" s="118">
        <v>0</v>
      </c>
      <c r="S10" s="117">
        <f t="shared" si="14"/>
        <v>0</v>
      </c>
      <c r="T10" s="118">
        <v>0</v>
      </c>
      <c r="U10" s="118">
        <v>0</v>
      </c>
      <c r="V10" s="117">
        <f t="shared" si="15"/>
        <v>0</v>
      </c>
      <c r="W10" s="118">
        <v>0</v>
      </c>
      <c r="X10" s="118">
        <v>0</v>
      </c>
      <c r="Y10" s="117">
        <f t="shared" si="4"/>
        <v>0</v>
      </c>
      <c r="Z10" s="117">
        <f t="shared" si="16"/>
        <v>0</v>
      </c>
      <c r="AA10" s="119">
        <f t="shared" si="5"/>
        <v>0</v>
      </c>
      <c r="AB10" s="117">
        <f t="shared" si="17"/>
        <v>0</v>
      </c>
      <c r="AC10" s="118">
        <v>0</v>
      </c>
      <c r="AD10" s="119">
        <f t="shared" si="6"/>
        <v>0</v>
      </c>
      <c r="AE10" s="118">
        <v>96.4</v>
      </c>
      <c r="AF10" s="118"/>
      <c r="AG10" s="118"/>
      <c r="AH10" s="118">
        <v>0</v>
      </c>
      <c r="AI10" s="152">
        <f t="shared" si="7"/>
        <v>24.942493333333335</v>
      </c>
      <c r="AJ10" s="118">
        <v>0</v>
      </c>
      <c r="AK10" s="120">
        <f t="shared" si="18"/>
        <v>0</v>
      </c>
      <c r="AL10" s="121">
        <f t="shared" si="19"/>
        <v>-121.34249333333334</v>
      </c>
      <c r="AM10" s="122"/>
      <c r="AN10" s="123">
        <f t="shared" si="8"/>
        <v>0</v>
      </c>
      <c r="AO10" s="124">
        <f t="shared" si="9"/>
        <v>169.89</v>
      </c>
      <c r="AP10" s="124">
        <f t="shared" si="10"/>
        <v>0</v>
      </c>
      <c r="AQ10" s="124">
        <f t="shared" si="20"/>
        <v>96.4</v>
      </c>
      <c r="AR10" s="124">
        <f t="shared" si="21"/>
        <v>0</v>
      </c>
      <c r="AS10" s="124">
        <f t="array" ref="AS10">_xlfn.IFS(S10=0,AL10,S10&lt;0,AL10/-S10,S10&gt;0,AL10/S10)</f>
        <v>-121.34249333333334</v>
      </c>
      <c r="AT10" s="119">
        <f t="shared" si="23"/>
        <v>0</v>
      </c>
      <c r="AU10" s="119">
        <f t="shared" si="24"/>
        <v>-0.71424152883238179</v>
      </c>
      <c r="AV10" s="125"/>
      <c r="AW10" s="120">
        <f t="shared" si="13"/>
        <v>-4975.0422266666665</v>
      </c>
    </row>
    <row r="11" spans="1:49" outlineLevel="1">
      <c r="A11" s="114"/>
      <c r="B11" s="115">
        <v>497825962</v>
      </c>
      <c r="C11" s="115" t="s">
        <v>101</v>
      </c>
      <c r="D11" s="116" t="s">
        <v>93</v>
      </c>
      <c r="E11" s="117">
        <f t="shared" si="0"/>
        <v>41</v>
      </c>
      <c r="F11" s="117">
        <v>2</v>
      </c>
      <c r="G11" s="117" t="s">
        <v>145</v>
      </c>
      <c r="H11" s="117">
        <v>39</v>
      </c>
      <c r="I11" s="117">
        <v>169.89</v>
      </c>
      <c r="J11" s="117">
        <f t="shared" si="1"/>
        <v>6965.49</v>
      </c>
      <c r="K11" s="114">
        <v>609</v>
      </c>
      <c r="L11" s="114">
        <v>2</v>
      </c>
      <c r="M11" s="114">
        <v>1145</v>
      </c>
      <c r="N11" s="114">
        <v>0</v>
      </c>
      <c r="O11" s="213">
        <f t="shared" si="2"/>
        <v>0.2857142857142857</v>
      </c>
      <c r="P11" s="117">
        <f t="shared" si="22"/>
        <v>0</v>
      </c>
      <c r="Q11" s="118">
        <v>0</v>
      </c>
      <c r="R11" s="118">
        <v>0</v>
      </c>
      <c r="S11" s="117">
        <f t="shared" si="14"/>
        <v>0</v>
      </c>
      <c r="T11" s="118">
        <v>0</v>
      </c>
      <c r="U11" s="118">
        <v>0</v>
      </c>
      <c r="V11" s="117">
        <f t="shared" si="15"/>
        <v>0</v>
      </c>
      <c r="W11" s="118">
        <v>0</v>
      </c>
      <c r="X11" s="118">
        <v>0</v>
      </c>
      <c r="Y11" s="117">
        <f t="shared" si="4"/>
        <v>0</v>
      </c>
      <c r="Z11" s="117">
        <f t="shared" si="16"/>
        <v>0</v>
      </c>
      <c r="AA11" s="119">
        <f t="shared" si="5"/>
        <v>0</v>
      </c>
      <c r="AB11" s="117">
        <f t="shared" si="17"/>
        <v>0</v>
      </c>
      <c r="AC11" s="118">
        <v>0</v>
      </c>
      <c r="AD11" s="119">
        <f t="shared" si="6"/>
        <v>0</v>
      </c>
      <c r="AE11" s="118">
        <v>0</v>
      </c>
      <c r="AF11" s="118"/>
      <c r="AG11" s="118"/>
      <c r="AH11" s="118">
        <v>0</v>
      </c>
      <c r="AI11" s="152">
        <f t="shared" si="7"/>
        <v>24.942493333333335</v>
      </c>
      <c r="AJ11" s="118">
        <v>0</v>
      </c>
      <c r="AK11" s="120">
        <f t="shared" si="18"/>
        <v>0</v>
      </c>
      <c r="AL11" s="121">
        <f t="shared" si="19"/>
        <v>-24.942493333333335</v>
      </c>
      <c r="AM11" s="122"/>
      <c r="AN11" s="123">
        <f t="shared" si="8"/>
        <v>0</v>
      </c>
      <c r="AO11" s="124">
        <f t="shared" si="9"/>
        <v>169.89</v>
      </c>
      <c r="AP11" s="124">
        <f t="shared" si="10"/>
        <v>0</v>
      </c>
      <c r="AQ11" s="124">
        <f t="shared" si="20"/>
        <v>0</v>
      </c>
      <c r="AR11" s="124">
        <f t="shared" si="21"/>
        <v>0</v>
      </c>
      <c r="AS11" s="124">
        <f t="array" ref="AS11">_xlfn.IFS(S11=0,AL11,S11&lt;0,AL11/-S11,S11&gt;0,AL11/S11)</f>
        <v>-24.942493333333335</v>
      </c>
      <c r="AT11" s="119">
        <f t="shared" si="23"/>
        <v>0</v>
      </c>
      <c r="AU11" s="119">
        <f t="shared" si="24"/>
        <v>-0.1468155473149293</v>
      </c>
      <c r="AV11" s="125"/>
      <c r="AW11" s="120">
        <f t="shared" si="13"/>
        <v>-1022.6422266666667</v>
      </c>
    </row>
    <row r="12" spans="1:49" outlineLevel="1">
      <c r="A12" s="114"/>
      <c r="B12" s="115">
        <v>497821775</v>
      </c>
      <c r="C12" s="115" t="s">
        <v>102</v>
      </c>
      <c r="D12" s="116" t="s">
        <v>93</v>
      </c>
      <c r="E12" s="117">
        <f t="shared" si="0"/>
        <v>46</v>
      </c>
      <c r="F12" s="117">
        <v>4</v>
      </c>
      <c r="G12" s="117" t="s">
        <v>145</v>
      </c>
      <c r="H12" s="117">
        <v>42</v>
      </c>
      <c r="I12" s="117">
        <v>169.89</v>
      </c>
      <c r="J12" s="117">
        <f t="shared" si="1"/>
        <v>7814.94</v>
      </c>
      <c r="K12" s="114">
        <v>270</v>
      </c>
      <c r="L12" s="114">
        <v>3</v>
      </c>
      <c r="M12" s="114">
        <v>1166</v>
      </c>
      <c r="N12" s="114">
        <v>0</v>
      </c>
      <c r="O12" s="213">
        <f t="shared" si="2"/>
        <v>0.42857142857142855</v>
      </c>
      <c r="P12" s="117">
        <f t="shared" si="22"/>
        <v>0.14285714285714285</v>
      </c>
      <c r="Q12" s="118">
        <v>1</v>
      </c>
      <c r="R12" s="118">
        <v>0</v>
      </c>
      <c r="S12" s="117">
        <f t="shared" si="14"/>
        <v>1</v>
      </c>
      <c r="T12" s="118">
        <v>959</v>
      </c>
      <c r="U12" s="118">
        <v>0</v>
      </c>
      <c r="V12" s="117">
        <f t="shared" si="15"/>
        <v>959</v>
      </c>
      <c r="W12" s="118">
        <v>1166</v>
      </c>
      <c r="X12" s="118">
        <v>0</v>
      </c>
      <c r="Y12" s="117">
        <f t="shared" si="4"/>
        <v>1166</v>
      </c>
      <c r="Z12" s="117">
        <f t="shared" si="16"/>
        <v>0</v>
      </c>
      <c r="AA12" s="119">
        <f t="shared" si="5"/>
        <v>2.0488609405044874E-2</v>
      </c>
      <c r="AB12" s="117">
        <f t="shared" si="17"/>
        <v>169.89</v>
      </c>
      <c r="AC12" s="118">
        <v>422.9</v>
      </c>
      <c r="AD12" s="119">
        <f t="shared" si="6"/>
        <v>0.3626929674099485</v>
      </c>
      <c r="AE12" s="118">
        <v>163.1</v>
      </c>
      <c r="AF12" s="118"/>
      <c r="AG12" s="118"/>
      <c r="AH12" s="118">
        <v>0</v>
      </c>
      <c r="AI12" s="152">
        <f t="shared" si="7"/>
        <v>26.861146666666667</v>
      </c>
      <c r="AJ12" s="118">
        <v>0</v>
      </c>
      <c r="AK12" s="120">
        <f t="shared" si="18"/>
        <v>9.59</v>
      </c>
      <c r="AL12" s="121">
        <f t="shared" si="19"/>
        <v>373.65885333333335</v>
      </c>
      <c r="AM12" s="122"/>
      <c r="AN12" s="123">
        <f t="shared" si="8"/>
        <v>1166</v>
      </c>
      <c r="AO12" s="124">
        <f t="shared" si="9"/>
        <v>169.89</v>
      </c>
      <c r="AP12" s="124">
        <f t="shared" si="10"/>
        <v>422.9</v>
      </c>
      <c r="AQ12" s="124">
        <f t="shared" si="20"/>
        <v>163.1</v>
      </c>
      <c r="AR12" s="124">
        <f t="shared" si="21"/>
        <v>0</v>
      </c>
      <c r="AS12" s="124">
        <f t="array" ref="AS12">_xlfn.IFS(S12=0,AL12,S12&lt;0,AL12/-S12,S12&gt;0,AL12/S12)</f>
        <v>373.65885333333335</v>
      </c>
      <c r="AT12" s="119">
        <f t="shared" si="23"/>
        <v>0.32046213836477988</v>
      </c>
      <c r="AU12" s="119">
        <f t="shared" si="24"/>
        <v>2.1994164066945281</v>
      </c>
      <c r="AV12" s="125"/>
      <c r="AW12" s="120">
        <f t="shared" si="13"/>
        <v>17188.307253333332</v>
      </c>
    </row>
    <row r="13" spans="1:49" outlineLevel="1">
      <c r="A13" s="114"/>
      <c r="B13" s="115">
        <v>497823770</v>
      </c>
      <c r="C13" s="115" t="s">
        <v>103</v>
      </c>
      <c r="D13" s="116" t="s">
        <v>93</v>
      </c>
      <c r="E13" s="117">
        <f t="shared" si="0"/>
        <v>9</v>
      </c>
      <c r="F13" s="117">
        <v>1</v>
      </c>
      <c r="G13" s="117" t="s">
        <v>145</v>
      </c>
      <c r="H13" s="117">
        <v>8</v>
      </c>
      <c r="I13" s="117">
        <v>169.89</v>
      </c>
      <c r="J13" s="117">
        <f t="shared" si="1"/>
        <v>1529.0099999999998</v>
      </c>
      <c r="K13" s="114">
        <v>74</v>
      </c>
      <c r="L13" s="114">
        <v>2</v>
      </c>
      <c r="M13" s="114">
        <v>1166</v>
      </c>
      <c r="N13" s="114">
        <v>100</v>
      </c>
      <c r="O13" s="213">
        <f t="shared" si="2"/>
        <v>0.2857142857142857</v>
      </c>
      <c r="P13" s="117">
        <f t="shared" si="22"/>
        <v>0.14285714285714285</v>
      </c>
      <c r="Q13" s="118">
        <v>1</v>
      </c>
      <c r="R13" s="118">
        <v>0</v>
      </c>
      <c r="S13" s="117">
        <f t="shared" si="14"/>
        <v>1</v>
      </c>
      <c r="T13" s="118">
        <v>850</v>
      </c>
      <c r="U13" s="118">
        <v>0</v>
      </c>
      <c r="V13" s="117">
        <f t="shared" si="15"/>
        <v>850</v>
      </c>
      <c r="W13" s="118">
        <v>1166</v>
      </c>
      <c r="X13" s="118">
        <v>0</v>
      </c>
      <c r="Y13" s="117">
        <f t="shared" si="4"/>
        <v>1166</v>
      </c>
      <c r="Z13" s="117">
        <f t="shared" si="16"/>
        <v>2332</v>
      </c>
      <c r="AA13" s="119">
        <f t="shared" si="5"/>
        <v>2.0488609405044874E-2</v>
      </c>
      <c r="AB13" s="117">
        <f t="shared" si="17"/>
        <v>169.89</v>
      </c>
      <c r="AC13" s="118">
        <v>420.54999999999995</v>
      </c>
      <c r="AD13" s="119">
        <f t="shared" si="6"/>
        <v>0.36067753001715264</v>
      </c>
      <c r="AE13" s="118">
        <v>269.64999999999998</v>
      </c>
      <c r="AF13" s="118"/>
      <c r="AG13" s="118"/>
      <c r="AH13" s="118">
        <v>0</v>
      </c>
      <c r="AI13" s="152">
        <f t="shared" si="7"/>
        <v>5.1164088888888886</v>
      </c>
      <c r="AJ13" s="118">
        <v>0</v>
      </c>
      <c r="AK13" s="120">
        <f t="shared" si="18"/>
        <v>8.5</v>
      </c>
      <c r="AL13" s="121">
        <f t="shared" si="19"/>
        <v>292.2935911111112</v>
      </c>
      <c r="AM13" s="122"/>
      <c r="AN13" s="123">
        <f t="shared" si="8"/>
        <v>1166</v>
      </c>
      <c r="AO13" s="124">
        <f t="shared" si="9"/>
        <v>169.89</v>
      </c>
      <c r="AP13" s="124">
        <f t="shared" si="10"/>
        <v>420.54999999999995</v>
      </c>
      <c r="AQ13" s="124">
        <f t="shared" si="20"/>
        <v>269.64999999999998</v>
      </c>
      <c r="AR13" s="124">
        <f t="shared" si="21"/>
        <v>0</v>
      </c>
      <c r="AS13" s="124">
        <f t="array" ref="AS13">_xlfn.IFS(S13=0,AL13,S13&lt;0,AL13/-S13,S13&gt;0,AL13/S13)</f>
        <v>292.2935911111112</v>
      </c>
      <c r="AT13" s="119">
        <f t="shared" si="23"/>
        <v>0.25068060987230806</v>
      </c>
      <c r="AU13" s="119">
        <f t="shared" si="24"/>
        <v>1.720487321861859</v>
      </c>
      <c r="AV13" s="125"/>
      <c r="AW13" s="120">
        <f t="shared" si="13"/>
        <v>2630.6423200000008</v>
      </c>
    </row>
    <row r="14" spans="1:49" outlineLevel="1">
      <c r="A14" s="114"/>
      <c r="B14" s="115">
        <v>497824253</v>
      </c>
      <c r="C14" s="115" t="s">
        <v>104</v>
      </c>
      <c r="D14" s="116" t="s">
        <v>93</v>
      </c>
      <c r="E14" s="117">
        <f t="shared" si="0"/>
        <v>61</v>
      </c>
      <c r="F14" s="117">
        <v>2</v>
      </c>
      <c r="G14" s="117" t="s">
        <v>145</v>
      </c>
      <c r="H14" s="117">
        <v>59</v>
      </c>
      <c r="I14" s="117">
        <v>169.89</v>
      </c>
      <c r="J14" s="117">
        <f t="shared" si="1"/>
        <v>10363.289999999999</v>
      </c>
      <c r="K14" s="114">
        <v>265</v>
      </c>
      <c r="L14" s="114">
        <v>2</v>
      </c>
      <c r="M14" s="114">
        <v>1232</v>
      </c>
      <c r="N14" s="114">
        <v>0</v>
      </c>
      <c r="O14" s="213">
        <f t="shared" si="2"/>
        <v>0.2857142857142857</v>
      </c>
      <c r="P14" s="117">
        <f t="shared" si="22"/>
        <v>0</v>
      </c>
      <c r="Q14" s="118">
        <v>0</v>
      </c>
      <c r="R14" s="118">
        <v>0</v>
      </c>
      <c r="S14" s="117">
        <f t="shared" si="14"/>
        <v>0</v>
      </c>
      <c r="T14" s="118">
        <v>0</v>
      </c>
      <c r="U14" s="118">
        <v>0</v>
      </c>
      <c r="V14" s="117">
        <f t="shared" si="15"/>
        <v>0</v>
      </c>
      <c r="W14" s="118">
        <v>0</v>
      </c>
      <c r="X14" s="118">
        <v>0</v>
      </c>
      <c r="Y14" s="117">
        <f t="shared" si="4"/>
        <v>0</v>
      </c>
      <c r="Z14" s="117">
        <f t="shared" si="16"/>
        <v>0</v>
      </c>
      <c r="AA14" s="119">
        <f t="shared" si="5"/>
        <v>0</v>
      </c>
      <c r="AB14" s="117">
        <f t="shared" si="17"/>
        <v>0</v>
      </c>
      <c r="AC14" s="118">
        <v>0</v>
      </c>
      <c r="AD14" s="119">
        <f t="shared" si="6"/>
        <v>0</v>
      </c>
      <c r="AE14" s="118">
        <v>0</v>
      </c>
      <c r="AF14" s="118"/>
      <c r="AG14" s="118"/>
      <c r="AH14" s="118">
        <v>0</v>
      </c>
      <c r="AI14" s="152">
        <f t="shared" si="7"/>
        <v>37.733515555555556</v>
      </c>
      <c r="AJ14" s="118">
        <v>0</v>
      </c>
      <c r="AK14" s="120">
        <f t="shared" si="18"/>
        <v>0</v>
      </c>
      <c r="AL14" s="121">
        <f t="shared" si="19"/>
        <v>-37.733515555555556</v>
      </c>
      <c r="AM14" s="122"/>
      <c r="AN14" s="123">
        <f t="shared" si="8"/>
        <v>0</v>
      </c>
      <c r="AO14" s="124">
        <f t="shared" si="9"/>
        <v>169.89</v>
      </c>
      <c r="AP14" s="124">
        <f t="shared" si="10"/>
        <v>0</v>
      </c>
      <c r="AQ14" s="124">
        <f t="shared" si="20"/>
        <v>0</v>
      </c>
      <c r="AR14" s="124">
        <f t="shared" si="21"/>
        <v>0</v>
      </c>
      <c r="AS14" s="124">
        <f t="array" ref="AS14">_xlfn.IFS(S14=0,AL14,S14&lt;0,AL14/-S14,S14&gt;0,AL14/S14)</f>
        <v>-37.733515555555556</v>
      </c>
      <c r="AT14" s="119">
        <f t="shared" si="23"/>
        <v>0</v>
      </c>
      <c r="AU14" s="119">
        <f t="shared" si="24"/>
        <v>-0.22210557157899558</v>
      </c>
      <c r="AV14" s="125"/>
      <c r="AW14" s="120">
        <f t="shared" si="13"/>
        <v>-2301.7444488888891</v>
      </c>
    </row>
    <row r="15" spans="1:49" outlineLevel="1">
      <c r="A15" s="114"/>
      <c r="B15" s="115">
        <v>497824944</v>
      </c>
      <c r="C15" s="115" t="s">
        <v>105</v>
      </c>
      <c r="D15" s="116" t="s">
        <v>93</v>
      </c>
      <c r="E15" s="117">
        <f t="shared" si="0"/>
        <v>34</v>
      </c>
      <c r="F15" s="117" t="s">
        <v>145</v>
      </c>
      <c r="G15" s="117" t="s">
        <v>145</v>
      </c>
      <c r="H15" s="117">
        <v>34</v>
      </c>
      <c r="I15" s="117">
        <v>169.89</v>
      </c>
      <c r="J15" s="117">
        <f t="shared" si="1"/>
        <v>5776.2599999999993</v>
      </c>
      <c r="K15" s="114">
        <v>531</v>
      </c>
      <c r="L15" s="114">
        <v>0</v>
      </c>
      <c r="M15" s="114">
        <v>0</v>
      </c>
      <c r="N15" s="114">
        <v>0</v>
      </c>
      <c r="O15" s="213">
        <f t="shared" si="2"/>
        <v>0</v>
      </c>
      <c r="P15" s="117">
        <f t="shared" si="22"/>
        <v>0.14285714285714285</v>
      </c>
      <c r="Q15" s="118">
        <v>1</v>
      </c>
      <c r="R15" s="118">
        <v>0</v>
      </c>
      <c r="S15" s="117">
        <f t="shared" si="14"/>
        <v>1</v>
      </c>
      <c r="T15" s="118">
        <v>965</v>
      </c>
      <c r="U15" s="118">
        <v>0</v>
      </c>
      <c r="V15" s="117">
        <f t="shared" si="15"/>
        <v>965</v>
      </c>
      <c r="W15" s="118">
        <v>1232</v>
      </c>
      <c r="X15" s="118">
        <v>0</v>
      </c>
      <c r="Y15" s="117">
        <f t="shared" si="4"/>
        <v>1232</v>
      </c>
      <c r="Z15" s="117">
        <f t="shared" si="16"/>
        <v>0</v>
      </c>
      <c r="AA15" s="119">
        <f t="shared" si="5"/>
        <v>2.1648342012877603E-2</v>
      </c>
      <c r="AB15" s="117">
        <f t="shared" si="17"/>
        <v>169.89</v>
      </c>
      <c r="AC15" s="118">
        <v>445.78999999999996</v>
      </c>
      <c r="AD15" s="119">
        <f t="shared" si="6"/>
        <v>0.36184253246753245</v>
      </c>
      <c r="AE15" s="118">
        <v>34.799999999999997</v>
      </c>
      <c r="AF15" s="118"/>
      <c r="AG15" s="118"/>
      <c r="AH15" s="118">
        <v>0</v>
      </c>
      <c r="AI15" s="152">
        <f t="shared" si="7"/>
        <v>21.744737777777779</v>
      </c>
      <c r="AJ15" s="118">
        <v>0</v>
      </c>
      <c r="AK15" s="120">
        <f t="shared" si="18"/>
        <v>9.65</v>
      </c>
      <c r="AL15" s="121">
        <f t="shared" si="19"/>
        <v>550.12526222222243</v>
      </c>
      <c r="AM15" s="122"/>
      <c r="AN15" s="123">
        <f t="shared" si="8"/>
        <v>1232</v>
      </c>
      <c r="AO15" s="124">
        <f t="shared" si="9"/>
        <v>169.89</v>
      </c>
      <c r="AP15" s="124">
        <f t="shared" si="10"/>
        <v>445.78999999999996</v>
      </c>
      <c r="AQ15" s="124">
        <f t="shared" si="20"/>
        <v>34.799999999999997</v>
      </c>
      <c r="AR15" s="124">
        <f t="shared" si="21"/>
        <v>0</v>
      </c>
      <c r="AS15" s="124">
        <f t="array" ref="AS15">_xlfn.IFS(S15=0,AL15,S15&lt;0,AL15/-S15,S15&gt;0,AL15/S15)</f>
        <v>550.12526222222243</v>
      </c>
      <c r="AT15" s="119">
        <f t="shared" si="23"/>
        <v>0.44653024531024549</v>
      </c>
      <c r="AU15" s="119">
        <f t="shared" si="24"/>
        <v>3.2381262123857937</v>
      </c>
      <c r="AV15" s="125"/>
      <c r="AW15" s="120">
        <f t="shared" si="13"/>
        <v>18704.258915555562</v>
      </c>
    </row>
    <row r="16" spans="1:49" s="140" customFormat="1" outlineLevel="1">
      <c r="A16" s="127"/>
      <c r="B16" s="128"/>
      <c r="C16" s="129"/>
      <c r="D16" s="130"/>
      <c r="E16" s="131"/>
      <c r="F16" s="131"/>
      <c r="G16" s="131"/>
      <c r="H16" s="131"/>
      <c r="I16" s="131"/>
      <c r="J16" s="131"/>
      <c r="K16" s="129"/>
      <c r="L16" s="129"/>
      <c r="M16" s="129"/>
      <c r="N16" s="129"/>
      <c r="O16" s="131"/>
      <c r="P16" s="131"/>
      <c r="Q16" s="132"/>
      <c r="R16" s="132"/>
      <c r="S16" s="131"/>
      <c r="T16" s="118"/>
      <c r="U16" s="118"/>
      <c r="V16" s="131"/>
      <c r="W16" s="132"/>
      <c r="X16" s="132"/>
      <c r="Y16" s="131"/>
      <c r="Z16" s="131"/>
      <c r="AA16" s="133"/>
      <c r="AB16" s="131"/>
      <c r="AC16" s="132"/>
      <c r="AD16" s="133"/>
      <c r="AE16" s="132"/>
      <c r="AF16" s="132"/>
      <c r="AG16" s="132"/>
      <c r="AH16" s="132"/>
      <c r="AI16" s="134"/>
      <c r="AJ16" s="132"/>
      <c r="AK16" s="135"/>
      <c r="AL16" s="136"/>
      <c r="AM16" s="137"/>
      <c r="AN16" s="138">
        <f t="shared" ref="AN16:AU16" si="25">AVERAGE(AN3:AN6)</f>
        <v>603.5</v>
      </c>
      <c r="AO16" s="138">
        <f t="shared" si="25"/>
        <v>128.0625</v>
      </c>
      <c r="AP16" s="138">
        <f t="shared" si="25"/>
        <v>218.50681547619047</v>
      </c>
      <c r="AQ16" s="138">
        <f t="shared" si="25"/>
        <v>54.726136363636371</v>
      </c>
      <c r="AR16" s="138">
        <f t="shared" si="25"/>
        <v>57.00568181818182</v>
      </c>
      <c r="AS16" s="138">
        <f t="shared" si="25"/>
        <v>11.961243518518543</v>
      </c>
      <c r="AT16" s="139">
        <f t="shared" si="25"/>
        <v>0.15143002648936976</v>
      </c>
      <c r="AU16" s="138">
        <f t="shared" si="25"/>
        <v>2.0784006313601333E-2</v>
      </c>
      <c r="AV16" s="125"/>
      <c r="AW16" s="135"/>
    </row>
    <row r="17" spans="1:49" s="148" customFormat="1">
      <c r="A17" s="141" t="s">
        <v>106</v>
      </c>
      <c r="B17" s="142"/>
      <c r="C17" s="143"/>
      <c r="D17" s="143"/>
      <c r="E17" s="143">
        <f t="shared" ref="E17:G17" si="26">SUM(E3:E15)</f>
        <v>2312</v>
      </c>
      <c r="F17" s="143">
        <f t="shared" si="26"/>
        <v>52</v>
      </c>
      <c r="G17" s="143">
        <f t="shared" si="26"/>
        <v>10</v>
      </c>
      <c r="H17" s="143">
        <f>SUM(H3:H15)</f>
        <v>2250</v>
      </c>
      <c r="I17" s="143"/>
      <c r="J17" s="143">
        <f>SUM(J3:J15)</f>
        <v>315658.11</v>
      </c>
      <c r="K17" s="143"/>
      <c r="L17" s="143">
        <f>SUM(L3:L15)</f>
        <v>86</v>
      </c>
      <c r="M17" s="143"/>
      <c r="N17" s="143"/>
      <c r="O17" s="143"/>
      <c r="P17" s="143"/>
      <c r="Q17" s="143">
        <f>SUM(Q3:Q15)</f>
        <v>49</v>
      </c>
      <c r="R17" s="143">
        <f t="shared" ref="R17:Z17" si="27">SUM(R3:R15)</f>
        <v>-2</v>
      </c>
      <c r="S17" s="143">
        <f t="shared" si="27"/>
        <v>47</v>
      </c>
      <c r="T17" s="143">
        <f t="shared" si="27"/>
        <v>44338.880000000005</v>
      </c>
      <c r="U17" s="143">
        <f t="shared" si="27"/>
        <v>-1888</v>
      </c>
      <c r="V17" s="143">
        <f t="shared" si="27"/>
        <v>42450.880000000005</v>
      </c>
      <c r="W17" s="143">
        <f t="shared" si="27"/>
        <v>59321.67</v>
      </c>
      <c r="X17" s="143">
        <f t="shared" si="27"/>
        <v>-2412</v>
      </c>
      <c r="Y17" s="143">
        <f t="shared" si="27"/>
        <v>56909.67</v>
      </c>
      <c r="Z17" s="143">
        <f t="shared" si="27"/>
        <v>69091.199999999997</v>
      </c>
      <c r="AA17" s="144">
        <f>SUM(AA3:AA15)</f>
        <v>0.99999999999999989</v>
      </c>
      <c r="AB17" s="145">
        <f>SUM(AB3:AB15)</f>
        <v>6764.5200000000013</v>
      </c>
      <c r="AC17" s="145">
        <f>SUM(AC3:AC15)</f>
        <v>20543.919999999998</v>
      </c>
      <c r="AD17" s="144">
        <f>AC17/Y17</f>
        <v>0.36099172601071133</v>
      </c>
      <c r="AE17" s="143">
        <f>SUM(AE3:AE15)</f>
        <v>6115.35</v>
      </c>
      <c r="AF17" s="143">
        <f t="shared" ref="AF17:AL17" si="28">SUM(AF3:AF15)</f>
        <v>5916</v>
      </c>
      <c r="AG17" s="143">
        <f t="shared" si="28"/>
        <v>2033</v>
      </c>
      <c r="AH17" s="143">
        <f t="shared" si="28"/>
        <v>0</v>
      </c>
      <c r="AI17" s="143">
        <f>SUM(AI3:AI15)</f>
        <v>1438.9899999999998</v>
      </c>
      <c r="AJ17" s="143">
        <f>SUM(AJ3:AJ15)</f>
        <v>0</v>
      </c>
      <c r="AK17" s="143">
        <f t="shared" si="28"/>
        <v>424.50880000000001</v>
      </c>
      <c r="AL17" s="143">
        <f t="shared" si="28"/>
        <v>13673.3812</v>
      </c>
      <c r="AM17" s="146"/>
      <c r="AN17" s="143"/>
      <c r="AO17" s="143"/>
      <c r="AP17" s="143"/>
      <c r="AQ17" s="143"/>
      <c r="AR17" s="143">
        <f>(AF17+AG17)/Q17</f>
        <v>162.22448979591837</v>
      </c>
      <c r="AS17" s="143"/>
      <c r="AT17" s="143"/>
      <c r="AU17" s="143"/>
      <c r="AV17" s="147"/>
      <c r="AW17" s="143">
        <f>SUM(AW3:AW6)</f>
        <v>39419.539397037079</v>
      </c>
    </row>
    <row r="18" spans="1:49">
      <c r="A18" s="114"/>
      <c r="B18" s="115"/>
      <c r="C18" s="115"/>
      <c r="D18" s="149"/>
      <c r="E18" s="118"/>
      <c r="F18" s="118"/>
      <c r="G18" s="118"/>
      <c r="H18" s="118"/>
      <c r="I18" s="118"/>
      <c r="J18" s="118"/>
      <c r="K18" s="114"/>
      <c r="L18" s="114"/>
      <c r="M18" s="114"/>
      <c r="N18" s="114"/>
      <c r="O18" s="118"/>
      <c r="P18" s="118"/>
      <c r="Q18" s="118"/>
      <c r="R18" s="118"/>
      <c r="S18" s="118"/>
      <c r="T18" s="118"/>
      <c r="U18" s="118"/>
      <c r="V18" s="118"/>
      <c r="W18" s="118"/>
      <c r="X18" s="118"/>
      <c r="Y18" s="118"/>
      <c r="Z18" s="118"/>
      <c r="AA18" s="150"/>
      <c r="AB18" s="118"/>
      <c r="AC18" s="118"/>
      <c r="AD18" s="150"/>
      <c r="AE18" s="118"/>
      <c r="AF18" s="346"/>
      <c r="AG18" s="346"/>
      <c r="AH18" s="151"/>
      <c r="AI18" s="152"/>
      <c r="AJ18" s="118"/>
      <c r="AK18" s="153"/>
      <c r="AL18" s="154"/>
      <c r="AM18" s="122"/>
      <c r="AN18" s="155"/>
      <c r="AO18" s="156"/>
      <c r="AP18" s="156"/>
      <c r="AQ18" s="156"/>
      <c r="AR18" s="156"/>
      <c r="AS18" s="156"/>
      <c r="AT18" s="157"/>
      <c r="AU18" s="157"/>
      <c r="AV18" s="125"/>
      <c r="AW18" s="153"/>
    </row>
    <row r="19" spans="1:49" hidden="1" outlineLevel="1">
      <c r="A19" s="114"/>
      <c r="B19" s="115"/>
      <c r="C19" s="115"/>
      <c r="D19" s="116"/>
      <c r="E19" s="117">
        <f t="shared" ref="E19:E50" si="29">SUM(F19:H19)</f>
        <v>0</v>
      </c>
      <c r="F19" s="117"/>
      <c r="G19" s="117"/>
      <c r="H19" s="117"/>
      <c r="I19" s="117"/>
      <c r="J19" s="117">
        <f t="shared" ref="J19:J50" si="30">E19*I19</f>
        <v>0</v>
      </c>
      <c r="K19" s="114"/>
      <c r="L19" s="114"/>
      <c r="M19" s="114"/>
      <c r="N19" s="114"/>
      <c r="O19" s="117">
        <f t="shared" ref="O19:O70" si="31">L19/7</f>
        <v>0</v>
      </c>
      <c r="P19" s="117">
        <f t="shared" ref="P19:P70" si="32">S19/7</f>
        <v>0</v>
      </c>
      <c r="Q19" s="118"/>
      <c r="R19" s="118"/>
      <c r="S19" s="117">
        <f t="shared" ref="S19:S70" si="33">Q19+R19</f>
        <v>0</v>
      </c>
      <c r="T19" s="117"/>
      <c r="U19" s="117"/>
      <c r="V19" s="117">
        <f t="shared" ref="V19:V70" si="34">T19+U19</f>
        <v>0</v>
      </c>
      <c r="W19" s="118"/>
      <c r="X19" s="118"/>
      <c r="Y19" s="117">
        <f t="shared" ref="Y19:Y70" si="35">W19+X19</f>
        <v>0</v>
      </c>
      <c r="Z19" s="117">
        <f t="shared" ref="Z19:Z65" si="36">L19*M19*N19/100</f>
        <v>0</v>
      </c>
      <c r="AA19" s="119">
        <f>Y19/$Y$74</f>
        <v>0</v>
      </c>
      <c r="AB19" s="117">
        <f t="shared" ref="AB19:AB70" si="37">S19*I19</f>
        <v>0</v>
      </c>
      <c r="AC19" s="118"/>
      <c r="AD19" s="119">
        <f t="shared" ref="AD19:AD70" si="38">IF(Y19=0,0,AC19/Y19)</f>
        <v>0</v>
      </c>
      <c r="AE19" s="118"/>
      <c r="AF19" s="118"/>
      <c r="AG19" s="118"/>
      <c r="AH19" s="118"/>
      <c r="AI19" s="152">
        <f t="shared" ref="AI19:AI50" si="39">$AI$74*H19/$H$74</f>
        <v>0</v>
      </c>
      <c r="AJ19" s="118"/>
      <c r="AK19" s="120">
        <f t="shared" ref="AK19:AK70" si="40">V19*1%</f>
        <v>0</v>
      </c>
      <c r="AL19" s="121">
        <f t="shared" ref="AL19:AL70" si="41">Y19-AB19-AC19-AE19-AF19-AG19-AH19-AI19-AK19-AJ19</f>
        <v>0</v>
      </c>
      <c r="AM19" s="122"/>
      <c r="AN19" s="123">
        <f t="shared" ref="AN19:AN70" si="42">IF(S19=0,0,Y19/S19)</f>
        <v>0</v>
      </c>
      <c r="AO19" s="124">
        <f t="shared" ref="AO19:AO70" si="43">I19</f>
        <v>0</v>
      </c>
      <c r="AP19" s="124">
        <f t="shared" ref="AP19:AP70" si="44">IF(S19=0,0,AC19/S19)</f>
        <v>0</v>
      </c>
      <c r="AQ19" s="124">
        <f t="shared" ref="AQ19:AQ70" si="45">IF(Q19=0,AE19/1,AE19/Q19)</f>
        <v>0</v>
      </c>
      <c r="AR19" s="124">
        <f t="shared" ref="AR19:AR70" si="46">IF(Q19=0,0,(AF19+AG19)/Q19)</f>
        <v>0</v>
      </c>
      <c r="AS19" s="124">
        <f t="array" ref="AS19">_xlfn.IFS(S19=0,AL19,S19&lt;0,AL19/-S19,S19&gt;0,AL19/S19)</f>
        <v>0</v>
      </c>
      <c r="AT19" s="119">
        <f t="shared" ref="AT19:AT70" si="47">IF(AN19=0,0,AS19/AN19)</f>
        <v>0</v>
      </c>
      <c r="AU19" s="119">
        <f t="shared" ref="AU19:AU70" si="48">IF(AO19=0,0,AS19/AO19)</f>
        <v>0</v>
      </c>
      <c r="AV19" s="125"/>
      <c r="AW19" s="120">
        <f t="shared" ref="AW19:AW50" si="49">AS19*E19</f>
        <v>0</v>
      </c>
    </row>
    <row r="20" spans="1:49" hidden="1" outlineLevel="1">
      <c r="A20" s="114"/>
      <c r="B20" s="115"/>
      <c r="C20" s="115"/>
      <c r="D20" s="116"/>
      <c r="E20" s="117">
        <f t="shared" si="29"/>
        <v>0</v>
      </c>
      <c r="F20" s="117"/>
      <c r="G20" s="117"/>
      <c r="H20" s="117"/>
      <c r="I20" s="117"/>
      <c r="J20" s="117">
        <f t="shared" si="30"/>
        <v>0</v>
      </c>
      <c r="K20" s="114"/>
      <c r="L20" s="114"/>
      <c r="M20" s="114"/>
      <c r="N20" s="114"/>
      <c r="O20" s="117">
        <f t="shared" si="31"/>
        <v>0</v>
      </c>
      <c r="P20" s="117">
        <f t="shared" si="32"/>
        <v>0</v>
      </c>
      <c r="Q20" s="118"/>
      <c r="R20" s="118"/>
      <c r="S20" s="117">
        <f t="shared" si="33"/>
        <v>0</v>
      </c>
      <c r="T20" s="117"/>
      <c r="U20" s="117"/>
      <c r="V20" s="117">
        <f t="shared" si="34"/>
        <v>0</v>
      </c>
      <c r="W20" s="118"/>
      <c r="X20" s="118"/>
      <c r="Y20" s="117">
        <f t="shared" si="35"/>
        <v>0</v>
      </c>
      <c r="Z20" s="117">
        <f t="shared" si="36"/>
        <v>0</v>
      </c>
      <c r="AA20" s="119">
        <f t="shared" ref="AA20:AA70" si="50">Y20/$Y$74</f>
        <v>0</v>
      </c>
      <c r="AB20" s="117">
        <f t="shared" si="37"/>
        <v>0</v>
      </c>
      <c r="AC20" s="118"/>
      <c r="AD20" s="119">
        <f t="shared" si="38"/>
        <v>0</v>
      </c>
      <c r="AE20" s="118"/>
      <c r="AF20" s="118"/>
      <c r="AG20" s="118"/>
      <c r="AH20" s="118"/>
      <c r="AI20" s="152">
        <f t="shared" si="39"/>
        <v>0</v>
      </c>
      <c r="AJ20" s="118"/>
      <c r="AK20" s="120">
        <f t="shared" si="40"/>
        <v>0</v>
      </c>
      <c r="AL20" s="121">
        <f t="shared" si="41"/>
        <v>0</v>
      </c>
      <c r="AM20" s="122"/>
      <c r="AN20" s="123">
        <f t="shared" si="42"/>
        <v>0</v>
      </c>
      <c r="AO20" s="124">
        <f t="shared" si="43"/>
        <v>0</v>
      </c>
      <c r="AP20" s="124">
        <f t="shared" si="44"/>
        <v>0</v>
      </c>
      <c r="AQ20" s="124">
        <f t="shared" si="45"/>
        <v>0</v>
      </c>
      <c r="AR20" s="124">
        <f t="shared" si="46"/>
        <v>0</v>
      </c>
      <c r="AS20" s="124">
        <f t="array" ref="AS20">_xlfn.IFS(S20=0,AL20,S20&lt;0,AL20/-S20,S20&gt;0,AL20/S20)</f>
        <v>0</v>
      </c>
      <c r="AT20" s="119">
        <f t="shared" si="47"/>
        <v>0</v>
      </c>
      <c r="AU20" s="119">
        <f t="shared" si="48"/>
        <v>0</v>
      </c>
      <c r="AV20" s="125"/>
      <c r="AW20" s="120">
        <f t="shared" si="49"/>
        <v>0</v>
      </c>
    </row>
    <row r="21" spans="1:49" hidden="1" outlineLevel="1">
      <c r="A21" s="114"/>
      <c r="B21" s="115"/>
      <c r="C21" s="115"/>
      <c r="D21" s="116"/>
      <c r="E21" s="117">
        <f t="shared" si="29"/>
        <v>0</v>
      </c>
      <c r="F21" s="117"/>
      <c r="G21" s="117"/>
      <c r="H21" s="117"/>
      <c r="I21" s="117"/>
      <c r="J21" s="117">
        <f t="shared" si="30"/>
        <v>0</v>
      </c>
      <c r="K21" s="114"/>
      <c r="L21" s="114"/>
      <c r="M21" s="114"/>
      <c r="N21" s="114"/>
      <c r="O21" s="117">
        <f t="shared" si="31"/>
        <v>0</v>
      </c>
      <c r="P21" s="117">
        <f t="shared" si="32"/>
        <v>0</v>
      </c>
      <c r="Q21" s="118"/>
      <c r="R21" s="118"/>
      <c r="S21" s="117">
        <f t="shared" si="33"/>
        <v>0</v>
      </c>
      <c r="T21" s="117"/>
      <c r="U21" s="117"/>
      <c r="V21" s="117">
        <f t="shared" si="34"/>
        <v>0</v>
      </c>
      <c r="W21" s="118"/>
      <c r="X21" s="118"/>
      <c r="Y21" s="117">
        <f t="shared" si="35"/>
        <v>0</v>
      </c>
      <c r="Z21" s="117">
        <f t="shared" si="36"/>
        <v>0</v>
      </c>
      <c r="AA21" s="119">
        <f t="shared" si="50"/>
        <v>0</v>
      </c>
      <c r="AB21" s="117">
        <f t="shared" si="37"/>
        <v>0</v>
      </c>
      <c r="AC21" s="118"/>
      <c r="AD21" s="119">
        <f t="shared" si="38"/>
        <v>0</v>
      </c>
      <c r="AE21" s="118"/>
      <c r="AF21" s="118"/>
      <c r="AG21" s="118"/>
      <c r="AH21" s="118"/>
      <c r="AI21" s="152">
        <f t="shared" si="39"/>
        <v>0</v>
      </c>
      <c r="AJ21" s="118"/>
      <c r="AK21" s="120">
        <f t="shared" si="40"/>
        <v>0</v>
      </c>
      <c r="AL21" s="121">
        <f t="shared" si="41"/>
        <v>0</v>
      </c>
      <c r="AM21" s="122"/>
      <c r="AN21" s="123">
        <f t="shared" si="42"/>
        <v>0</v>
      </c>
      <c r="AO21" s="124">
        <f t="shared" si="43"/>
        <v>0</v>
      </c>
      <c r="AP21" s="124">
        <f t="shared" si="44"/>
        <v>0</v>
      </c>
      <c r="AQ21" s="124">
        <f t="shared" si="45"/>
        <v>0</v>
      </c>
      <c r="AR21" s="124">
        <f t="shared" si="46"/>
        <v>0</v>
      </c>
      <c r="AS21" s="124">
        <f t="array" ref="AS21">_xlfn.IFS(S21=0,AL21,S21&lt;0,AL21/-S21,S21&gt;0,AL21/S21)</f>
        <v>0</v>
      </c>
      <c r="AT21" s="119">
        <f t="shared" si="47"/>
        <v>0</v>
      </c>
      <c r="AU21" s="119">
        <f t="shared" si="48"/>
        <v>0</v>
      </c>
      <c r="AV21" s="125"/>
      <c r="AW21" s="120">
        <f t="shared" si="49"/>
        <v>0</v>
      </c>
    </row>
    <row r="22" spans="1:49" hidden="1" outlineLevel="1">
      <c r="A22" s="114"/>
      <c r="B22" s="115"/>
      <c r="C22" s="115"/>
      <c r="D22" s="116"/>
      <c r="E22" s="117">
        <f t="shared" si="29"/>
        <v>0</v>
      </c>
      <c r="F22" s="117"/>
      <c r="G22" s="117"/>
      <c r="H22" s="117"/>
      <c r="I22" s="117"/>
      <c r="J22" s="117">
        <f t="shared" si="30"/>
        <v>0</v>
      </c>
      <c r="K22" s="114"/>
      <c r="L22" s="114"/>
      <c r="M22" s="114"/>
      <c r="N22" s="114"/>
      <c r="O22" s="117">
        <f t="shared" si="31"/>
        <v>0</v>
      </c>
      <c r="P22" s="117">
        <f t="shared" si="32"/>
        <v>0</v>
      </c>
      <c r="Q22" s="118"/>
      <c r="R22" s="118"/>
      <c r="S22" s="117">
        <f t="shared" si="33"/>
        <v>0</v>
      </c>
      <c r="T22" s="117"/>
      <c r="U22" s="117"/>
      <c r="V22" s="117">
        <f t="shared" si="34"/>
        <v>0</v>
      </c>
      <c r="W22" s="118"/>
      <c r="X22" s="118"/>
      <c r="Y22" s="117">
        <f t="shared" si="35"/>
        <v>0</v>
      </c>
      <c r="Z22" s="117">
        <f t="shared" si="36"/>
        <v>0</v>
      </c>
      <c r="AA22" s="119">
        <f t="shared" si="50"/>
        <v>0</v>
      </c>
      <c r="AB22" s="117">
        <f t="shared" si="37"/>
        <v>0</v>
      </c>
      <c r="AC22" s="118"/>
      <c r="AD22" s="119">
        <f t="shared" si="38"/>
        <v>0</v>
      </c>
      <c r="AE22" s="118"/>
      <c r="AF22" s="118"/>
      <c r="AG22" s="118"/>
      <c r="AH22" s="118"/>
      <c r="AI22" s="152">
        <f t="shared" si="39"/>
        <v>0</v>
      </c>
      <c r="AJ22" s="118"/>
      <c r="AK22" s="120">
        <f t="shared" si="40"/>
        <v>0</v>
      </c>
      <c r="AL22" s="121">
        <f t="shared" si="41"/>
        <v>0</v>
      </c>
      <c r="AM22" s="122"/>
      <c r="AN22" s="123">
        <f t="shared" si="42"/>
        <v>0</v>
      </c>
      <c r="AO22" s="124">
        <f t="shared" si="43"/>
        <v>0</v>
      </c>
      <c r="AP22" s="124">
        <f t="shared" si="44"/>
        <v>0</v>
      </c>
      <c r="AQ22" s="124">
        <f t="shared" si="45"/>
        <v>0</v>
      </c>
      <c r="AR22" s="124">
        <f t="shared" si="46"/>
        <v>0</v>
      </c>
      <c r="AS22" s="124">
        <f t="array" ref="AS22">_xlfn.IFS(S22=0,AL22,S22&lt;0,AL22/-S22,S22&gt;0,AL22/S22)</f>
        <v>0</v>
      </c>
      <c r="AT22" s="119">
        <f t="shared" si="47"/>
        <v>0</v>
      </c>
      <c r="AU22" s="119">
        <f t="shared" si="48"/>
        <v>0</v>
      </c>
      <c r="AV22" s="125"/>
      <c r="AW22" s="120">
        <f t="shared" si="49"/>
        <v>0</v>
      </c>
    </row>
    <row r="23" spans="1:49" hidden="1" outlineLevel="1">
      <c r="A23" s="114"/>
      <c r="B23" s="115"/>
      <c r="C23" s="115"/>
      <c r="D23" s="116"/>
      <c r="E23" s="117">
        <f t="shared" si="29"/>
        <v>0</v>
      </c>
      <c r="F23" s="117"/>
      <c r="G23" s="117"/>
      <c r="H23" s="117"/>
      <c r="I23" s="117"/>
      <c r="J23" s="117">
        <f t="shared" si="30"/>
        <v>0</v>
      </c>
      <c r="K23" s="114"/>
      <c r="L23" s="114"/>
      <c r="M23" s="114"/>
      <c r="N23" s="114"/>
      <c r="O23" s="117">
        <f t="shared" si="31"/>
        <v>0</v>
      </c>
      <c r="P23" s="117">
        <f t="shared" si="32"/>
        <v>0</v>
      </c>
      <c r="Q23" s="118"/>
      <c r="R23" s="118"/>
      <c r="S23" s="117">
        <f t="shared" si="33"/>
        <v>0</v>
      </c>
      <c r="T23" s="117"/>
      <c r="U23" s="117"/>
      <c r="V23" s="117">
        <f t="shared" si="34"/>
        <v>0</v>
      </c>
      <c r="W23" s="118"/>
      <c r="X23" s="118"/>
      <c r="Y23" s="117">
        <f t="shared" si="35"/>
        <v>0</v>
      </c>
      <c r="Z23" s="117">
        <f t="shared" si="36"/>
        <v>0</v>
      </c>
      <c r="AA23" s="119">
        <f t="shared" si="50"/>
        <v>0</v>
      </c>
      <c r="AB23" s="117">
        <f t="shared" si="37"/>
        <v>0</v>
      </c>
      <c r="AC23" s="118"/>
      <c r="AD23" s="119">
        <f t="shared" si="38"/>
        <v>0</v>
      </c>
      <c r="AE23" s="118"/>
      <c r="AF23" s="118"/>
      <c r="AG23" s="118"/>
      <c r="AH23" s="118"/>
      <c r="AI23" s="152">
        <f t="shared" si="39"/>
        <v>0</v>
      </c>
      <c r="AJ23" s="118"/>
      <c r="AK23" s="120">
        <f t="shared" si="40"/>
        <v>0</v>
      </c>
      <c r="AL23" s="121">
        <f t="shared" si="41"/>
        <v>0</v>
      </c>
      <c r="AM23" s="122"/>
      <c r="AN23" s="123">
        <f t="shared" si="42"/>
        <v>0</v>
      </c>
      <c r="AO23" s="124">
        <f t="shared" si="43"/>
        <v>0</v>
      </c>
      <c r="AP23" s="124">
        <f t="shared" si="44"/>
        <v>0</v>
      </c>
      <c r="AQ23" s="124">
        <f t="shared" si="45"/>
        <v>0</v>
      </c>
      <c r="AR23" s="124">
        <f t="shared" si="46"/>
        <v>0</v>
      </c>
      <c r="AS23" s="124">
        <f t="array" ref="AS23">_xlfn.IFS(S23=0,AL23,S23&lt;0,AL23/-S23,S23&gt;0,AL23/S23)</f>
        <v>0</v>
      </c>
      <c r="AT23" s="119">
        <f t="shared" si="47"/>
        <v>0</v>
      </c>
      <c r="AU23" s="119">
        <f t="shared" si="48"/>
        <v>0</v>
      </c>
      <c r="AV23" s="125"/>
      <c r="AW23" s="120">
        <f t="shared" si="49"/>
        <v>0</v>
      </c>
    </row>
    <row r="24" spans="1:49" hidden="1" outlineLevel="1">
      <c r="A24" s="114"/>
      <c r="B24" s="115"/>
      <c r="C24" s="115"/>
      <c r="D24" s="116"/>
      <c r="E24" s="117">
        <f t="shared" si="29"/>
        <v>0</v>
      </c>
      <c r="F24" s="117"/>
      <c r="G24" s="117"/>
      <c r="H24" s="117"/>
      <c r="I24" s="117"/>
      <c r="J24" s="117">
        <f t="shared" si="30"/>
        <v>0</v>
      </c>
      <c r="K24" s="114"/>
      <c r="L24" s="114"/>
      <c r="M24" s="114"/>
      <c r="N24" s="114"/>
      <c r="O24" s="117">
        <f t="shared" si="31"/>
        <v>0</v>
      </c>
      <c r="P24" s="117">
        <f t="shared" si="32"/>
        <v>0</v>
      </c>
      <c r="Q24" s="118"/>
      <c r="R24" s="118"/>
      <c r="S24" s="117">
        <f t="shared" si="33"/>
        <v>0</v>
      </c>
      <c r="T24" s="117"/>
      <c r="U24" s="117"/>
      <c r="V24" s="117">
        <f t="shared" si="34"/>
        <v>0</v>
      </c>
      <c r="W24" s="118"/>
      <c r="X24" s="118"/>
      <c r="Y24" s="117">
        <f t="shared" si="35"/>
        <v>0</v>
      </c>
      <c r="Z24" s="117">
        <f t="shared" si="36"/>
        <v>0</v>
      </c>
      <c r="AA24" s="119">
        <f t="shared" si="50"/>
        <v>0</v>
      </c>
      <c r="AB24" s="117">
        <f t="shared" si="37"/>
        <v>0</v>
      </c>
      <c r="AC24" s="118"/>
      <c r="AD24" s="119">
        <f t="shared" si="38"/>
        <v>0</v>
      </c>
      <c r="AE24" s="118"/>
      <c r="AF24" s="118"/>
      <c r="AG24" s="118"/>
      <c r="AH24" s="118"/>
      <c r="AI24" s="152">
        <f t="shared" si="39"/>
        <v>0</v>
      </c>
      <c r="AJ24" s="118"/>
      <c r="AK24" s="120">
        <f t="shared" si="40"/>
        <v>0</v>
      </c>
      <c r="AL24" s="121">
        <f t="shared" si="41"/>
        <v>0</v>
      </c>
      <c r="AM24" s="122"/>
      <c r="AN24" s="123">
        <f t="shared" si="42"/>
        <v>0</v>
      </c>
      <c r="AO24" s="124">
        <f t="shared" si="43"/>
        <v>0</v>
      </c>
      <c r="AP24" s="124">
        <f t="shared" si="44"/>
        <v>0</v>
      </c>
      <c r="AQ24" s="124">
        <f t="shared" si="45"/>
        <v>0</v>
      </c>
      <c r="AR24" s="124">
        <f t="shared" si="46"/>
        <v>0</v>
      </c>
      <c r="AS24" s="124">
        <f t="array" ref="AS24">_xlfn.IFS(S24=0,AL24,S24&lt;0,AL24/-S24,S24&gt;0,AL24/S24)</f>
        <v>0</v>
      </c>
      <c r="AT24" s="119">
        <f t="shared" si="47"/>
        <v>0</v>
      </c>
      <c r="AU24" s="119">
        <f t="shared" si="48"/>
        <v>0</v>
      </c>
      <c r="AV24" s="125"/>
      <c r="AW24" s="120">
        <f t="shared" si="49"/>
        <v>0</v>
      </c>
    </row>
    <row r="25" spans="1:49" hidden="1" outlineLevel="1">
      <c r="A25" s="114"/>
      <c r="B25" s="115"/>
      <c r="C25" s="115"/>
      <c r="D25" s="116"/>
      <c r="E25" s="117">
        <f t="shared" si="29"/>
        <v>0</v>
      </c>
      <c r="F25" s="117"/>
      <c r="G25" s="117"/>
      <c r="H25" s="117"/>
      <c r="I25" s="117"/>
      <c r="J25" s="117">
        <f t="shared" si="30"/>
        <v>0</v>
      </c>
      <c r="K25" s="114"/>
      <c r="L25" s="114"/>
      <c r="M25" s="114"/>
      <c r="N25" s="114"/>
      <c r="O25" s="117">
        <f t="shared" si="31"/>
        <v>0</v>
      </c>
      <c r="P25" s="117">
        <f t="shared" si="32"/>
        <v>0</v>
      </c>
      <c r="Q25" s="118"/>
      <c r="R25" s="118"/>
      <c r="S25" s="117">
        <f t="shared" si="33"/>
        <v>0</v>
      </c>
      <c r="T25" s="117"/>
      <c r="U25" s="117"/>
      <c r="V25" s="117">
        <f t="shared" si="34"/>
        <v>0</v>
      </c>
      <c r="W25" s="118"/>
      <c r="X25" s="118"/>
      <c r="Y25" s="117">
        <f t="shared" si="35"/>
        <v>0</v>
      </c>
      <c r="Z25" s="117">
        <f t="shared" si="36"/>
        <v>0</v>
      </c>
      <c r="AA25" s="119">
        <f t="shared" si="50"/>
        <v>0</v>
      </c>
      <c r="AB25" s="117">
        <f t="shared" si="37"/>
        <v>0</v>
      </c>
      <c r="AC25" s="118"/>
      <c r="AD25" s="119">
        <f t="shared" si="38"/>
        <v>0</v>
      </c>
      <c r="AE25" s="118"/>
      <c r="AF25" s="118"/>
      <c r="AG25" s="118"/>
      <c r="AH25" s="118"/>
      <c r="AI25" s="152">
        <f t="shared" si="39"/>
        <v>0</v>
      </c>
      <c r="AJ25" s="118"/>
      <c r="AK25" s="120">
        <f t="shared" si="40"/>
        <v>0</v>
      </c>
      <c r="AL25" s="121">
        <f t="shared" si="41"/>
        <v>0</v>
      </c>
      <c r="AM25" s="122"/>
      <c r="AN25" s="123">
        <f t="shared" si="42"/>
        <v>0</v>
      </c>
      <c r="AO25" s="124">
        <f t="shared" si="43"/>
        <v>0</v>
      </c>
      <c r="AP25" s="124">
        <f t="shared" si="44"/>
        <v>0</v>
      </c>
      <c r="AQ25" s="124">
        <f t="shared" si="45"/>
        <v>0</v>
      </c>
      <c r="AR25" s="124">
        <f t="shared" si="46"/>
        <v>0</v>
      </c>
      <c r="AS25" s="124">
        <f t="array" ref="AS25">_xlfn.IFS(S25=0,AL25,S25&lt;0,AL25/-S25,S25&gt;0,AL25/S25)</f>
        <v>0</v>
      </c>
      <c r="AT25" s="119">
        <f t="shared" si="47"/>
        <v>0</v>
      </c>
      <c r="AU25" s="119">
        <f t="shared" si="48"/>
        <v>0</v>
      </c>
      <c r="AV25" s="125"/>
      <c r="AW25" s="120">
        <f t="shared" si="49"/>
        <v>0</v>
      </c>
    </row>
    <row r="26" spans="1:49" hidden="1" outlineLevel="1">
      <c r="A26" s="114"/>
      <c r="B26" s="115"/>
      <c r="C26" s="115"/>
      <c r="D26" s="116"/>
      <c r="E26" s="117">
        <f t="shared" si="29"/>
        <v>0</v>
      </c>
      <c r="F26" s="117"/>
      <c r="G26" s="117"/>
      <c r="H26" s="117"/>
      <c r="I26" s="117"/>
      <c r="J26" s="117">
        <f t="shared" si="30"/>
        <v>0</v>
      </c>
      <c r="K26" s="114"/>
      <c r="L26" s="114"/>
      <c r="M26" s="114"/>
      <c r="N26" s="114"/>
      <c r="O26" s="117">
        <f t="shared" si="31"/>
        <v>0</v>
      </c>
      <c r="P26" s="117">
        <f t="shared" si="32"/>
        <v>0</v>
      </c>
      <c r="Q26" s="118"/>
      <c r="R26" s="118"/>
      <c r="S26" s="117">
        <f t="shared" si="33"/>
        <v>0</v>
      </c>
      <c r="T26" s="117"/>
      <c r="U26" s="117"/>
      <c r="V26" s="117">
        <f t="shared" si="34"/>
        <v>0</v>
      </c>
      <c r="W26" s="118"/>
      <c r="X26" s="118"/>
      <c r="Y26" s="117">
        <f t="shared" si="35"/>
        <v>0</v>
      </c>
      <c r="Z26" s="117">
        <f t="shared" si="36"/>
        <v>0</v>
      </c>
      <c r="AA26" s="119">
        <f t="shared" si="50"/>
        <v>0</v>
      </c>
      <c r="AB26" s="117">
        <f t="shared" si="37"/>
        <v>0</v>
      </c>
      <c r="AC26" s="118"/>
      <c r="AD26" s="119">
        <f t="shared" si="38"/>
        <v>0</v>
      </c>
      <c r="AE26" s="118"/>
      <c r="AF26" s="118"/>
      <c r="AG26" s="118"/>
      <c r="AH26" s="118"/>
      <c r="AI26" s="152">
        <f t="shared" si="39"/>
        <v>0</v>
      </c>
      <c r="AJ26" s="118"/>
      <c r="AK26" s="120">
        <f t="shared" si="40"/>
        <v>0</v>
      </c>
      <c r="AL26" s="121">
        <f t="shared" si="41"/>
        <v>0</v>
      </c>
      <c r="AM26" s="122"/>
      <c r="AN26" s="123">
        <f t="shared" si="42"/>
        <v>0</v>
      </c>
      <c r="AO26" s="124">
        <f t="shared" si="43"/>
        <v>0</v>
      </c>
      <c r="AP26" s="124">
        <f t="shared" si="44"/>
        <v>0</v>
      </c>
      <c r="AQ26" s="124">
        <f t="shared" si="45"/>
        <v>0</v>
      </c>
      <c r="AR26" s="124">
        <f t="shared" si="46"/>
        <v>0</v>
      </c>
      <c r="AS26" s="124">
        <f t="array" ref="AS26">_xlfn.IFS(S26=0,AL26,S26&lt;0,AL26/-S26,S26&gt;0,AL26/S26)</f>
        <v>0</v>
      </c>
      <c r="AT26" s="119">
        <f t="shared" si="47"/>
        <v>0</v>
      </c>
      <c r="AU26" s="119">
        <f t="shared" si="48"/>
        <v>0</v>
      </c>
      <c r="AV26" s="125"/>
      <c r="AW26" s="120">
        <f t="shared" si="49"/>
        <v>0</v>
      </c>
    </row>
    <row r="27" spans="1:49" hidden="1" outlineLevel="1">
      <c r="A27" s="114"/>
      <c r="B27" s="115"/>
      <c r="C27" s="115"/>
      <c r="D27" s="116"/>
      <c r="E27" s="117">
        <f t="shared" si="29"/>
        <v>0</v>
      </c>
      <c r="F27" s="117"/>
      <c r="G27" s="117"/>
      <c r="H27" s="117"/>
      <c r="I27" s="117"/>
      <c r="J27" s="117">
        <f t="shared" si="30"/>
        <v>0</v>
      </c>
      <c r="K27" s="114"/>
      <c r="L27" s="114"/>
      <c r="M27" s="114"/>
      <c r="N27" s="114"/>
      <c r="O27" s="117">
        <f t="shared" si="31"/>
        <v>0</v>
      </c>
      <c r="P27" s="117">
        <f t="shared" si="32"/>
        <v>0</v>
      </c>
      <c r="Q27" s="118"/>
      <c r="R27" s="118"/>
      <c r="S27" s="117">
        <f t="shared" si="33"/>
        <v>0</v>
      </c>
      <c r="T27" s="117"/>
      <c r="U27" s="117"/>
      <c r="V27" s="117">
        <f t="shared" si="34"/>
        <v>0</v>
      </c>
      <c r="W27" s="118"/>
      <c r="X27" s="118"/>
      <c r="Y27" s="117">
        <f t="shared" si="35"/>
        <v>0</v>
      </c>
      <c r="Z27" s="117">
        <f t="shared" si="36"/>
        <v>0</v>
      </c>
      <c r="AA27" s="119">
        <f t="shared" si="50"/>
        <v>0</v>
      </c>
      <c r="AB27" s="117">
        <f t="shared" si="37"/>
        <v>0</v>
      </c>
      <c r="AC27" s="118"/>
      <c r="AD27" s="119">
        <f t="shared" si="38"/>
        <v>0</v>
      </c>
      <c r="AE27" s="118"/>
      <c r="AF27" s="118"/>
      <c r="AG27" s="118"/>
      <c r="AH27" s="118"/>
      <c r="AI27" s="152">
        <f t="shared" si="39"/>
        <v>0</v>
      </c>
      <c r="AJ27" s="118"/>
      <c r="AK27" s="120">
        <f t="shared" si="40"/>
        <v>0</v>
      </c>
      <c r="AL27" s="121">
        <f t="shared" si="41"/>
        <v>0</v>
      </c>
      <c r="AM27" s="122"/>
      <c r="AN27" s="123">
        <f t="shared" si="42"/>
        <v>0</v>
      </c>
      <c r="AO27" s="124">
        <f t="shared" si="43"/>
        <v>0</v>
      </c>
      <c r="AP27" s="124">
        <f t="shared" si="44"/>
        <v>0</v>
      </c>
      <c r="AQ27" s="124">
        <f t="shared" si="45"/>
        <v>0</v>
      </c>
      <c r="AR27" s="124">
        <f t="shared" si="46"/>
        <v>0</v>
      </c>
      <c r="AS27" s="124">
        <f t="array" ref="AS27">_xlfn.IFS(S27=0,AL27,S27&lt;0,AL27/-S27,S27&gt;0,AL27/S27)</f>
        <v>0</v>
      </c>
      <c r="AT27" s="119">
        <f t="shared" si="47"/>
        <v>0</v>
      </c>
      <c r="AU27" s="119">
        <f t="shared" si="48"/>
        <v>0</v>
      </c>
      <c r="AV27" s="125"/>
      <c r="AW27" s="120">
        <f t="shared" si="49"/>
        <v>0</v>
      </c>
    </row>
    <row r="28" spans="1:49" hidden="1" outlineLevel="1">
      <c r="A28" s="114"/>
      <c r="B28" s="115"/>
      <c r="C28" s="115"/>
      <c r="D28" s="116"/>
      <c r="E28" s="117">
        <f t="shared" si="29"/>
        <v>0</v>
      </c>
      <c r="F28" s="117"/>
      <c r="G28" s="117"/>
      <c r="H28" s="117"/>
      <c r="I28" s="117"/>
      <c r="J28" s="117">
        <f t="shared" si="30"/>
        <v>0</v>
      </c>
      <c r="K28" s="114"/>
      <c r="L28" s="114"/>
      <c r="M28" s="114"/>
      <c r="N28" s="114"/>
      <c r="O28" s="117">
        <f t="shared" si="31"/>
        <v>0</v>
      </c>
      <c r="P28" s="117">
        <f t="shared" si="32"/>
        <v>0</v>
      </c>
      <c r="Q28" s="118"/>
      <c r="R28" s="118"/>
      <c r="S28" s="117">
        <f t="shared" si="33"/>
        <v>0</v>
      </c>
      <c r="T28" s="117"/>
      <c r="U28" s="117"/>
      <c r="V28" s="117">
        <f t="shared" si="34"/>
        <v>0</v>
      </c>
      <c r="W28" s="118"/>
      <c r="X28" s="118"/>
      <c r="Y28" s="117">
        <f t="shared" si="35"/>
        <v>0</v>
      </c>
      <c r="Z28" s="117">
        <f t="shared" si="36"/>
        <v>0</v>
      </c>
      <c r="AA28" s="119">
        <f t="shared" si="50"/>
        <v>0</v>
      </c>
      <c r="AB28" s="117">
        <f t="shared" si="37"/>
        <v>0</v>
      </c>
      <c r="AC28" s="118"/>
      <c r="AD28" s="119">
        <f t="shared" si="38"/>
        <v>0</v>
      </c>
      <c r="AE28" s="118"/>
      <c r="AF28" s="118"/>
      <c r="AG28" s="118"/>
      <c r="AH28" s="118"/>
      <c r="AI28" s="152">
        <f t="shared" si="39"/>
        <v>0</v>
      </c>
      <c r="AJ28" s="118"/>
      <c r="AK28" s="120">
        <f t="shared" si="40"/>
        <v>0</v>
      </c>
      <c r="AL28" s="121">
        <f t="shared" si="41"/>
        <v>0</v>
      </c>
      <c r="AM28" s="122"/>
      <c r="AN28" s="123">
        <f t="shared" si="42"/>
        <v>0</v>
      </c>
      <c r="AO28" s="124">
        <f t="shared" si="43"/>
        <v>0</v>
      </c>
      <c r="AP28" s="124">
        <f t="shared" si="44"/>
        <v>0</v>
      </c>
      <c r="AQ28" s="124">
        <f t="shared" si="45"/>
        <v>0</v>
      </c>
      <c r="AR28" s="124">
        <f t="shared" si="46"/>
        <v>0</v>
      </c>
      <c r="AS28" s="124">
        <f t="array" ref="AS28">_xlfn.IFS(S28=0,AL28,S28&lt;0,AL28/-S28,S28&gt;0,AL28/S28)</f>
        <v>0</v>
      </c>
      <c r="AT28" s="119">
        <f t="shared" si="47"/>
        <v>0</v>
      </c>
      <c r="AU28" s="119">
        <f t="shared" si="48"/>
        <v>0</v>
      </c>
      <c r="AV28" s="125"/>
      <c r="AW28" s="120">
        <f t="shared" si="49"/>
        <v>0</v>
      </c>
    </row>
    <row r="29" spans="1:49" hidden="1" outlineLevel="1">
      <c r="A29" s="114"/>
      <c r="B29" s="115"/>
      <c r="C29" s="115"/>
      <c r="D29" s="116"/>
      <c r="E29" s="117">
        <f t="shared" si="29"/>
        <v>0</v>
      </c>
      <c r="F29" s="117"/>
      <c r="G29" s="117"/>
      <c r="H29" s="117"/>
      <c r="I29" s="117"/>
      <c r="J29" s="117">
        <f t="shared" si="30"/>
        <v>0</v>
      </c>
      <c r="K29" s="114"/>
      <c r="L29" s="114"/>
      <c r="M29" s="114"/>
      <c r="N29" s="114"/>
      <c r="O29" s="117">
        <f t="shared" si="31"/>
        <v>0</v>
      </c>
      <c r="P29" s="117">
        <f t="shared" si="32"/>
        <v>0</v>
      </c>
      <c r="Q29" s="118"/>
      <c r="R29" s="118"/>
      <c r="S29" s="117">
        <f t="shared" si="33"/>
        <v>0</v>
      </c>
      <c r="T29" s="117"/>
      <c r="U29" s="117"/>
      <c r="V29" s="117">
        <f t="shared" si="34"/>
        <v>0</v>
      </c>
      <c r="W29" s="118"/>
      <c r="X29" s="118"/>
      <c r="Y29" s="117">
        <f t="shared" si="35"/>
        <v>0</v>
      </c>
      <c r="Z29" s="117">
        <f t="shared" si="36"/>
        <v>0</v>
      </c>
      <c r="AA29" s="119">
        <f t="shared" si="50"/>
        <v>0</v>
      </c>
      <c r="AB29" s="117">
        <f t="shared" si="37"/>
        <v>0</v>
      </c>
      <c r="AC29" s="118"/>
      <c r="AD29" s="119">
        <f t="shared" si="38"/>
        <v>0</v>
      </c>
      <c r="AE29" s="118"/>
      <c r="AF29" s="118"/>
      <c r="AG29" s="118"/>
      <c r="AH29" s="118"/>
      <c r="AI29" s="152">
        <f t="shared" si="39"/>
        <v>0</v>
      </c>
      <c r="AJ29" s="118"/>
      <c r="AK29" s="120">
        <f t="shared" si="40"/>
        <v>0</v>
      </c>
      <c r="AL29" s="121">
        <f t="shared" si="41"/>
        <v>0</v>
      </c>
      <c r="AM29" s="122"/>
      <c r="AN29" s="123">
        <f t="shared" si="42"/>
        <v>0</v>
      </c>
      <c r="AO29" s="124">
        <f t="shared" si="43"/>
        <v>0</v>
      </c>
      <c r="AP29" s="124">
        <f t="shared" si="44"/>
        <v>0</v>
      </c>
      <c r="AQ29" s="124">
        <f t="shared" si="45"/>
        <v>0</v>
      </c>
      <c r="AR29" s="124">
        <f t="shared" si="46"/>
        <v>0</v>
      </c>
      <c r="AS29" s="124">
        <f t="array" ref="AS29">_xlfn.IFS(S29=0,AL29,S29&lt;0,AL29/-S29,S29&gt;0,AL29/S29)</f>
        <v>0</v>
      </c>
      <c r="AT29" s="119">
        <f t="shared" si="47"/>
        <v>0</v>
      </c>
      <c r="AU29" s="119">
        <f t="shared" si="48"/>
        <v>0</v>
      </c>
      <c r="AV29" s="125"/>
      <c r="AW29" s="120">
        <f t="shared" si="49"/>
        <v>0</v>
      </c>
    </row>
    <row r="30" spans="1:49" hidden="1" outlineLevel="1">
      <c r="A30" s="114"/>
      <c r="B30" s="115"/>
      <c r="C30" s="115"/>
      <c r="D30" s="116"/>
      <c r="E30" s="117">
        <f t="shared" si="29"/>
        <v>0</v>
      </c>
      <c r="F30" s="117"/>
      <c r="G30" s="117"/>
      <c r="H30" s="117"/>
      <c r="I30" s="117"/>
      <c r="J30" s="117">
        <f t="shared" si="30"/>
        <v>0</v>
      </c>
      <c r="K30" s="114"/>
      <c r="L30" s="114"/>
      <c r="M30" s="114"/>
      <c r="N30" s="114"/>
      <c r="O30" s="117">
        <f t="shared" si="31"/>
        <v>0</v>
      </c>
      <c r="P30" s="117">
        <f t="shared" si="32"/>
        <v>0</v>
      </c>
      <c r="Q30" s="118"/>
      <c r="R30" s="118"/>
      <c r="S30" s="117">
        <f t="shared" si="33"/>
        <v>0</v>
      </c>
      <c r="T30" s="117"/>
      <c r="U30" s="117"/>
      <c r="V30" s="117">
        <f t="shared" si="34"/>
        <v>0</v>
      </c>
      <c r="W30" s="118"/>
      <c r="X30" s="118"/>
      <c r="Y30" s="117">
        <f t="shared" si="35"/>
        <v>0</v>
      </c>
      <c r="Z30" s="117">
        <f t="shared" si="36"/>
        <v>0</v>
      </c>
      <c r="AA30" s="119">
        <f t="shared" si="50"/>
        <v>0</v>
      </c>
      <c r="AB30" s="117">
        <f t="shared" si="37"/>
        <v>0</v>
      </c>
      <c r="AC30" s="118"/>
      <c r="AD30" s="119">
        <f t="shared" si="38"/>
        <v>0</v>
      </c>
      <c r="AE30" s="118"/>
      <c r="AF30" s="118"/>
      <c r="AG30" s="118"/>
      <c r="AH30" s="118"/>
      <c r="AI30" s="152">
        <f t="shared" si="39"/>
        <v>0</v>
      </c>
      <c r="AJ30" s="118"/>
      <c r="AK30" s="120">
        <f t="shared" si="40"/>
        <v>0</v>
      </c>
      <c r="AL30" s="121">
        <f t="shared" si="41"/>
        <v>0</v>
      </c>
      <c r="AM30" s="122"/>
      <c r="AN30" s="123">
        <f t="shared" si="42"/>
        <v>0</v>
      </c>
      <c r="AO30" s="124">
        <f t="shared" si="43"/>
        <v>0</v>
      </c>
      <c r="AP30" s="124">
        <f t="shared" si="44"/>
        <v>0</v>
      </c>
      <c r="AQ30" s="124">
        <f t="shared" si="45"/>
        <v>0</v>
      </c>
      <c r="AR30" s="124">
        <f t="shared" si="46"/>
        <v>0</v>
      </c>
      <c r="AS30" s="124">
        <f t="array" ref="AS30">_xlfn.IFS(S30=0,AL30,S30&lt;0,AL30/-S30,S30&gt;0,AL30/S30)</f>
        <v>0</v>
      </c>
      <c r="AT30" s="119">
        <f t="shared" si="47"/>
        <v>0</v>
      </c>
      <c r="AU30" s="119">
        <f t="shared" si="48"/>
        <v>0</v>
      </c>
      <c r="AV30" s="125"/>
      <c r="AW30" s="120">
        <f t="shared" si="49"/>
        <v>0</v>
      </c>
    </row>
    <row r="31" spans="1:49" hidden="1" outlineLevel="1">
      <c r="A31" s="114"/>
      <c r="B31" s="115"/>
      <c r="C31" s="115"/>
      <c r="D31" s="116"/>
      <c r="E31" s="117">
        <f t="shared" si="29"/>
        <v>0</v>
      </c>
      <c r="F31" s="117"/>
      <c r="G31" s="117"/>
      <c r="H31" s="117"/>
      <c r="I31" s="117"/>
      <c r="J31" s="117">
        <f t="shared" si="30"/>
        <v>0</v>
      </c>
      <c r="K31" s="114"/>
      <c r="L31" s="114"/>
      <c r="M31" s="114"/>
      <c r="N31" s="114"/>
      <c r="O31" s="117">
        <f t="shared" si="31"/>
        <v>0</v>
      </c>
      <c r="P31" s="117">
        <f t="shared" si="32"/>
        <v>0</v>
      </c>
      <c r="Q31" s="118"/>
      <c r="R31" s="118"/>
      <c r="S31" s="117">
        <f t="shared" si="33"/>
        <v>0</v>
      </c>
      <c r="T31" s="117"/>
      <c r="U31" s="117"/>
      <c r="V31" s="117">
        <f t="shared" si="34"/>
        <v>0</v>
      </c>
      <c r="W31" s="118"/>
      <c r="X31" s="118"/>
      <c r="Y31" s="117">
        <f t="shared" si="35"/>
        <v>0</v>
      </c>
      <c r="Z31" s="117">
        <f t="shared" si="36"/>
        <v>0</v>
      </c>
      <c r="AA31" s="119">
        <f t="shared" si="50"/>
        <v>0</v>
      </c>
      <c r="AB31" s="117">
        <f t="shared" si="37"/>
        <v>0</v>
      </c>
      <c r="AC31" s="118"/>
      <c r="AD31" s="119">
        <f t="shared" si="38"/>
        <v>0</v>
      </c>
      <c r="AE31" s="118"/>
      <c r="AF31" s="118"/>
      <c r="AG31" s="118"/>
      <c r="AH31" s="118"/>
      <c r="AI31" s="152">
        <f t="shared" si="39"/>
        <v>0</v>
      </c>
      <c r="AJ31" s="118"/>
      <c r="AK31" s="120">
        <f t="shared" si="40"/>
        <v>0</v>
      </c>
      <c r="AL31" s="121">
        <f t="shared" si="41"/>
        <v>0</v>
      </c>
      <c r="AM31" s="122"/>
      <c r="AN31" s="123">
        <f t="shared" si="42"/>
        <v>0</v>
      </c>
      <c r="AO31" s="124">
        <f t="shared" si="43"/>
        <v>0</v>
      </c>
      <c r="AP31" s="124">
        <f t="shared" si="44"/>
        <v>0</v>
      </c>
      <c r="AQ31" s="124">
        <f t="shared" si="45"/>
        <v>0</v>
      </c>
      <c r="AR31" s="124">
        <f t="shared" si="46"/>
        <v>0</v>
      </c>
      <c r="AS31" s="124">
        <f t="array" ref="AS31">_xlfn.IFS(S31=0,AL31,S31&lt;0,AL31/-S31,S31&gt;0,AL31/S31)</f>
        <v>0</v>
      </c>
      <c r="AT31" s="119">
        <f t="shared" si="47"/>
        <v>0</v>
      </c>
      <c r="AU31" s="119">
        <f t="shared" si="48"/>
        <v>0</v>
      </c>
      <c r="AV31" s="125"/>
      <c r="AW31" s="120">
        <f t="shared" si="49"/>
        <v>0</v>
      </c>
    </row>
    <row r="32" spans="1:49" hidden="1" outlineLevel="1">
      <c r="A32" s="114"/>
      <c r="B32" s="115"/>
      <c r="C32" s="115"/>
      <c r="D32" s="116"/>
      <c r="E32" s="117">
        <f t="shared" si="29"/>
        <v>0</v>
      </c>
      <c r="F32" s="117"/>
      <c r="G32" s="117"/>
      <c r="H32" s="117"/>
      <c r="I32" s="117"/>
      <c r="J32" s="117">
        <f t="shared" si="30"/>
        <v>0</v>
      </c>
      <c r="K32" s="114"/>
      <c r="L32" s="114"/>
      <c r="M32" s="114"/>
      <c r="N32" s="114"/>
      <c r="O32" s="117">
        <f t="shared" si="31"/>
        <v>0</v>
      </c>
      <c r="P32" s="117">
        <f t="shared" si="32"/>
        <v>0</v>
      </c>
      <c r="Q32" s="118"/>
      <c r="R32" s="118"/>
      <c r="S32" s="117">
        <f t="shared" si="33"/>
        <v>0</v>
      </c>
      <c r="T32" s="117"/>
      <c r="U32" s="117"/>
      <c r="V32" s="117">
        <f t="shared" si="34"/>
        <v>0</v>
      </c>
      <c r="W32" s="118"/>
      <c r="X32" s="118"/>
      <c r="Y32" s="117">
        <f t="shared" si="35"/>
        <v>0</v>
      </c>
      <c r="Z32" s="117">
        <f t="shared" si="36"/>
        <v>0</v>
      </c>
      <c r="AA32" s="119">
        <f t="shared" si="50"/>
        <v>0</v>
      </c>
      <c r="AB32" s="117">
        <f t="shared" si="37"/>
        <v>0</v>
      </c>
      <c r="AC32" s="118"/>
      <c r="AD32" s="119">
        <f t="shared" si="38"/>
        <v>0</v>
      </c>
      <c r="AE32" s="118"/>
      <c r="AF32" s="118"/>
      <c r="AG32" s="118"/>
      <c r="AH32" s="118"/>
      <c r="AI32" s="152">
        <f t="shared" si="39"/>
        <v>0</v>
      </c>
      <c r="AJ32" s="118"/>
      <c r="AK32" s="120">
        <f t="shared" si="40"/>
        <v>0</v>
      </c>
      <c r="AL32" s="121">
        <f t="shared" si="41"/>
        <v>0</v>
      </c>
      <c r="AM32" s="122"/>
      <c r="AN32" s="123">
        <f t="shared" si="42"/>
        <v>0</v>
      </c>
      <c r="AO32" s="124">
        <f t="shared" si="43"/>
        <v>0</v>
      </c>
      <c r="AP32" s="124">
        <f t="shared" si="44"/>
        <v>0</v>
      </c>
      <c r="AQ32" s="124">
        <f t="shared" si="45"/>
        <v>0</v>
      </c>
      <c r="AR32" s="124">
        <f t="shared" si="46"/>
        <v>0</v>
      </c>
      <c r="AS32" s="124">
        <f t="array" ref="AS32">_xlfn.IFS(S32=0,AL32,S32&lt;0,AL32/-S32,S32&gt;0,AL32/S32)</f>
        <v>0</v>
      </c>
      <c r="AT32" s="119">
        <f t="shared" si="47"/>
        <v>0</v>
      </c>
      <c r="AU32" s="119">
        <f t="shared" si="48"/>
        <v>0</v>
      </c>
      <c r="AV32" s="125"/>
      <c r="AW32" s="120">
        <f t="shared" si="49"/>
        <v>0</v>
      </c>
    </row>
    <row r="33" spans="1:49" hidden="1" outlineLevel="1">
      <c r="A33" s="114"/>
      <c r="B33" s="115"/>
      <c r="C33" s="115"/>
      <c r="D33" s="116"/>
      <c r="E33" s="117">
        <f t="shared" si="29"/>
        <v>0</v>
      </c>
      <c r="F33" s="117"/>
      <c r="G33" s="117"/>
      <c r="H33" s="117"/>
      <c r="I33" s="117"/>
      <c r="J33" s="117">
        <f t="shared" si="30"/>
        <v>0</v>
      </c>
      <c r="K33" s="114"/>
      <c r="L33" s="114"/>
      <c r="M33" s="114"/>
      <c r="N33" s="114"/>
      <c r="O33" s="117">
        <f t="shared" si="31"/>
        <v>0</v>
      </c>
      <c r="P33" s="117">
        <f t="shared" si="32"/>
        <v>0</v>
      </c>
      <c r="Q33" s="118"/>
      <c r="R33" s="118"/>
      <c r="S33" s="117">
        <f t="shared" si="33"/>
        <v>0</v>
      </c>
      <c r="T33" s="117"/>
      <c r="U33" s="117"/>
      <c r="V33" s="117">
        <f t="shared" si="34"/>
        <v>0</v>
      </c>
      <c r="W33" s="118"/>
      <c r="X33" s="118"/>
      <c r="Y33" s="117">
        <f t="shared" si="35"/>
        <v>0</v>
      </c>
      <c r="Z33" s="117">
        <f t="shared" si="36"/>
        <v>0</v>
      </c>
      <c r="AA33" s="119">
        <f t="shared" si="50"/>
        <v>0</v>
      </c>
      <c r="AB33" s="117">
        <f t="shared" si="37"/>
        <v>0</v>
      </c>
      <c r="AC33" s="118"/>
      <c r="AD33" s="119">
        <f t="shared" si="38"/>
        <v>0</v>
      </c>
      <c r="AE33" s="118"/>
      <c r="AF33" s="118"/>
      <c r="AG33" s="118"/>
      <c r="AH33" s="118"/>
      <c r="AI33" s="152">
        <f t="shared" si="39"/>
        <v>0</v>
      </c>
      <c r="AJ33" s="118"/>
      <c r="AK33" s="120">
        <f t="shared" si="40"/>
        <v>0</v>
      </c>
      <c r="AL33" s="121">
        <f t="shared" si="41"/>
        <v>0</v>
      </c>
      <c r="AM33" s="122"/>
      <c r="AN33" s="123">
        <f t="shared" si="42"/>
        <v>0</v>
      </c>
      <c r="AO33" s="124">
        <f t="shared" si="43"/>
        <v>0</v>
      </c>
      <c r="AP33" s="124">
        <f t="shared" si="44"/>
        <v>0</v>
      </c>
      <c r="AQ33" s="124">
        <f t="shared" si="45"/>
        <v>0</v>
      </c>
      <c r="AR33" s="124">
        <f t="shared" si="46"/>
        <v>0</v>
      </c>
      <c r="AS33" s="124">
        <f t="array" ref="AS33">_xlfn.IFS(S33=0,AL33,S33&lt;0,AL33/-S33,S33&gt;0,AL33/S33)</f>
        <v>0</v>
      </c>
      <c r="AT33" s="119">
        <f t="shared" si="47"/>
        <v>0</v>
      </c>
      <c r="AU33" s="119">
        <f t="shared" si="48"/>
        <v>0</v>
      </c>
      <c r="AV33" s="125"/>
      <c r="AW33" s="120">
        <f t="shared" si="49"/>
        <v>0</v>
      </c>
    </row>
    <row r="34" spans="1:49" hidden="1" outlineLevel="1">
      <c r="A34" s="114"/>
      <c r="B34" s="115"/>
      <c r="C34" s="115"/>
      <c r="D34" s="116"/>
      <c r="E34" s="117">
        <f t="shared" si="29"/>
        <v>0</v>
      </c>
      <c r="F34" s="117"/>
      <c r="G34" s="117"/>
      <c r="H34" s="117"/>
      <c r="I34" s="117"/>
      <c r="J34" s="117">
        <f t="shared" si="30"/>
        <v>0</v>
      </c>
      <c r="K34" s="114"/>
      <c r="L34" s="114"/>
      <c r="M34" s="114"/>
      <c r="N34" s="114"/>
      <c r="O34" s="117">
        <f t="shared" si="31"/>
        <v>0</v>
      </c>
      <c r="P34" s="117">
        <f t="shared" si="32"/>
        <v>0</v>
      </c>
      <c r="Q34" s="118"/>
      <c r="R34" s="118"/>
      <c r="S34" s="117">
        <f t="shared" si="33"/>
        <v>0</v>
      </c>
      <c r="T34" s="117"/>
      <c r="U34" s="117"/>
      <c r="V34" s="117">
        <f t="shared" si="34"/>
        <v>0</v>
      </c>
      <c r="W34" s="118"/>
      <c r="X34" s="118"/>
      <c r="Y34" s="117">
        <f t="shared" si="35"/>
        <v>0</v>
      </c>
      <c r="Z34" s="117">
        <f t="shared" si="36"/>
        <v>0</v>
      </c>
      <c r="AA34" s="119">
        <f t="shared" si="50"/>
        <v>0</v>
      </c>
      <c r="AB34" s="117">
        <f t="shared" si="37"/>
        <v>0</v>
      </c>
      <c r="AC34" s="118"/>
      <c r="AD34" s="119">
        <f t="shared" si="38"/>
        <v>0</v>
      </c>
      <c r="AE34" s="118"/>
      <c r="AF34" s="118"/>
      <c r="AG34" s="118"/>
      <c r="AH34" s="118"/>
      <c r="AI34" s="152">
        <f t="shared" si="39"/>
        <v>0</v>
      </c>
      <c r="AJ34" s="118"/>
      <c r="AK34" s="120">
        <f t="shared" si="40"/>
        <v>0</v>
      </c>
      <c r="AL34" s="121">
        <f t="shared" si="41"/>
        <v>0</v>
      </c>
      <c r="AM34" s="122"/>
      <c r="AN34" s="123">
        <f t="shared" si="42"/>
        <v>0</v>
      </c>
      <c r="AO34" s="124">
        <f t="shared" si="43"/>
        <v>0</v>
      </c>
      <c r="AP34" s="124">
        <f t="shared" si="44"/>
        <v>0</v>
      </c>
      <c r="AQ34" s="124">
        <f t="shared" si="45"/>
        <v>0</v>
      </c>
      <c r="AR34" s="124">
        <f t="shared" si="46"/>
        <v>0</v>
      </c>
      <c r="AS34" s="124">
        <f t="array" ref="AS34">_xlfn.IFS(S34=0,AL34,S34&lt;0,AL34/-S34,S34&gt;0,AL34/S34)</f>
        <v>0</v>
      </c>
      <c r="AT34" s="119">
        <f t="shared" si="47"/>
        <v>0</v>
      </c>
      <c r="AU34" s="119">
        <f t="shared" si="48"/>
        <v>0</v>
      </c>
      <c r="AV34" s="125"/>
      <c r="AW34" s="120">
        <f t="shared" si="49"/>
        <v>0</v>
      </c>
    </row>
    <row r="35" spans="1:49" hidden="1" outlineLevel="1">
      <c r="A35" s="114"/>
      <c r="B35" s="115"/>
      <c r="C35" s="115"/>
      <c r="D35" s="116"/>
      <c r="E35" s="117">
        <f t="shared" si="29"/>
        <v>0</v>
      </c>
      <c r="F35" s="117"/>
      <c r="G35" s="117"/>
      <c r="H35" s="117"/>
      <c r="I35" s="117"/>
      <c r="J35" s="117">
        <f t="shared" si="30"/>
        <v>0</v>
      </c>
      <c r="K35" s="114"/>
      <c r="L35" s="114"/>
      <c r="M35" s="114"/>
      <c r="N35" s="114"/>
      <c r="O35" s="117">
        <f t="shared" si="31"/>
        <v>0</v>
      </c>
      <c r="P35" s="117">
        <f t="shared" si="32"/>
        <v>0</v>
      </c>
      <c r="Q35" s="118"/>
      <c r="R35" s="118"/>
      <c r="S35" s="117">
        <f t="shared" si="33"/>
        <v>0</v>
      </c>
      <c r="T35" s="117"/>
      <c r="U35" s="117"/>
      <c r="V35" s="117">
        <f t="shared" si="34"/>
        <v>0</v>
      </c>
      <c r="W35" s="118"/>
      <c r="X35" s="118"/>
      <c r="Y35" s="117">
        <f t="shared" si="35"/>
        <v>0</v>
      </c>
      <c r="Z35" s="117">
        <f t="shared" si="36"/>
        <v>0</v>
      </c>
      <c r="AA35" s="119">
        <f t="shared" si="50"/>
        <v>0</v>
      </c>
      <c r="AB35" s="117">
        <f t="shared" si="37"/>
        <v>0</v>
      </c>
      <c r="AC35" s="118"/>
      <c r="AD35" s="119">
        <f t="shared" si="38"/>
        <v>0</v>
      </c>
      <c r="AE35" s="118"/>
      <c r="AF35" s="118"/>
      <c r="AG35" s="118"/>
      <c r="AH35" s="118"/>
      <c r="AI35" s="152">
        <f t="shared" si="39"/>
        <v>0</v>
      </c>
      <c r="AJ35" s="118"/>
      <c r="AK35" s="120">
        <f t="shared" si="40"/>
        <v>0</v>
      </c>
      <c r="AL35" s="121">
        <f t="shared" si="41"/>
        <v>0</v>
      </c>
      <c r="AM35" s="122"/>
      <c r="AN35" s="123">
        <f t="shared" si="42"/>
        <v>0</v>
      </c>
      <c r="AO35" s="124">
        <f t="shared" si="43"/>
        <v>0</v>
      </c>
      <c r="AP35" s="124">
        <f t="shared" si="44"/>
        <v>0</v>
      </c>
      <c r="AQ35" s="124">
        <f t="shared" si="45"/>
        <v>0</v>
      </c>
      <c r="AR35" s="124">
        <f t="shared" si="46"/>
        <v>0</v>
      </c>
      <c r="AS35" s="124">
        <f t="array" ref="AS35">_xlfn.IFS(S35=0,AL35,S35&lt;0,AL35/-S35,S35&gt;0,AL35/S35)</f>
        <v>0</v>
      </c>
      <c r="AT35" s="119">
        <f t="shared" si="47"/>
        <v>0</v>
      </c>
      <c r="AU35" s="119">
        <f t="shared" si="48"/>
        <v>0</v>
      </c>
      <c r="AV35" s="125"/>
      <c r="AW35" s="120">
        <f t="shared" si="49"/>
        <v>0</v>
      </c>
    </row>
    <row r="36" spans="1:49" hidden="1" outlineLevel="1">
      <c r="A36" s="114"/>
      <c r="B36" s="115"/>
      <c r="C36" s="115"/>
      <c r="D36" s="116"/>
      <c r="E36" s="117">
        <f t="shared" si="29"/>
        <v>0</v>
      </c>
      <c r="F36" s="117"/>
      <c r="G36" s="117"/>
      <c r="H36" s="117"/>
      <c r="I36" s="117"/>
      <c r="J36" s="117">
        <f t="shared" si="30"/>
        <v>0</v>
      </c>
      <c r="K36" s="114"/>
      <c r="L36" s="114"/>
      <c r="M36" s="114"/>
      <c r="N36" s="114"/>
      <c r="O36" s="117">
        <f t="shared" si="31"/>
        <v>0</v>
      </c>
      <c r="P36" s="117">
        <f t="shared" si="32"/>
        <v>0</v>
      </c>
      <c r="Q36" s="118"/>
      <c r="R36" s="118"/>
      <c r="S36" s="117">
        <f t="shared" si="33"/>
        <v>0</v>
      </c>
      <c r="T36" s="117"/>
      <c r="U36" s="117"/>
      <c r="V36" s="117">
        <f t="shared" si="34"/>
        <v>0</v>
      </c>
      <c r="W36" s="118"/>
      <c r="X36" s="118"/>
      <c r="Y36" s="117">
        <f t="shared" si="35"/>
        <v>0</v>
      </c>
      <c r="Z36" s="117">
        <f t="shared" si="36"/>
        <v>0</v>
      </c>
      <c r="AA36" s="119">
        <f t="shared" si="50"/>
        <v>0</v>
      </c>
      <c r="AB36" s="117">
        <f t="shared" si="37"/>
        <v>0</v>
      </c>
      <c r="AC36" s="118"/>
      <c r="AD36" s="119">
        <f t="shared" si="38"/>
        <v>0</v>
      </c>
      <c r="AE36" s="118"/>
      <c r="AF36" s="118"/>
      <c r="AG36" s="118"/>
      <c r="AH36" s="118"/>
      <c r="AI36" s="152">
        <f t="shared" si="39"/>
        <v>0</v>
      </c>
      <c r="AJ36" s="118"/>
      <c r="AK36" s="120">
        <f t="shared" si="40"/>
        <v>0</v>
      </c>
      <c r="AL36" s="121">
        <f t="shared" si="41"/>
        <v>0</v>
      </c>
      <c r="AM36" s="122"/>
      <c r="AN36" s="123">
        <f t="shared" si="42"/>
        <v>0</v>
      </c>
      <c r="AO36" s="124">
        <f t="shared" si="43"/>
        <v>0</v>
      </c>
      <c r="AP36" s="124">
        <f t="shared" si="44"/>
        <v>0</v>
      </c>
      <c r="AQ36" s="124">
        <f t="shared" si="45"/>
        <v>0</v>
      </c>
      <c r="AR36" s="124">
        <f t="shared" si="46"/>
        <v>0</v>
      </c>
      <c r="AS36" s="124">
        <f t="array" ref="AS36">_xlfn.IFS(S36=0,AL36,S36&lt;0,AL36/-S36,S36&gt;0,AL36/S36)</f>
        <v>0</v>
      </c>
      <c r="AT36" s="119">
        <f t="shared" si="47"/>
        <v>0</v>
      </c>
      <c r="AU36" s="119">
        <f t="shared" si="48"/>
        <v>0</v>
      </c>
      <c r="AV36" s="125"/>
      <c r="AW36" s="120">
        <f t="shared" si="49"/>
        <v>0</v>
      </c>
    </row>
    <row r="37" spans="1:49" hidden="1" outlineLevel="1">
      <c r="A37" s="114"/>
      <c r="B37" s="115"/>
      <c r="C37" s="115"/>
      <c r="D37" s="116"/>
      <c r="E37" s="117">
        <f t="shared" si="29"/>
        <v>0</v>
      </c>
      <c r="F37" s="117"/>
      <c r="G37" s="117"/>
      <c r="H37" s="117"/>
      <c r="I37" s="117"/>
      <c r="J37" s="117">
        <f t="shared" si="30"/>
        <v>0</v>
      </c>
      <c r="K37" s="114"/>
      <c r="L37" s="114"/>
      <c r="M37" s="114"/>
      <c r="N37" s="114"/>
      <c r="O37" s="117">
        <f t="shared" si="31"/>
        <v>0</v>
      </c>
      <c r="P37" s="117">
        <f t="shared" si="32"/>
        <v>0</v>
      </c>
      <c r="Q37" s="118"/>
      <c r="R37" s="118"/>
      <c r="S37" s="117">
        <f t="shared" si="33"/>
        <v>0</v>
      </c>
      <c r="T37" s="117"/>
      <c r="U37" s="117"/>
      <c r="V37" s="117">
        <f t="shared" si="34"/>
        <v>0</v>
      </c>
      <c r="W37" s="118"/>
      <c r="X37" s="118"/>
      <c r="Y37" s="117">
        <f t="shared" si="35"/>
        <v>0</v>
      </c>
      <c r="Z37" s="117">
        <f t="shared" si="36"/>
        <v>0</v>
      </c>
      <c r="AA37" s="119">
        <f t="shared" si="50"/>
        <v>0</v>
      </c>
      <c r="AB37" s="117">
        <f t="shared" si="37"/>
        <v>0</v>
      </c>
      <c r="AC37" s="118"/>
      <c r="AD37" s="119">
        <f t="shared" si="38"/>
        <v>0</v>
      </c>
      <c r="AE37" s="118"/>
      <c r="AF37" s="118"/>
      <c r="AG37" s="118"/>
      <c r="AH37" s="118"/>
      <c r="AI37" s="152">
        <f t="shared" si="39"/>
        <v>0</v>
      </c>
      <c r="AJ37" s="118"/>
      <c r="AK37" s="120">
        <f t="shared" si="40"/>
        <v>0</v>
      </c>
      <c r="AL37" s="121">
        <f t="shared" si="41"/>
        <v>0</v>
      </c>
      <c r="AM37" s="122"/>
      <c r="AN37" s="123">
        <f t="shared" si="42"/>
        <v>0</v>
      </c>
      <c r="AO37" s="124">
        <f t="shared" si="43"/>
        <v>0</v>
      </c>
      <c r="AP37" s="124">
        <f t="shared" si="44"/>
        <v>0</v>
      </c>
      <c r="AQ37" s="124">
        <f t="shared" si="45"/>
        <v>0</v>
      </c>
      <c r="AR37" s="124">
        <f t="shared" si="46"/>
        <v>0</v>
      </c>
      <c r="AS37" s="124">
        <f t="array" ref="AS37">_xlfn.IFS(S37=0,AL37,S37&lt;0,AL37/-S37,S37&gt;0,AL37/S37)</f>
        <v>0</v>
      </c>
      <c r="AT37" s="119">
        <f t="shared" si="47"/>
        <v>0</v>
      </c>
      <c r="AU37" s="119">
        <f t="shared" si="48"/>
        <v>0</v>
      </c>
      <c r="AV37" s="125"/>
      <c r="AW37" s="120">
        <f t="shared" si="49"/>
        <v>0</v>
      </c>
    </row>
    <row r="38" spans="1:49" hidden="1" outlineLevel="1">
      <c r="A38" s="114"/>
      <c r="B38" s="115"/>
      <c r="C38" s="115"/>
      <c r="D38" s="116"/>
      <c r="E38" s="117">
        <f t="shared" si="29"/>
        <v>0</v>
      </c>
      <c r="F38" s="117"/>
      <c r="G38" s="117"/>
      <c r="H38" s="117"/>
      <c r="I38" s="117"/>
      <c r="J38" s="117">
        <f t="shared" si="30"/>
        <v>0</v>
      </c>
      <c r="K38" s="114"/>
      <c r="L38" s="114"/>
      <c r="M38" s="114"/>
      <c r="N38" s="114"/>
      <c r="O38" s="117">
        <f t="shared" si="31"/>
        <v>0</v>
      </c>
      <c r="P38" s="117">
        <f t="shared" si="32"/>
        <v>0</v>
      </c>
      <c r="Q38" s="118"/>
      <c r="R38" s="118"/>
      <c r="S38" s="117">
        <f t="shared" si="33"/>
        <v>0</v>
      </c>
      <c r="T38" s="117"/>
      <c r="U38" s="117"/>
      <c r="V38" s="117">
        <f t="shared" si="34"/>
        <v>0</v>
      </c>
      <c r="W38" s="118"/>
      <c r="X38" s="118"/>
      <c r="Y38" s="117">
        <f t="shared" si="35"/>
        <v>0</v>
      </c>
      <c r="Z38" s="117">
        <f t="shared" si="36"/>
        <v>0</v>
      </c>
      <c r="AA38" s="119">
        <f t="shared" si="50"/>
        <v>0</v>
      </c>
      <c r="AB38" s="117">
        <f t="shared" si="37"/>
        <v>0</v>
      </c>
      <c r="AC38" s="118"/>
      <c r="AD38" s="119">
        <f t="shared" si="38"/>
        <v>0</v>
      </c>
      <c r="AE38" s="118"/>
      <c r="AF38" s="118"/>
      <c r="AG38" s="118"/>
      <c r="AH38" s="118"/>
      <c r="AI38" s="152">
        <f t="shared" si="39"/>
        <v>0</v>
      </c>
      <c r="AJ38" s="118"/>
      <c r="AK38" s="120">
        <f t="shared" si="40"/>
        <v>0</v>
      </c>
      <c r="AL38" s="121">
        <f t="shared" si="41"/>
        <v>0</v>
      </c>
      <c r="AM38" s="122"/>
      <c r="AN38" s="123">
        <f t="shared" si="42"/>
        <v>0</v>
      </c>
      <c r="AO38" s="124">
        <f t="shared" si="43"/>
        <v>0</v>
      </c>
      <c r="AP38" s="124">
        <f t="shared" si="44"/>
        <v>0</v>
      </c>
      <c r="AQ38" s="124">
        <f t="shared" si="45"/>
        <v>0</v>
      </c>
      <c r="AR38" s="124">
        <f t="shared" si="46"/>
        <v>0</v>
      </c>
      <c r="AS38" s="124">
        <f t="array" ref="AS38">_xlfn.IFS(S38=0,AL38,S38&lt;0,AL38/-S38,S38&gt;0,AL38/S38)</f>
        <v>0</v>
      </c>
      <c r="AT38" s="119">
        <f t="shared" si="47"/>
        <v>0</v>
      </c>
      <c r="AU38" s="119">
        <f t="shared" si="48"/>
        <v>0</v>
      </c>
      <c r="AV38" s="125"/>
      <c r="AW38" s="120">
        <f t="shared" si="49"/>
        <v>0</v>
      </c>
    </row>
    <row r="39" spans="1:49" hidden="1" outlineLevel="1">
      <c r="A39" s="114"/>
      <c r="B39" s="115"/>
      <c r="C39" s="115"/>
      <c r="D39" s="116"/>
      <c r="E39" s="117">
        <f t="shared" si="29"/>
        <v>0</v>
      </c>
      <c r="F39" s="117"/>
      <c r="G39" s="117"/>
      <c r="H39" s="117"/>
      <c r="I39" s="117"/>
      <c r="J39" s="117">
        <f t="shared" si="30"/>
        <v>0</v>
      </c>
      <c r="K39" s="114"/>
      <c r="L39" s="114"/>
      <c r="M39" s="114"/>
      <c r="N39" s="114"/>
      <c r="O39" s="117">
        <f t="shared" si="31"/>
        <v>0</v>
      </c>
      <c r="P39" s="117">
        <f t="shared" si="32"/>
        <v>0</v>
      </c>
      <c r="Q39" s="118"/>
      <c r="R39" s="118"/>
      <c r="S39" s="117">
        <f t="shared" si="33"/>
        <v>0</v>
      </c>
      <c r="T39" s="117"/>
      <c r="U39" s="117"/>
      <c r="V39" s="117">
        <f t="shared" si="34"/>
        <v>0</v>
      </c>
      <c r="W39" s="118"/>
      <c r="X39" s="118"/>
      <c r="Y39" s="117">
        <f t="shared" si="35"/>
        <v>0</v>
      </c>
      <c r="Z39" s="117">
        <f t="shared" si="36"/>
        <v>0</v>
      </c>
      <c r="AA39" s="119">
        <f t="shared" si="50"/>
        <v>0</v>
      </c>
      <c r="AB39" s="117">
        <f t="shared" si="37"/>
        <v>0</v>
      </c>
      <c r="AC39" s="118"/>
      <c r="AD39" s="119">
        <f t="shared" si="38"/>
        <v>0</v>
      </c>
      <c r="AE39" s="118"/>
      <c r="AF39" s="118"/>
      <c r="AG39" s="118"/>
      <c r="AH39" s="118"/>
      <c r="AI39" s="152">
        <f t="shared" si="39"/>
        <v>0</v>
      </c>
      <c r="AJ39" s="118"/>
      <c r="AK39" s="120">
        <f t="shared" si="40"/>
        <v>0</v>
      </c>
      <c r="AL39" s="121">
        <f t="shared" si="41"/>
        <v>0</v>
      </c>
      <c r="AM39" s="122"/>
      <c r="AN39" s="123">
        <f t="shared" si="42"/>
        <v>0</v>
      </c>
      <c r="AO39" s="124">
        <f t="shared" si="43"/>
        <v>0</v>
      </c>
      <c r="AP39" s="124">
        <f t="shared" si="44"/>
        <v>0</v>
      </c>
      <c r="AQ39" s="124">
        <f t="shared" si="45"/>
        <v>0</v>
      </c>
      <c r="AR39" s="124">
        <f t="shared" si="46"/>
        <v>0</v>
      </c>
      <c r="AS39" s="124">
        <f t="array" ref="AS39">_xlfn.IFS(S39=0,AL39,S39&lt;0,AL39/-S39,S39&gt;0,AL39/S39)</f>
        <v>0</v>
      </c>
      <c r="AT39" s="119">
        <f t="shared" si="47"/>
        <v>0</v>
      </c>
      <c r="AU39" s="119">
        <f t="shared" si="48"/>
        <v>0</v>
      </c>
      <c r="AV39" s="125"/>
      <c r="AW39" s="120">
        <f t="shared" si="49"/>
        <v>0</v>
      </c>
    </row>
    <row r="40" spans="1:49" hidden="1" outlineLevel="1">
      <c r="A40" s="114"/>
      <c r="B40" s="115"/>
      <c r="C40" s="115"/>
      <c r="D40" s="116"/>
      <c r="E40" s="117">
        <f t="shared" si="29"/>
        <v>0</v>
      </c>
      <c r="F40" s="117"/>
      <c r="G40" s="117"/>
      <c r="H40" s="117"/>
      <c r="I40" s="117"/>
      <c r="J40" s="117">
        <f t="shared" si="30"/>
        <v>0</v>
      </c>
      <c r="K40" s="114"/>
      <c r="L40" s="114"/>
      <c r="M40" s="114"/>
      <c r="N40" s="114"/>
      <c r="O40" s="117">
        <f t="shared" si="31"/>
        <v>0</v>
      </c>
      <c r="P40" s="117">
        <f t="shared" si="32"/>
        <v>0</v>
      </c>
      <c r="Q40" s="118"/>
      <c r="R40" s="118"/>
      <c r="S40" s="117">
        <f t="shared" si="33"/>
        <v>0</v>
      </c>
      <c r="T40" s="117"/>
      <c r="U40" s="117"/>
      <c r="V40" s="117">
        <f t="shared" si="34"/>
        <v>0</v>
      </c>
      <c r="W40" s="118"/>
      <c r="X40" s="118"/>
      <c r="Y40" s="117">
        <f t="shared" si="35"/>
        <v>0</v>
      </c>
      <c r="Z40" s="117">
        <f t="shared" si="36"/>
        <v>0</v>
      </c>
      <c r="AA40" s="119">
        <f t="shared" si="50"/>
        <v>0</v>
      </c>
      <c r="AB40" s="117">
        <f t="shared" si="37"/>
        <v>0</v>
      </c>
      <c r="AC40" s="118"/>
      <c r="AD40" s="119">
        <f t="shared" si="38"/>
        <v>0</v>
      </c>
      <c r="AE40" s="118"/>
      <c r="AF40" s="118"/>
      <c r="AG40" s="118"/>
      <c r="AH40" s="118"/>
      <c r="AI40" s="152">
        <f t="shared" si="39"/>
        <v>0</v>
      </c>
      <c r="AJ40" s="118"/>
      <c r="AK40" s="120">
        <f t="shared" si="40"/>
        <v>0</v>
      </c>
      <c r="AL40" s="121">
        <f t="shared" si="41"/>
        <v>0</v>
      </c>
      <c r="AM40" s="122"/>
      <c r="AN40" s="123">
        <f t="shared" si="42"/>
        <v>0</v>
      </c>
      <c r="AO40" s="124">
        <f t="shared" si="43"/>
        <v>0</v>
      </c>
      <c r="AP40" s="124">
        <f t="shared" si="44"/>
        <v>0</v>
      </c>
      <c r="AQ40" s="124">
        <f t="shared" si="45"/>
        <v>0</v>
      </c>
      <c r="AR40" s="124">
        <f t="shared" si="46"/>
        <v>0</v>
      </c>
      <c r="AS40" s="124">
        <f t="array" ref="AS40">_xlfn.IFS(S40=0,AL40,S40&lt;0,AL40/-S40,S40&gt;0,AL40/S40)</f>
        <v>0</v>
      </c>
      <c r="AT40" s="119">
        <f t="shared" si="47"/>
        <v>0</v>
      </c>
      <c r="AU40" s="119">
        <f t="shared" si="48"/>
        <v>0</v>
      </c>
      <c r="AV40" s="125"/>
      <c r="AW40" s="120">
        <f t="shared" si="49"/>
        <v>0</v>
      </c>
    </row>
    <row r="41" spans="1:49" hidden="1" outlineLevel="1">
      <c r="A41" s="114"/>
      <c r="B41" s="115"/>
      <c r="C41" s="115"/>
      <c r="D41" s="116"/>
      <c r="E41" s="117">
        <f t="shared" si="29"/>
        <v>0</v>
      </c>
      <c r="F41" s="117"/>
      <c r="G41" s="117"/>
      <c r="H41" s="117"/>
      <c r="I41" s="117"/>
      <c r="J41" s="117">
        <f t="shared" si="30"/>
        <v>0</v>
      </c>
      <c r="K41" s="114"/>
      <c r="L41" s="114"/>
      <c r="M41" s="114"/>
      <c r="N41" s="114"/>
      <c r="O41" s="117">
        <f t="shared" si="31"/>
        <v>0</v>
      </c>
      <c r="P41" s="117">
        <f t="shared" si="32"/>
        <v>0</v>
      </c>
      <c r="Q41" s="118"/>
      <c r="R41" s="118"/>
      <c r="S41" s="117">
        <f t="shared" si="33"/>
        <v>0</v>
      </c>
      <c r="T41" s="117"/>
      <c r="U41" s="117"/>
      <c r="V41" s="117">
        <f t="shared" si="34"/>
        <v>0</v>
      </c>
      <c r="W41" s="118"/>
      <c r="X41" s="118"/>
      <c r="Y41" s="117">
        <f t="shared" si="35"/>
        <v>0</v>
      </c>
      <c r="Z41" s="117">
        <f t="shared" si="36"/>
        <v>0</v>
      </c>
      <c r="AA41" s="119">
        <f t="shared" si="50"/>
        <v>0</v>
      </c>
      <c r="AB41" s="117">
        <f t="shared" si="37"/>
        <v>0</v>
      </c>
      <c r="AC41" s="118"/>
      <c r="AD41" s="119">
        <f t="shared" si="38"/>
        <v>0</v>
      </c>
      <c r="AE41" s="118"/>
      <c r="AF41" s="118"/>
      <c r="AG41" s="118"/>
      <c r="AH41" s="118"/>
      <c r="AI41" s="152">
        <f t="shared" si="39"/>
        <v>0</v>
      </c>
      <c r="AJ41" s="118"/>
      <c r="AK41" s="120">
        <f t="shared" si="40"/>
        <v>0</v>
      </c>
      <c r="AL41" s="121">
        <f t="shared" si="41"/>
        <v>0</v>
      </c>
      <c r="AM41" s="122"/>
      <c r="AN41" s="123">
        <f t="shared" si="42"/>
        <v>0</v>
      </c>
      <c r="AO41" s="124">
        <f t="shared" si="43"/>
        <v>0</v>
      </c>
      <c r="AP41" s="124">
        <f t="shared" si="44"/>
        <v>0</v>
      </c>
      <c r="AQ41" s="124">
        <f t="shared" si="45"/>
        <v>0</v>
      </c>
      <c r="AR41" s="124">
        <f t="shared" si="46"/>
        <v>0</v>
      </c>
      <c r="AS41" s="124">
        <f t="array" ref="AS41">_xlfn.IFS(S41=0,AL41,S41&lt;0,AL41/-S41,S41&gt;0,AL41/S41)</f>
        <v>0</v>
      </c>
      <c r="AT41" s="119">
        <f t="shared" si="47"/>
        <v>0</v>
      </c>
      <c r="AU41" s="119">
        <f t="shared" si="48"/>
        <v>0</v>
      </c>
      <c r="AV41" s="125"/>
      <c r="AW41" s="120">
        <f t="shared" si="49"/>
        <v>0</v>
      </c>
    </row>
    <row r="42" spans="1:49" hidden="1" outlineLevel="1">
      <c r="A42" s="114"/>
      <c r="B42" s="115"/>
      <c r="C42" s="115"/>
      <c r="D42" s="116"/>
      <c r="E42" s="117">
        <f t="shared" si="29"/>
        <v>0</v>
      </c>
      <c r="F42" s="117"/>
      <c r="G42" s="117"/>
      <c r="H42" s="117"/>
      <c r="I42" s="117"/>
      <c r="J42" s="117">
        <f t="shared" si="30"/>
        <v>0</v>
      </c>
      <c r="K42" s="114"/>
      <c r="L42" s="114"/>
      <c r="M42" s="114"/>
      <c r="N42" s="114"/>
      <c r="O42" s="117">
        <f t="shared" si="31"/>
        <v>0</v>
      </c>
      <c r="P42" s="117">
        <f t="shared" si="32"/>
        <v>0</v>
      </c>
      <c r="Q42" s="118"/>
      <c r="R42" s="118"/>
      <c r="S42" s="117">
        <f t="shared" si="33"/>
        <v>0</v>
      </c>
      <c r="T42" s="117"/>
      <c r="U42" s="117"/>
      <c r="V42" s="117">
        <f t="shared" si="34"/>
        <v>0</v>
      </c>
      <c r="W42" s="118"/>
      <c r="X42" s="118"/>
      <c r="Y42" s="117">
        <f t="shared" si="35"/>
        <v>0</v>
      </c>
      <c r="Z42" s="117">
        <f t="shared" si="36"/>
        <v>0</v>
      </c>
      <c r="AA42" s="119">
        <f t="shared" si="50"/>
        <v>0</v>
      </c>
      <c r="AB42" s="117">
        <f t="shared" si="37"/>
        <v>0</v>
      </c>
      <c r="AC42" s="118"/>
      <c r="AD42" s="119">
        <f t="shared" si="38"/>
        <v>0</v>
      </c>
      <c r="AE42" s="118"/>
      <c r="AF42" s="118"/>
      <c r="AG42" s="118"/>
      <c r="AH42" s="118"/>
      <c r="AI42" s="152">
        <f t="shared" si="39"/>
        <v>0</v>
      </c>
      <c r="AJ42" s="118"/>
      <c r="AK42" s="120">
        <f t="shared" si="40"/>
        <v>0</v>
      </c>
      <c r="AL42" s="121">
        <f t="shared" si="41"/>
        <v>0</v>
      </c>
      <c r="AM42" s="122"/>
      <c r="AN42" s="123">
        <f t="shared" si="42"/>
        <v>0</v>
      </c>
      <c r="AO42" s="124">
        <f t="shared" si="43"/>
        <v>0</v>
      </c>
      <c r="AP42" s="124">
        <f t="shared" si="44"/>
        <v>0</v>
      </c>
      <c r="AQ42" s="124">
        <f t="shared" si="45"/>
        <v>0</v>
      </c>
      <c r="AR42" s="124">
        <f t="shared" si="46"/>
        <v>0</v>
      </c>
      <c r="AS42" s="124">
        <f t="array" ref="AS42">_xlfn.IFS(S42=0,AL42,S42&lt;0,AL42/-S42,S42&gt;0,AL42/S42)</f>
        <v>0</v>
      </c>
      <c r="AT42" s="119">
        <f t="shared" si="47"/>
        <v>0</v>
      </c>
      <c r="AU42" s="119">
        <f t="shared" si="48"/>
        <v>0</v>
      </c>
      <c r="AV42" s="125"/>
      <c r="AW42" s="120">
        <f t="shared" si="49"/>
        <v>0</v>
      </c>
    </row>
    <row r="43" spans="1:49" hidden="1" outlineLevel="1">
      <c r="A43" s="114"/>
      <c r="B43" s="115"/>
      <c r="C43" s="115"/>
      <c r="D43" s="116"/>
      <c r="E43" s="117">
        <f t="shared" si="29"/>
        <v>0</v>
      </c>
      <c r="F43" s="117"/>
      <c r="G43" s="117"/>
      <c r="H43" s="117"/>
      <c r="I43" s="117"/>
      <c r="J43" s="117">
        <f t="shared" si="30"/>
        <v>0</v>
      </c>
      <c r="K43" s="114"/>
      <c r="L43" s="114"/>
      <c r="M43" s="114"/>
      <c r="N43" s="114"/>
      <c r="O43" s="117">
        <f t="shared" si="31"/>
        <v>0</v>
      </c>
      <c r="P43" s="117">
        <f t="shared" si="32"/>
        <v>0</v>
      </c>
      <c r="Q43" s="118"/>
      <c r="R43" s="118"/>
      <c r="S43" s="117">
        <f t="shared" si="33"/>
        <v>0</v>
      </c>
      <c r="T43" s="117"/>
      <c r="U43" s="117"/>
      <c r="V43" s="117">
        <f t="shared" si="34"/>
        <v>0</v>
      </c>
      <c r="W43" s="118"/>
      <c r="X43" s="118"/>
      <c r="Y43" s="117">
        <f t="shared" si="35"/>
        <v>0</v>
      </c>
      <c r="Z43" s="117">
        <f t="shared" si="36"/>
        <v>0</v>
      </c>
      <c r="AA43" s="119">
        <f t="shared" si="50"/>
        <v>0</v>
      </c>
      <c r="AB43" s="117">
        <f t="shared" si="37"/>
        <v>0</v>
      </c>
      <c r="AC43" s="118"/>
      <c r="AD43" s="119">
        <f t="shared" si="38"/>
        <v>0</v>
      </c>
      <c r="AE43" s="118"/>
      <c r="AF43" s="118"/>
      <c r="AG43" s="118"/>
      <c r="AH43" s="118"/>
      <c r="AI43" s="152">
        <f t="shared" si="39"/>
        <v>0</v>
      </c>
      <c r="AJ43" s="118"/>
      <c r="AK43" s="120">
        <f t="shared" si="40"/>
        <v>0</v>
      </c>
      <c r="AL43" s="121">
        <f t="shared" si="41"/>
        <v>0</v>
      </c>
      <c r="AM43" s="122"/>
      <c r="AN43" s="123">
        <f t="shared" si="42"/>
        <v>0</v>
      </c>
      <c r="AO43" s="124">
        <f t="shared" si="43"/>
        <v>0</v>
      </c>
      <c r="AP43" s="124">
        <f t="shared" si="44"/>
        <v>0</v>
      </c>
      <c r="AQ43" s="124">
        <f t="shared" si="45"/>
        <v>0</v>
      </c>
      <c r="AR43" s="124">
        <f t="shared" si="46"/>
        <v>0</v>
      </c>
      <c r="AS43" s="124">
        <f t="array" ref="AS43">_xlfn.IFS(S43=0,AL43,S43&lt;0,AL43/-S43,S43&gt;0,AL43/S43)</f>
        <v>0</v>
      </c>
      <c r="AT43" s="119">
        <f t="shared" si="47"/>
        <v>0</v>
      </c>
      <c r="AU43" s="119">
        <f t="shared" si="48"/>
        <v>0</v>
      </c>
      <c r="AV43" s="125"/>
      <c r="AW43" s="120">
        <f t="shared" si="49"/>
        <v>0</v>
      </c>
    </row>
    <row r="44" spans="1:49" hidden="1" outlineLevel="1">
      <c r="A44" s="114"/>
      <c r="B44" s="115"/>
      <c r="C44" s="115"/>
      <c r="D44" s="149"/>
      <c r="E44" s="118">
        <f t="shared" si="29"/>
        <v>0</v>
      </c>
      <c r="F44" s="117"/>
      <c r="G44" s="117"/>
      <c r="H44" s="117"/>
      <c r="I44" s="117"/>
      <c r="J44" s="117">
        <f t="shared" si="30"/>
        <v>0</v>
      </c>
      <c r="K44" s="114"/>
      <c r="L44" s="114"/>
      <c r="M44" s="114"/>
      <c r="N44" s="114"/>
      <c r="O44" s="117">
        <f t="shared" si="31"/>
        <v>0</v>
      </c>
      <c r="P44" s="117">
        <f t="shared" si="32"/>
        <v>0</v>
      </c>
      <c r="Q44" s="118"/>
      <c r="R44" s="118"/>
      <c r="S44" s="117">
        <f t="shared" si="33"/>
        <v>0</v>
      </c>
      <c r="T44" s="117"/>
      <c r="U44" s="117"/>
      <c r="V44" s="117">
        <f t="shared" si="34"/>
        <v>0</v>
      </c>
      <c r="W44" s="118"/>
      <c r="X44" s="118"/>
      <c r="Y44" s="117">
        <f t="shared" si="35"/>
        <v>0</v>
      </c>
      <c r="Z44" s="117">
        <f t="shared" si="36"/>
        <v>0</v>
      </c>
      <c r="AA44" s="119">
        <f t="shared" si="50"/>
        <v>0</v>
      </c>
      <c r="AB44" s="117">
        <f t="shared" si="37"/>
        <v>0</v>
      </c>
      <c r="AC44" s="118"/>
      <c r="AD44" s="119">
        <f t="shared" si="38"/>
        <v>0</v>
      </c>
      <c r="AE44" s="118"/>
      <c r="AF44" s="118"/>
      <c r="AG44" s="118"/>
      <c r="AH44" s="118"/>
      <c r="AI44" s="152">
        <f t="shared" si="39"/>
        <v>0</v>
      </c>
      <c r="AJ44" s="118"/>
      <c r="AK44" s="120">
        <f t="shared" si="40"/>
        <v>0</v>
      </c>
      <c r="AL44" s="121">
        <f t="shared" si="41"/>
        <v>0</v>
      </c>
      <c r="AM44" s="122"/>
      <c r="AN44" s="123">
        <f t="shared" si="42"/>
        <v>0</v>
      </c>
      <c r="AO44" s="124">
        <f t="shared" si="43"/>
        <v>0</v>
      </c>
      <c r="AP44" s="124">
        <f t="shared" si="44"/>
        <v>0</v>
      </c>
      <c r="AQ44" s="124">
        <f t="shared" si="45"/>
        <v>0</v>
      </c>
      <c r="AR44" s="124">
        <f t="shared" si="46"/>
        <v>0</v>
      </c>
      <c r="AS44" s="124">
        <f t="array" ref="AS44">_xlfn.IFS(S44=0,AL44,S44&lt;0,AL44/-S44,S44&gt;0,AL44/S44)</f>
        <v>0</v>
      </c>
      <c r="AT44" s="119">
        <f t="shared" si="47"/>
        <v>0</v>
      </c>
      <c r="AU44" s="119">
        <f t="shared" si="48"/>
        <v>0</v>
      </c>
      <c r="AV44" s="125"/>
      <c r="AW44" s="120">
        <f t="shared" si="49"/>
        <v>0</v>
      </c>
    </row>
    <row r="45" spans="1:49" hidden="1" outlineLevel="1">
      <c r="A45" s="114"/>
      <c r="B45" s="115"/>
      <c r="C45" s="115"/>
      <c r="D45" s="149"/>
      <c r="E45" s="118">
        <f t="shared" si="29"/>
        <v>0</v>
      </c>
      <c r="F45" s="117"/>
      <c r="G45" s="117"/>
      <c r="H45" s="117"/>
      <c r="I45" s="117"/>
      <c r="J45" s="117">
        <f t="shared" si="30"/>
        <v>0</v>
      </c>
      <c r="K45" s="114"/>
      <c r="L45" s="114"/>
      <c r="M45" s="114"/>
      <c r="N45" s="114"/>
      <c r="O45" s="117">
        <f t="shared" si="31"/>
        <v>0</v>
      </c>
      <c r="P45" s="117">
        <f t="shared" si="32"/>
        <v>0</v>
      </c>
      <c r="Q45" s="118"/>
      <c r="R45" s="118"/>
      <c r="S45" s="117">
        <f t="shared" si="33"/>
        <v>0</v>
      </c>
      <c r="T45" s="117"/>
      <c r="U45" s="117"/>
      <c r="V45" s="117">
        <f t="shared" si="34"/>
        <v>0</v>
      </c>
      <c r="W45" s="118"/>
      <c r="X45" s="118"/>
      <c r="Y45" s="117">
        <f t="shared" si="35"/>
        <v>0</v>
      </c>
      <c r="Z45" s="117">
        <f t="shared" si="36"/>
        <v>0</v>
      </c>
      <c r="AA45" s="119">
        <f t="shared" si="50"/>
        <v>0</v>
      </c>
      <c r="AB45" s="117">
        <f t="shared" si="37"/>
        <v>0</v>
      </c>
      <c r="AC45" s="118"/>
      <c r="AD45" s="119">
        <f t="shared" si="38"/>
        <v>0</v>
      </c>
      <c r="AE45" s="118"/>
      <c r="AF45" s="118"/>
      <c r="AG45" s="118"/>
      <c r="AH45" s="118"/>
      <c r="AI45" s="152">
        <f t="shared" si="39"/>
        <v>0</v>
      </c>
      <c r="AJ45" s="118"/>
      <c r="AK45" s="120">
        <f t="shared" si="40"/>
        <v>0</v>
      </c>
      <c r="AL45" s="121">
        <f t="shared" si="41"/>
        <v>0</v>
      </c>
      <c r="AM45" s="122"/>
      <c r="AN45" s="123">
        <f t="shared" si="42"/>
        <v>0</v>
      </c>
      <c r="AO45" s="124">
        <f t="shared" si="43"/>
        <v>0</v>
      </c>
      <c r="AP45" s="124">
        <f t="shared" si="44"/>
        <v>0</v>
      </c>
      <c r="AQ45" s="124">
        <f t="shared" si="45"/>
        <v>0</v>
      </c>
      <c r="AR45" s="124">
        <f t="shared" si="46"/>
        <v>0</v>
      </c>
      <c r="AS45" s="124">
        <f t="array" ref="AS45">_xlfn.IFS(S45=0,AL45,S45&lt;0,AL45/-S45,S45&gt;0,AL45/S45)</f>
        <v>0</v>
      </c>
      <c r="AT45" s="119">
        <f t="shared" si="47"/>
        <v>0</v>
      </c>
      <c r="AU45" s="119">
        <f t="shared" si="48"/>
        <v>0</v>
      </c>
      <c r="AV45" s="125"/>
      <c r="AW45" s="120">
        <f t="shared" si="49"/>
        <v>0</v>
      </c>
    </row>
    <row r="46" spans="1:49" hidden="1" outlineLevel="1">
      <c r="A46" s="114"/>
      <c r="B46" s="115"/>
      <c r="C46" s="115"/>
      <c r="D46" s="149"/>
      <c r="E46" s="118">
        <f t="shared" si="29"/>
        <v>0</v>
      </c>
      <c r="F46" s="117"/>
      <c r="G46" s="117"/>
      <c r="H46" s="117"/>
      <c r="I46" s="117"/>
      <c r="J46" s="117">
        <f t="shared" si="30"/>
        <v>0</v>
      </c>
      <c r="K46" s="114"/>
      <c r="L46" s="114"/>
      <c r="M46" s="114"/>
      <c r="N46" s="114"/>
      <c r="O46" s="117">
        <f t="shared" si="31"/>
        <v>0</v>
      </c>
      <c r="P46" s="117">
        <f t="shared" si="32"/>
        <v>0</v>
      </c>
      <c r="Q46" s="118"/>
      <c r="R46" s="118"/>
      <c r="S46" s="117">
        <f t="shared" si="33"/>
        <v>0</v>
      </c>
      <c r="T46" s="117"/>
      <c r="U46" s="117"/>
      <c r="V46" s="117">
        <f t="shared" si="34"/>
        <v>0</v>
      </c>
      <c r="W46" s="118"/>
      <c r="X46" s="118"/>
      <c r="Y46" s="117">
        <f t="shared" si="35"/>
        <v>0</v>
      </c>
      <c r="Z46" s="117">
        <f t="shared" si="36"/>
        <v>0</v>
      </c>
      <c r="AA46" s="119">
        <f t="shared" si="50"/>
        <v>0</v>
      </c>
      <c r="AB46" s="117">
        <f t="shared" si="37"/>
        <v>0</v>
      </c>
      <c r="AC46" s="118"/>
      <c r="AD46" s="119">
        <f t="shared" si="38"/>
        <v>0</v>
      </c>
      <c r="AE46" s="118"/>
      <c r="AF46" s="118"/>
      <c r="AG46" s="118"/>
      <c r="AH46" s="118"/>
      <c r="AI46" s="152">
        <f t="shared" si="39"/>
        <v>0</v>
      </c>
      <c r="AJ46" s="118"/>
      <c r="AK46" s="120">
        <f t="shared" si="40"/>
        <v>0</v>
      </c>
      <c r="AL46" s="121">
        <f t="shared" si="41"/>
        <v>0</v>
      </c>
      <c r="AM46" s="122"/>
      <c r="AN46" s="123">
        <f t="shared" si="42"/>
        <v>0</v>
      </c>
      <c r="AO46" s="124">
        <f t="shared" si="43"/>
        <v>0</v>
      </c>
      <c r="AP46" s="124">
        <f t="shared" si="44"/>
        <v>0</v>
      </c>
      <c r="AQ46" s="124">
        <f t="shared" si="45"/>
        <v>0</v>
      </c>
      <c r="AR46" s="124">
        <f t="shared" si="46"/>
        <v>0</v>
      </c>
      <c r="AS46" s="124">
        <f t="array" ref="AS46">_xlfn.IFS(S46=0,AL46,S46&lt;0,AL46/-S46,S46&gt;0,AL46/S46)</f>
        <v>0</v>
      </c>
      <c r="AT46" s="119">
        <f t="shared" si="47"/>
        <v>0</v>
      </c>
      <c r="AU46" s="119">
        <f t="shared" si="48"/>
        <v>0</v>
      </c>
      <c r="AV46" s="125"/>
      <c r="AW46" s="120">
        <f t="shared" si="49"/>
        <v>0</v>
      </c>
    </row>
    <row r="47" spans="1:49" hidden="1" outlineLevel="1">
      <c r="A47" s="114"/>
      <c r="B47" s="115"/>
      <c r="C47" s="115"/>
      <c r="D47" s="116"/>
      <c r="E47" s="117">
        <f t="shared" si="29"/>
        <v>0</v>
      </c>
      <c r="F47" s="117"/>
      <c r="G47" s="117"/>
      <c r="H47" s="117"/>
      <c r="I47" s="117"/>
      <c r="J47" s="117">
        <f t="shared" si="30"/>
        <v>0</v>
      </c>
      <c r="K47" s="114"/>
      <c r="L47" s="114"/>
      <c r="M47" s="114"/>
      <c r="N47" s="114"/>
      <c r="O47" s="117">
        <f t="shared" si="31"/>
        <v>0</v>
      </c>
      <c r="P47" s="117">
        <f t="shared" si="32"/>
        <v>0</v>
      </c>
      <c r="Q47" s="118"/>
      <c r="R47" s="118"/>
      <c r="S47" s="117">
        <f t="shared" si="33"/>
        <v>0</v>
      </c>
      <c r="T47" s="117"/>
      <c r="U47" s="117"/>
      <c r="V47" s="117">
        <f t="shared" si="34"/>
        <v>0</v>
      </c>
      <c r="W47" s="118"/>
      <c r="X47" s="118"/>
      <c r="Y47" s="117">
        <f t="shared" si="35"/>
        <v>0</v>
      </c>
      <c r="Z47" s="117">
        <f t="shared" si="36"/>
        <v>0</v>
      </c>
      <c r="AA47" s="119">
        <f t="shared" si="50"/>
        <v>0</v>
      </c>
      <c r="AB47" s="117">
        <f t="shared" si="37"/>
        <v>0</v>
      </c>
      <c r="AC47" s="118"/>
      <c r="AD47" s="119">
        <f t="shared" si="38"/>
        <v>0</v>
      </c>
      <c r="AE47" s="118"/>
      <c r="AF47" s="118"/>
      <c r="AG47" s="118"/>
      <c r="AH47" s="118"/>
      <c r="AI47" s="152">
        <f t="shared" si="39"/>
        <v>0</v>
      </c>
      <c r="AJ47" s="118"/>
      <c r="AK47" s="120">
        <f t="shared" si="40"/>
        <v>0</v>
      </c>
      <c r="AL47" s="121">
        <f t="shared" si="41"/>
        <v>0</v>
      </c>
      <c r="AM47" s="122"/>
      <c r="AN47" s="123">
        <f t="shared" si="42"/>
        <v>0</v>
      </c>
      <c r="AO47" s="124">
        <f t="shared" si="43"/>
        <v>0</v>
      </c>
      <c r="AP47" s="124">
        <f t="shared" si="44"/>
        <v>0</v>
      </c>
      <c r="AQ47" s="124">
        <f t="shared" si="45"/>
        <v>0</v>
      </c>
      <c r="AR47" s="124">
        <f t="shared" si="46"/>
        <v>0</v>
      </c>
      <c r="AS47" s="124">
        <f t="array" ref="AS47">_xlfn.IFS(S47=0,AL47,S47&lt;0,AL47/-S47,S47&gt;0,AL47/S47)</f>
        <v>0</v>
      </c>
      <c r="AT47" s="119">
        <f t="shared" si="47"/>
        <v>0</v>
      </c>
      <c r="AU47" s="119">
        <f t="shared" si="48"/>
        <v>0</v>
      </c>
      <c r="AV47" s="125"/>
      <c r="AW47" s="120">
        <f t="shared" si="49"/>
        <v>0</v>
      </c>
    </row>
    <row r="48" spans="1:49" hidden="1" outlineLevel="1">
      <c r="A48" s="114"/>
      <c r="B48" s="115"/>
      <c r="C48" s="115"/>
      <c r="D48" s="116"/>
      <c r="E48" s="117">
        <f t="shared" si="29"/>
        <v>0</v>
      </c>
      <c r="F48" s="117"/>
      <c r="G48" s="117"/>
      <c r="H48" s="117"/>
      <c r="I48" s="117"/>
      <c r="J48" s="117">
        <f t="shared" si="30"/>
        <v>0</v>
      </c>
      <c r="K48" s="114"/>
      <c r="L48" s="114"/>
      <c r="M48" s="114"/>
      <c r="N48" s="114"/>
      <c r="O48" s="117">
        <f t="shared" si="31"/>
        <v>0</v>
      </c>
      <c r="P48" s="117">
        <f t="shared" si="32"/>
        <v>0</v>
      </c>
      <c r="Q48" s="118"/>
      <c r="R48" s="118"/>
      <c r="S48" s="117">
        <f t="shared" si="33"/>
        <v>0</v>
      </c>
      <c r="T48" s="117"/>
      <c r="U48" s="117"/>
      <c r="V48" s="117">
        <f t="shared" si="34"/>
        <v>0</v>
      </c>
      <c r="W48" s="118"/>
      <c r="X48" s="118"/>
      <c r="Y48" s="117">
        <f t="shared" si="35"/>
        <v>0</v>
      </c>
      <c r="Z48" s="117">
        <f t="shared" si="36"/>
        <v>0</v>
      </c>
      <c r="AA48" s="119">
        <f t="shared" si="50"/>
        <v>0</v>
      </c>
      <c r="AB48" s="117">
        <f t="shared" si="37"/>
        <v>0</v>
      </c>
      <c r="AC48" s="118"/>
      <c r="AD48" s="119">
        <f t="shared" si="38"/>
        <v>0</v>
      </c>
      <c r="AE48" s="118"/>
      <c r="AF48" s="118"/>
      <c r="AG48" s="118"/>
      <c r="AH48" s="118"/>
      <c r="AI48" s="152">
        <f t="shared" si="39"/>
        <v>0</v>
      </c>
      <c r="AJ48" s="118"/>
      <c r="AK48" s="120">
        <f t="shared" si="40"/>
        <v>0</v>
      </c>
      <c r="AL48" s="121">
        <f t="shared" si="41"/>
        <v>0</v>
      </c>
      <c r="AM48" s="122"/>
      <c r="AN48" s="123">
        <f t="shared" si="42"/>
        <v>0</v>
      </c>
      <c r="AO48" s="124">
        <f t="shared" si="43"/>
        <v>0</v>
      </c>
      <c r="AP48" s="124">
        <f t="shared" si="44"/>
        <v>0</v>
      </c>
      <c r="AQ48" s="124">
        <f t="shared" si="45"/>
        <v>0</v>
      </c>
      <c r="AR48" s="124">
        <f t="shared" si="46"/>
        <v>0</v>
      </c>
      <c r="AS48" s="124">
        <f t="array" ref="AS48">_xlfn.IFS(S48=0,AL48,S48&lt;0,AL48/-S48,S48&gt;0,AL48/S48)</f>
        <v>0</v>
      </c>
      <c r="AT48" s="119">
        <f t="shared" si="47"/>
        <v>0</v>
      </c>
      <c r="AU48" s="119">
        <f t="shared" si="48"/>
        <v>0</v>
      </c>
      <c r="AV48" s="125"/>
      <c r="AW48" s="120">
        <f t="shared" si="49"/>
        <v>0</v>
      </c>
    </row>
    <row r="49" spans="1:49" hidden="1" outlineLevel="1">
      <c r="A49" s="114"/>
      <c r="B49" s="115"/>
      <c r="C49" s="115"/>
      <c r="D49" s="116"/>
      <c r="E49" s="117">
        <f t="shared" si="29"/>
        <v>0</v>
      </c>
      <c r="F49" s="117"/>
      <c r="G49" s="117"/>
      <c r="H49" s="117"/>
      <c r="I49" s="117"/>
      <c r="J49" s="117">
        <f t="shared" si="30"/>
        <v>0</v>
      </c>
      <c r="K49" s="114"/>
      <c r="L49" s="114"/>
      <c r="M49" s="114"/>
      <c r="N49" s="114"/>
      <c r="O49" s="117">
        <f t="shared" si="31"/>
        <v>0</v>
      </c>
      <c r="P49" s="117">
        <f t="shared" si="32"/>
        <v>0</v>
      </c>
      <c r="Q49" s="118"/>
      <c r="R49" s="118"/>
      <c r="S49" s="117">
        <f t="shared" si="33"/>
        <v>0</v>
      </c>
      <c r="T49" s="117"/>
      <c r="U49" s="117"/>
      <c r="V49" s="117">
        <f t="shared" si="34"/>
        <v>0</v>
      </c>
      <c r="W49" s="118"/>
      <c r="X49" s="118"/>
      <c r="Y49" s="117">
        <f t="shared" si="35"/>
        <v>0</v>
      </c>
      <c r="Z49" s="117">
        <f t="shared" si="36"/>
        <v>0</v>
      </c>
      <c r="AA49" s="119">
        <f t="shared" si="50"/>
        <v>0</v>
      </c>
      <c r="AB49" s="117">
        <f t="shared" si="37"/>
        <v>0</v>
      </c>
      <c r="AC49" s="118"/>
      <c r="AD49" s="119">
        <f t="shared" si="38"/>
        <v>0</v>
      </c>
      <c r="AE49" s="118"/>
      <c r="AF49" s="118"/>
      <c r="AG49" s="118"/>
      <c r="AH49" s="118"/>
      <c r="AI49" s="152">
        <f t="shared" si="39"/>
        <v>0</v>
      </c>
      <c r="AJ49" s="118"/>
      <c r="AK49" s="120">
        <f t="shared" si="40"/>
        <v>0</v>
      </c>
      <c r="AL49" s="121">
        <f t="shared" si="41"/>
        <v>0</v>
      </c>
      <c r="AM49" s="122"/>
      <c r="AN49" s="123">
        <f t="shared" si="42"/>
        <v>0</v>
      </c>
      <c r="AO49" s="124">
        <f t="shared" si="43"/>
        <v>0</v>
      </c>
      <c r="AP49" s="124">
        <f t="shared" si="44"/>
        <v>0</v>
      </c>
      <c r="AQ49" s="124">
        <f t="shared" si="45"/>
        <v>0</v>
      </c>
      <c r="AR49" s="124">
        <f t="shared" si="46"/>
        <v>0</v>
      </c>
      <c r="AS49" s="124">
        <f t="array" ref="AS49">_xlfn.IFS(S49=0,AL49,S49&lt;0,AL49/-S49,S49&gt;0,AL49/S49)</f>
        <v>0</v>
      </c>
      <c r="AT49" s="119">
        <f t="shared" si="47"/>
        <v>0</v>
      </c>
      <c r="AU49" s="119">
        <f t="shared" si="48"/>
        <v>0</v>
      </c>
      <c r="AV49" s="125"/>
      <c r="AW49" s="120">
        <f t="shared" si="49"/>
        <v>0</v>
      </c>
    </row>
    <row r="50" spans="1:49" hidden="1" outlineLevel="1">
      <c r="A50" s="114"/>
      <c r="B50" s="115"/>
      <c r="C50" s="115"/>
      <c r="D50" s="116"/>
      <c r="E50" s="117">
        <f t="shared" si="29"/>
        <v>0</v>
      </c>
      <c r="F50" s="117"/>
      <c r="G50" s="117"/>
      <c r="H50" s="117"/>
      <c r="I50" s="117"/>
      <c r="J50" s="117">
        <f t="shared" si="30"/>
        <v>0</v>
      </c>
      <c r="K50" s="114"/>
      <c r="L50" s="114"/>
      <c r="M50" s="114"/>
      <c r="N50" s="114"/>
      <c r="O50" s="117">
        <f t="shared" si="31"/>
        <v>0</v>
      </c>
      <c r="P50" s="117">
        <f t="shared" si="32"/>
        <v>0</v>
      </c>
      <c r="Q50" s="118"/>
      <c r="R50" s="118"/>
      <c r="S50" s="117">
        <f t="shared" si="33"/>
        <v>0</v>
      </c>
      <c r="T50" s="117"/>
      <c r="U50" s="117"/>
      <c r="V50" s="117">
        <f t="shared" si="34"/>
        <v>0</v>
      </c>
      <c r="W50" s="118"/>
      <c r="X50" s="118"/>
      <c r="Y50" s="117">
        <f t="shared" si="35"/>
        <v>0</v>
      </c>
      <c r="Z50" s="117">
        <f t="shared" si="36"/>
        <v>0</v>
      </c>
      <c r="AA50" s="119">
        <f t="shared" si="50"/>
        <v>0</v>
      </c>
      <c r="AB50" s="117">
        <f t="shared" si="37"/>
        <v>0</v>
      </c>
      <c r="AC50" s="118"/>
      <c r="AD50" s="119">
        <f t="shared" si="38"/>
        <v>0</v>
      </c>
      <c r="AE50" s="118"/>
      <c r="AF50" s="118"/>
      <c r="AG50" s="118"/>
      <c r="AH50" s="118"/>
      <c r="AI50" s="152">
        <f t="shared" si="39"/>
        <v>0</v>
      </c>
      <c r="AJ50" s="118"/>
      <c r="AK50" s="120">
        <f t="shared" si="40"/>
        <v>0</v>
      </c>
      <c r="AL50" s="121">
        <f t="shared" si="41"/>
        <v>0</v>
      </c>
      <c r="AM50" s="122"/>
      <c r="AN50" s="123">
        <f t="shared" si="42"/>
        <v>0</v>
      </c>
      <c r="AO50" s="124">
        <f t="shared" si="43"/>
        <v>0</v>
      </c>
      <c r="AP50" s="124">
        <f t="shared" si="44"/>
        <v>0</v>
      </c>
      <c r="AQ50" s="124">
        <f t="shared" si="45"/>
        <v>0</v>
      </c>
      <c r="AR50" s="124">
        <f t="shared" si="46"/>
        <v>0</v>
      </c>
      <c r="AS50" s="124">
        <f t="array" ref="AS50">_xlfn.IFS(S50=0,AL50,S50&lt;0,AL50/-S50,S50&gt;0,AL50/S50)</f>
        <v>0</v>
      </c>
      <c r="AT50" s="119">
        <f t="shared" si="47"/>
        <v>0</v>
      </c>
      <c r="AU50" s="119">
        <f t="shared" si="48"/>
        <v>0</v>
      </c>
      <c r="AV50" s="125"/>
      <c r="AW50" s="120">
        <f t="shared" si="49"/>
        <v>0</v>
      </c>
    </row>
    <row r="51" spans="1:49" hidden="1" outlineLevel="1">
      <c r="A51" s="114"/>
      <c r="B51" s="115"/>
      <c r="C51" s="115"/>
      <c r="D51" s="116"/>
      <c r="E51" s="117">
        <f t="shared" ref="E51:E70" si="51">SUM(F51:H51)</f>
        <v>0</v>
      </c>
      <c r="F51" s="117"/>
      <c r="G51" s="117"/>
      <c r="H51" s="117"/>
      <c r="I51" s="117"/>
      <c r="J51" s="117">
        <f t="shared" ref="J51:J70" si="52">E51*I51</f>
        <v>0</v>
      </c>
      <c r="K51" s="114"/>
      <c r="L51" s="114"/>
      <c r="M51" s="114"/>
      <c r="N51" s="114"/>
      <c r="O51" s="117">
        <f t="shared" si="31"/>
        <v>0</v>
      </c>
      <c r="P51" s="117">
        <f t="shared" si="32"/>
        <v>0</v>
      </c>
      <c r="Q51" s="118"/>
      <c r="R51" s="118"/>
      <c r="S51" s="117">
        <f t="shared" si="33"/>
        <v>0</v>
      </c>
      <c r="T51" s="117"/>
      <c r="U51" s="117"/>
      <c r="V51" s="117">
        <f t="shared" si="34"/>
        <v>0</v>
      </c>
      <c r="W51" s="118"/>
      <c r="X51" s="118"/>
      <c r="Y51" s="117">
        <f t="shared" si="35"/>
        <v>0</v>
      </c>
      <c r="Z51" s="117">
        <f t="shared" si="36"/>
        <v>0</v>
      </c>
      <c r="AA51" s="119">
        <f t="shared" si="50"/>
        <v>0</v>
      </c>
      <c r="AB51" s="117">
        <f t="shared" si="37"/>
        <v>0</v>
      </c>
      <c r="AC51" s="118"/>
      <c r="AD51" s="119">
        <f t="shared" si="38"/>
        <v>0</v>
      </c>
      <c r="AE51" s="118"/>
      <c r="AF51" s="118"/>
      <c r="AG51" s="118"/>
      <c r="AH51" s="118"/>
      <c r="AI51" s="152">
        <f t="shared" ref="AI51:AI70" si="53">$AI$74*H51/$H$74</f>
        <v>0</v>
      </c>
      <c r="AJ51" s="118"/>
      <c r="AK51" s="120">
        <f t="shared" si="40"/>
        <v>0</v>
      </c>
      <c r="AL51" s="121">
        <f t="shared" si="41"/>
        <v>0</v>
      </c>
      <c r="AM51" s="122"/>
      <c r="AN51" s="123">
        <f t="shared" si="42"/>
        <v>0</v>
      </c>
      <c r="AO51" s="124">
        <f t="shared" si="43"/>
        <v>0</v>
      </c>
      <c r="AP51" s="124">
        <f t="shared" si="44"/>
        <v>0</v>
      </c>
      <c r="AQ51" s="124">
        <f t="shared" si="45"/>
        <v>0</v>
      </c>
      <c r="AR51" s="124">
        <f t="shared" si="46"/>
        <v>0</v>
      </c>
      <c r="AS51" s="124">
        <f t="array" ref="AS51">_xlfn.IFS(S51=0,AL51,S51&lt;0,AL51/-S51,S51&gt;0,AL51/S51)</f>
        <v>0</v>
      </c>
      <c r="AT51" s="119">
        <f t="shared" si="47"/>
        <v>0</v>
      </c>
      <c r="AU51" s="119">
        <f t="shared" si="48"/>
        <v>0</v>
      </c>
      <c r="AV51" s="125"/>
      <c r="AW51" s="120">
        <f t="shared" ref="AW51:AW70" si="54">AS51*E51</f>
        <v>0</v>
      </c>
    </row>
    <row r="52" spans="1:49" hidden="1" outlineLevel="1">
      <c r="A52" s="114"/>
      <c r="B52" s="115"/>
      <c r="C52" s="115"/>
      <c r="D52" s="116"/>
      <c r="E52" s="117">
        <f t="shared" si="51"/>
        <v>0</v>
      </c>
      <c r="F52" s="117"/>
      <c r="G52" s="117"/>
      <c r="H52" s="117"/>
      <c r="I52" s="117"/>
      <c r="J52" s="117">
        <f t="shared" si="52"/>
        <v>0</v>
      </c>
      <c r="K52" s="114"/>
      <c r="L52" s="114"/>
      <c r="M52" s="114"/>
      <c r="N52" s="114"/>
      <c r="O52" s="117">
        <f t="shared" si="31"/>
        <v>0</v>
      </c>
      <c r="P52" s="117">
        <f t="shared" si="32"/>
        <v>0</v>
      </c>
      <c r="Q52" s="118"/>
      <c r="R52" s="118"/>
      <c r="S52" s="117">
        <f t="shared" si="33"/>
        <v>0</v>
      </c>
      <c r="T52" s="117"/>
      <c r="U52" s="117"/>
      <c r="V52" s="117">
        <f t="shared" si="34"/>
        <v>0</v>
      </c>
      <c r="W52" s="118"/>
      <c r="X52" s="118"/>
      <c r="Y52" s="117">
        <f t="shared" si="35"/>
        <v>0</v>
      </c>
      <c r="Z52" s="117">
        <f t="shared" si="36"/>
        <v>0</v>
      </c>
      <c r="AA52" s="119">
        <f t="shared" si="50"/>
        <v>0</v>
      </c>
      <c r="AB52" s="117">
        <f t="shared" si="37"/>
        <v>0</v>
      </c>
      <c r="AC52" s="118"/>
      <c r="AD52" s="119">
        <f t="shared" si="38"/>
        <v>0</v>
      </c>
      <c r="AE52" s="118"/>
      <c r="AF52" s="118"/>
      <c r="AG52" s="118"/>
      <c r="AH52" s="118"/>
      <c r="AI52" s="152">
        <f t="shared" si="53"/>
        <v>0</v>
      </c>
      <c r="AJ52" s="118"/>
      <c r="AK52" s="120">
        <f t="shared" si="40"/>
        <v>0</v>
      </c>
      <c r="AL52" s="121">
        <f t="shared" si="41"/>
        <v>0</v>
      </c>
      <c r="AM52" s="122"/>
      <c r="AN52" s="123">
        <f t="shared" si="42"/>
        <v>0</v>
      </c>
      <c r="AO52" s="124">
        <f t="shared" si="43"/>
        <v>0</v>
      </c>
      <c r="AP52" s="124">
        <f t="shared" si="44"/>
        <v>0</v>
      </c>
      <c r="AQ52" s="124">
        <f t="shared" si="45"/>
        <v>0</v>
      </c>
      <c r="AR52" s="124">
        <f t="shared" si="46"/>
        <v>0</v>
      </c>
      <c r="AS52" s="124">
        <f t="array" ref="AS52">_xlfn.IFS(S52=0,AL52,S52&lt;0,AL52/-S52,S52&gt;0,AL52/S52)</f>
        <v>0</v>
      </c>
      <c r="AT52" s="119">
        <f t="shared" si="47"/>
        <v>0</v>
      </c>
      <c r="AU52" s="119">
        <f t="shared" si="48"/>
        <v>0</v>
      </c>
      <c r="AV52" s="125"/>
      <c r="AW52" s="120">
        <f t="shared" si="54"/>
        <v>0</v>
      </c>
    </row>
    <row r="53" spans="1:49" hidden="1" outlineLevel="1">
      <c r="A53" s="114"/>
      <c r="B53" s="115"/>
      <c r="C53" s="115"/>
      <c r="D53" s="116"/>
      <c r="E53" s="117">
        <f t="shared" si="51"/>
        <v>0</v>
      </c>
      <c r="F53" s="117"/>
      <c r="G53" s="117"/>
      <c r="H53" s="117"/>
      <c r="I53" s="117"/>
      <c r="J53" s="117">
        <f t="shared" si="52"/>
        <v>0</v>
      </c>
      <c r="K53" s="114"/>
      <c r="L53" s="114"/>
      <c r="M53" s="114"/>
      <c r="N53" s="114"/>
      <c r="O53" s="117">
        <f t="shared" si="31"/>
        <v>0</v>
      </c>
      <c r="P53" s="117">
        <f t="shared" si="32"/>
        <v>0</v>
      </c>
      <c r="Q53" s="118"/>
      <c r="R53" s="118"/>
      <c r="S53" s="117">
        <f t="shared" si="33"/>
        <v>0</v>
      </c>
      <c r="T53" s="117"/>
      <c r="U53" s="117"/>
      <c r="V53" s="117">
        <f t="shared" si="34"/>
        <v>0</v>
      </c>
      <c r="W53" s="118"/>
      <c r="X53" s="118"/>
      <c r="Y53" s="117">
        <f t="shared" si="35"/>
        <v>0</v>
      </c>
      <c r="Z53" s="117">
        <f t="shared" si="36"/>
        <v>0</v>
      </c>
      <c r="AA53" s="119">
        <f t="shared" si="50"/>
        <v>0</v>
      </c>
      <c r="AB53" s="117">
        <f t="shared" si="37"/>
        <v>0</v>
      </c>
      <c r="AC53" s="118"/>
      <c r="AD53" s="119">
        <f t="shared" si="38"/>
        <v>0</v>
      </c>
      <c r="AE53" s="118"/>
      <c r="AF53" s="118"/>
      <c r="AG53" s="118"/>
      <c r="AH53" s="118"/>
      <c r="AI53" s="152">
        <f t="shared" si="53"/>
        <v>0</v>
      </c>
      <c r="AJ53" s="118"/>
      <c r="AK53" s="120">
        <f t="shared" si="40"/>
        <v>0</v>
      </c>
      <c r="AL53" s="121">
        <f t="shared" si="41"/>
        <v>0</v>
      </c>
      <c r="AM53" s="122"/>
      <c r="AN53" s="123">
        <f t="shared" si="42"/>
        <v>0</v>
      </c>
      <c r="AO53" s="124">
        <f t="shared" si="43"/>
        <v>0</v>
      </c>
      <c r="AP53" s="124">
        <f t="shared" si="44"/>
        <v>0</v>
      </c>
      <c r="AQ53" s="124">
        <f t="shared" si="45"/>
        <v>0</v>
      </c>
      <c r="AR53" s="124">
        <f t="shared" si="46"/>
        <v>0</v>
      </c>
      <c r="AS53" s="124">
        <f t="array" ref="AS53">_xlfn.IFS(S53=0,AL53,S53&lt;0,AL53/-S53,S53&gt;0,AL53/S53)</f>
        <v>0</v>
      </c>
      <c r="AT53" s="119">
        <f t="shared" si="47"/>
        <v>0</v>
      </c>
      <c r="AU53" s="119">
        <f t="shared" si="48"/>
        <v>0</v>
      </c>
      <c r="AV53" s="125"/>
      <c r="AW53" s="120">
        <f t="shared" si="54"/>
        <v>0</v>
      </c>
    </row>
    <row r="54" spans="1:49" hidden="1" outlineLevel="1">
      <c r="A54" s="114"/>
      <c r="B54" s="115"/>
      <c r="C54" s="115"/>
      <c r="D54" s="116"/>
      <c r="E54" s="117">
        <f t="shared" si="51"/>
        <v>0</v>
      </c>
      <c r="F54" s="117"/>
      <c r="G54" s="117"/>
      <c r="H54" s="117"/>
      <c r="I54" s="117"/>
      <c r="J54" s="117">
        <f t="shared" si="52"/>
        <v>0</v>
      </c>
      <c r="K54" s="114"/>
      <c r="L54" s="114"/>
      <c r="M54" s="114"/>
      <c r="N54" s="114"/>
      <c r="O54" s="117">
        <f t="shared" si="31"/>
        <v>0</v>
      </c>
      <c r="P54" s="117">
        <f t="shared" si="32"/>
        <v>0</v>
      </c>
      <c r="Q54" s="118"/>
      <c r="R54" s="118"/>
      <c r="S54" s="117">
        <f t="shared" si="33"/>
        <v>0</v>
      </c>
      <c r="T54" s="117"/>
      <c r="U54" s="117"/>
      <c r="V54" s="117">
        <f t="shared" si="34"/>
        <v>0</v>
      </c>
      <c r="W54" s="118"/>
      <c r="X54" s="118"/>
      <c r="Y54" s="117">
        <f t="shared" si="35"/>
        <v>0</v>
      </c>
      <c r="Z54" s="117">
        <f t="shared" si="36"/>
        <v>0</v>
      </c>
      <c r="AA54" s="119">
        <f t="shared" si="50"/>
        <v>0</v>
      </c>
      <c r="AB54" s="117">
        <f t="shared" si="37"/>
        <v>0</v>
      </c>
      <c r="AC54" s="118"/>
      <c r="AD54" s="119">
        <f t="shared" si="38"/>
        <v>0</v>
      </c>
      <c r="AE54" s="118"/>
      <c r="AF54" s="118"/>
      <c r="AG54" s="118"/>
      <c r="AH54" s="118"/>
      <c r="AI54" s="152">
        <f t="shared" si="53"/>
        <v>0</v>
      </c>
      <c r="AJ54" s="118"/>
      <c r="AK54" s="120">
        <f t="shared" si="40"/>
        <v>0</v>
      </c>
      <c r="AL54" s="121">
        <f t="shared" si="41"/>
        <v>0</v>
      </c>
      <c r="AM54" s="122"/>
      <c r="AN54" s="123">
        <f t="shared" si="42"/>
        <v>0</v>
      </c>
      <c r="AO54" s="124">
        <f t="shared" si="43"/>
        <v>0</v>
      </c>
      <c r="AP54" s="124">
        <f t="shared" si="44"/>
        <v>0</v>
      </c>
      <c r="AQ54" s="124">
        <f t="shared" si="45"/>
        <v>0</v>
      </c>
      <c r="AR54" s="124">
        <f t="shared" si="46"/>
        <v>0</v>
      </c>
      <c r="AS54" s="124">
        <f t="array" ref="AS54">_xlfn.IFS(S54=0,AL54,S54&lt;0,AL54/-S54,S54&gt;0,AL54/S54)</f>
        <v>0</v>
      </c>
      <c r="AT54" s="119">
        <f t="shared" si="47"/>
        <v>0</v>
      </c>
      <c r="AU54" s="119">
        <f t="shared" si="48"/>
        <v>0</v>
      </c>
      <c r="AV54" s="125"/>
      <c r="AW54" s="120">
        <f t="shared" si="54"/>
        <v>0</v>
      </c>
    </row>
    <row r="55" spans="1:49" hidden="1" outlineLevel="1">
      <c r="A55" s="114"/>
      <c r="B55" s="115"/>
      <c r="C55" s="115"/>
      <c r="D55" s="116"/>
      <c r="E55" s="117">
        <f t="shared" si="51"/>
        <v>0</v>
      </c>
      <c r="F55" s="117"/>
      <c r="G55" s="117"/>
      <c r="H55" s="117"/>
      <c r="I55" s="117"/>
      <c r="J55" s="117">
        <f t="shared" si="52"/>
        <v>0</v>
      </c>
      <c r="K55" s="114"/>
      <c r="L55" s="114"/>
      <c r="M55" s="114"/>
      <c r="N55" s="114"/>
      <c r="O55" s="117">
        <f t="shared" si="31"/>
        <v>0</v>
      </c>
      <c r="P55" s="117">
        <f t="shared" si="32"/>
        <v>0</v>
      </c>
      <c r="Q55" s="118"/>
      <c r="R55" s="118"/>
      <c r="S55" s="117">
        <f t="shared" si="33"/>
        <v>0</v>
      </c>
      <c r="T55" s="117"/>
      <c r="U55" s="117"/>
      <c r="V55" s="117">
        <f t="shared" si="34"/>
        <v>0</v>
      </c>
      <c r="W55" s="118"/>
      <c r="X55" s="118"/>
      <c r="Y55" s="117">
        <f t="shared" si="35"/>
        <v>0</v>
      </c>
      <c r="Z55" s="117">
        <f t="shared" si="36"/>
        <v>0</v>
      </c>
      <c r="AA55" s="119">
        <f t="shared" si="50"/>
        <v>0</v>
      </c>
      <c r="AB55" s="117">
        <f t="shared" si="37"/>
        <v>0</v>
      </c>
      <c r="AC55" s="118"/>
      <c r="AD55" s="119">
        <f t="shared" si="38"/>
        <v>0</v>
      </c>
      <c r="AE55" s="118"/>
      <c r="AF55" s="118"/>
      <c r="AG55" s="118"/>
      <c r="AH55" s="118"/>
      <c r="AI55" s="152">
        <f t="shared" si="53"/>
        <v>0</v>
      </c>
      <c r="AJ55" s="118"/>
      <c r="AK55" s="120">
        <f t="shared" si="40"/>
        <v>0</v>
      </c>
      <c r="AL55" s="121">
        <f t="shared" si="41"/>
        <v>0</v>
      </c>
      <c r="AM55" s="122"/>
      <c r="AN55" s="123">
        <f t="shared" si="42"/>
        <v>0</v>
      </c>
      <c r="AO55" s="124">
        <f t="shared" si="43"/>
        <v>0</v>
      </c>
      <c r="AP55" s="124">
        <f t="shared" si="44"/>
        <v>0</v>
      </c>
      <c r="AQ55" s="124">
        <f t="shared" si="45"/>
        <v>0</v>
      </c>
      <c r="AR55" s="124">
        <f t="shared" si="46"/>
        <v>0</v>
      </c>
      <c r="AS55" s="124">
        <f t="array" ref="AS55">_xlfn.IFS(S55=0,AL55,S55&lt;0,AL55/-S55,S55&gt;0,AL55/S55)</f>
        <v>0</v>
      </c>
      <c r="AT55" s="119">
        <f t="shared" si="47"/>
        <v>0</v>
      </c>
      <c r="AU55" s="119">
        <f t="shared" si="48"/>
        <v>0</v>
      </c>
      <c r="AV55" s="125"/>
      <c r="AW55" s="120">
        <f t="shared" si="54"/>
        <v>0</v>
      </c>
    </row>
    <row r="56" spans="1:49" hidden="1" outlineLevel="1">
      <c r="A56" s="114"/>
      <c r="B56" s="115"/>
      <c r="C56" s="115"/>
      <c r="D56" s="116"/>
      <c r="E56" s="117">
        <f t="shared" si="51"/>
        <v>0</v>
      </c>
      <c r="F56" s="117"/>
      <c r="G56" s="117"/>
      <c r="H56" s="117"/>
      <c r="I56" s="117"/>
      <c r="J56" s="117">
        <f t="shared" si="52"/>
        <v>0</v>
      </c>
      <c r="K56" s="114"/>
      <c r="L56" s="114"/>
      <c r="M56" s="114"/>
      <c r="N56" s="114"/>
      <c r="O56" s="117">
        <f t="shared" si="31"/>
        <v>0</v>
      </c>
      <c r="P56" s="117">
        <f t="shared" si="32"/>
        <v>0</v>
      </c>
      <c r="Q56" s="118"/>
      <c r="R56" s="118"/>
      <c r="S56" s="117">
        <f t="shared" si="33"/>
        <v>0</v>
      </c>
      <c r="T56" s="117"/>
      <c r="U56" s="117"/>
      <c r="V56" s="117">
        <f t="shared" si="34"/>
        <v>0</v>
      </c>
      <c r="W56" s="118"/>
      <c r="X56" s="118"/>
      <c r="Y56" s="117">
        <f t="shared" si="35"/>
        <v>0</v>
      </c>
      <c r="Z56" s="117">
        <f t="shared" si="36"/>
        <v>0</v>
      </c>
      <c r="AA56" s="119">
        <f t="shared" si="50"/>
        <v>0</v>
      </c>
      <c r="AB56" s="117">
        <f t="shared" si="37"/>
        <v>0</v>
      </c>
      <c r="AC56" s="118"/>
      <c r="AD56" s="119">
        <f t="shared" si="38"/>
        <v>0</v>
      </c>
      <c r="AE56" s="118"/>
      <c r="AF56" s="118"/>
      <c r="AG56" s="118"/>
      <c r="AH56" s="118"/>
      <c r="AI56" s="152">
        <f t="shared" si="53"/>
        <v>0</v>
      </c>
      <c r="AJ56" s="118"/>
      <c r="AK56" s="120">
        <f t="shared" si="40"/>
        <v>0</v>
      </c>
      <c r="AL56" s="121">
        <f t="shared" si="41"/>
        <v>0</v>
      </c>
      <c r="AM56" s="122"/>
      <c r="AN56" s="123">
        <f t="shared" si="42"/>
        <v>0</v>
      </c>
      <c r="AO56" s="124">
        <f t="shared" si="43"/>
        <v>0</v>
      </c>
      <c r="AP56" s="124">
        <f t="shared" si="44"/>
        <v>0</v>
      </c>
      <c r="AQ56" s="124">
        <f t="shared" si="45"/>
        <v>0</v>
      </c>
      <c r="AR56" s="124">
        <f t="shared" si="46"/>
        <v>0</v>
      </c>
      <c r="AS56" s="124">
        <f t="array" ref="AS56">_xlfn.IFS(S56=0,AL56,S56&lt;0,AL56/-S56,S56&gt;0,AL56/S56)</f>
        <v>0</v>
      </c>
      <c r="AT56" s="119">
        <f t="shared" si="47"/>
        <v>0</v>
      </c>
      <c r="AU56" s="119">
        <f t="shared" si="48"/>
        <v>0</v>
      </c>
      <c r="AV56" s="125"/>
      <c r="AW56" s="120">
        <f t="shared" si="54"/>
        <v>0</v>
      </c>
    </row>
    <row r="57" spans="1:49" hidden="1" outlineLevel="1">
      <c r="A57" s="114"/>
      <c r="B57" s="115"/>
      <c r="C57" s="115"/>
      <c r="D57" s="116"/>
      <c r="E57" s="117">
        <f t="shared" si="51"/>
        <v>0</v>
      </c>
      <c r="F57" s="117"/>
      <c r="G57" s="117"/>
      <c r="H57" s="117"/>
      <c r="I57" s="117"/>
      <c r="J57" s="117">
        <f t="shared" si="52"/>
        <v>0</v>
      </c>
      <c r="K57" s="114"/>
      <c r="L57" s="114"/>
      <c r="M57" s="114"/>
      <c r="N57" s="114"/>
      <c r="O57" s="117">
        <f t="shared" si="31"/>
        <v>0</v>
      </c>
      <c r="P57" s="117">
        <f t="shared" si="32"/>
        <v>0</v>
      </c>
      <c r="Q57" s="118"/>
      <c r="R57" s="118"/>
      <c r="S57" s="117">
        <f t="shared" si="33"/>
        <v>0</v>
      </c>
      <c r="T57" s="117"/>
      <c r="U57" s="117"/>
      <c r="V57" s="117">
        <f t="shared" si="34"/>
        <v>0</v>
      </c>
      <c r="W57" s="118"/>
      <c r="X57" s="118"/>
      <c r="Y57" s="117">
        <f t="shared" si="35"/>
        <v>0</v>
      </c>
      <c r="Z57" s="117">
        <f t="shared" si="36"/>
        <v>0</v>
      </c>
      <c r="AA57" s="119">
        <f t="shared" si="50"/>
        <v>0</v>
      </c>
      <c r="AB57" s="117">
        <f t="shared" si="37"/>
        <v>0</v>
      </c>
      <c r="AC57" s="118"/>
      <c r="AD57" s="119">
        <f t="shared" si="38"/>
        <v>0</v>
      </c>
      <c r="AE57" s="118"/>
      <c r="AF57" s="118"/>
      <c r="AG57" s="118"/>
      <c r="AH57" s="118"/>
      <c r="AI57" s="152">
        <f t="shared" si="53"/>
        <v>0</v>
      </c>
      <c r="AJ57" s="118"/>
      <c r="AK57" s="120">
        <f t="shared" si="40"/>
        <v>0</v>
      </c>
      <c r="AL57" s="121">
        <f t="shared" si="41"/>
        <v>0</v>
      </c>
      <c r="AM57" s="122"/>
      <c r="AN57" s="123">
        <f t="shared" si="42"/>
        <v>0</v>
      </c>
      <c r="AO57" s="124">
        <f t="shared" si="43"/>
        <v>0</v>
      </c>
      <c r="AP57" s="124">
        <f t="shared" si="44"/>
        <v>0</v>
      </c>
      <c r="AQ57" s="124">
        <f t="shared" si="45"/>
        <v>0</v>
      </c>
      <c r="AR57" s="124">
        <f t="shared" si="46"/>
        <v>0</v>
      </c>
      <c r="AS57" s="124">
        <f t="array" ref="AS57">_xlfn.IFS(S57=0,AL57,S57&lt;0,AL57/-S57,S57&gt;0,AL57/S57)</f>
        <v>0</v>
      </c>
      <c r="AT57" s="119">
        <f t="shared" si="47"/>
        <v>0</v>
      </c>
      <c r="AU57" s="119">
        <f t="shared" si="48"/>
        <v>0</v>
      </c>
      <c r="AV57" s="125"/>
      <c r="AW57" s="120">
        <f t="shared" si="54"/>
        <v>0</v>
      </c>
    </row>
    <row r="58" spans="1:49" hidden="1" outlineLevel="1">
      <c r="A58" s="114"/>
      <c r="B58" s="115"/>
      <c r="C58" s="115"/>
      <c r="D58" s="116"/>
      <c r="E58" s="117">
        <f t="shared" si="51"/>
        <v>0</v>
      </c>
      <c r="F58" s="117"/>
      <c r="G58" s="117"/>
      <c r="H58" s="117"/>
      <c r="I58" s="117"/>
      <c r="J58" s="117">
        <f t="shared" si="52"/>
        <v>0</v>
      </c>
      <c r="K58" s="114"/>
      <c r="L58" s="114"/>
      <c r="M58" s="114"/>
      <c r="N58" s="114"/>
      <c r="O58" s="117">
        <f t="shared" si="31"/>
        <v>0</v>
      </c>
      <c r="P58" s="117">
        <f t="shared" si="32"/>
        <v>0</v>
      </c>
      <c r="Q58" s="118"/>
      <c r="R58" s="118"/>
      <c r="S58" s="117">
        <f t="shared" si="33"/>
        <v>0</v>
      </c>
      <c r="T58" s="117"/>
      <c r="U58" s="117"/>
      <c r="V58" s="117">
        <f t="shared" si="34"/>
        <v>0</v>
      </c>
      <c r="W58" s="118"/>
      <c r="X58" s="118"/>
      <c r="Y58" s="117">
        <f t="shared" si="35"/>
        <v>0</v>
      </c>
      <c r="Z58" s="117">
        <f t="shared" si="36"/>
        <v>0</v>
      </c>
      <c r="AA58" s="119">
        <f t="shared" si="50"/>
        <v>0</v>
      </c>
      <c r="AB58" s="117">
        <f t="shared" si="37"/>
        <v>0</v>
      </c>
      <c r="AC58" s="118"/>
      <c r="AD58" s="119">
        <f t="shared" si="38"/>
        <v>0</v>
      </c>
      <c r="AE58" s="118"/>
      <c r="AF58" s="118"/>
      <c r="AG58" s="118"/>
      <c r="AH58" s="118"/>
      <c r="AI58" s="152">
        <f t="shared" si="53"/>
        <v>0</v>
      </c>
      <c r="AJ58" s="118"/>
      <c r="AK58" s="120">
        <f t="shared" si="40"/>
        <v>0</v>
      </c>
      <c r="AL58" s="121">
        <f t="shared" si="41"/>
        <v>0</v>
      </c>
      <c r="AM58" s="122"/>
      <c r="AN58" s="123">
        <f t="shared" si="42"/>
        <v>0</v>
      </c>
      <c r="AO58" s="124">
        <f t="shared" si="43"/>
        <v>0</v>
      </c>
      <c r="AP58" s="124">
        <f t="shared" si="44"/>
        <v>0</v>
      </c>
      <c r="AQ58" s="124">
        <f t="shared" si="45"/>
        <v>0</v>
      </c>
      <c r="AR58" s="124">
        <f t="shared" si="46"/>
        <v>0</v>
      </c>
      <c r="AS58" s="124">
        <f t="array" ref="AS58">_xlfn.IFS(S58=0,AL58,S58&lt;0,AL58/-S58,S58&gt;0,AL58/S58)</f>
        <v>0</v>
      </c>
      <c r="AT58" s="119">
        <f t="shared" si="47"/>
        <v>0</v>
      </c>
      <c r="AU58" s="119">
        <f t="shared" si="48"/>
        <v>0</v>
      </c>
      <c r="AV58" s="125"/>
      <c r="AW58" s="120">
        <f t="shared" si="54"/>
        <v>0</v>
      </c>
    </row>
    <row r="59" spans="1:49" hidden="1" outlineLevel="1">
      <c r="A59" s="114"/>
      <c r="B59" s="115"/>
      <c r="C59" s="115"/>
      <c r="D59" s="116"/>
      <c r="E59" s="117">
        <f t="shared" si="51"/>
        <v>0</v>
      </c>
      <c r="F59" s="117"/>
      <c r="G59" s="117"/>
      <c r="H59" s="117"/>
      <c r="I59" s="117"/>
      <c r="J59" s="117">
        <f t="shared" si="52"/>
        <v>0</v>
      </c>
      <c r="K59" s="114"/>
      <c r="L59" s="114"/>
      <c r="M59" s="114"/>
      <c r="N59" s="114"/>
      <c r="O59" s="117">
        <f t="shared" si="31"/>
        <v>0</v>
      </c>
      <c r="P59" s="117">
        <f t="shared" si="32"/>
        <v>0</v>
      </c>
      <c r="Q59" s="118"/>
      <c r="R59" s="118"/>
      <c r="S59" s="117">
        <f t="shared" si="33"/>
        <v>0</v>
      </c>
      <c r="T59" s="117"/>
      <c r="U59" s="117"/>
      <c r="V59" s="117">
        <f t="shared" si="34"/>
        <v>0</v>
      </c>
      <c r="W59" s="118"/>
      <c r="X59" s="118"/>
      <c r="Y59" s="117">
        <f t="shared" si="35"/>
        <v>0</v>
      </c>
      <c r="Z59" s="117">
        <f t="shared" si="36"/>
        <v>0</v>
      </c>
      <c r="AA59" s="119">
        <f t="shared" si="50"/>
        <v>0</v>
      </c>
      <c r="AB59" s="117">
        <f t="shared" si="37"/>
        <v>0</v>
      </c>
      <c r="AC59" s="118"/>
      <c r="AD59" s="119">
        <f t="shared" si="38"/>
        <v>0</v>
      </c>
      <c r="AE59" s="118"/>
      <c r="AF59" s="118"/>
      <c r="AG59" s="118"/>
      <c r="AH59" s="118"/>
      <c r="AI59" s="152">
        <f t="shared" si="53"/>
        <v>0</v>
      </c>
      <c r="AJ59" s="118"/>
      <c r="AK59" s="120">
        <f t="shared" si="40"/>
        <v>0</v>
      </c>
      <c r="AL59" s="121">
        <f t="shared" si="41"/>
        <v>0</v>
      </c>
      <c r="AM59" s="122"/>
      <c r="AN59" s="123">
        <f t="shared" si="42"/>
        <v>0</v>
      </c>
      <c r="AO59" s="124">
        <f t="shared" si="43"/>
        <v>0</v>
      </c>
      <c r="AP59" s="124">
        <f t="shared" si="44"/>
        <v>0</v>
      </c>
      <c r="AQ59" s="124">
        <f t="shared" si="45"/>
        <v>0</v>
      </c>
      <c r="AR59" s="124">
        <f t="shared" si="46"/>
        <v>0</v>
      </c>
      <c r="AS59" s="124">
        <f t="array" ref="AS59">_xlfn.IFS(S59=0,AL59,S59&lt;0,AL59/-S59,S59&gt;0,AL59/S59)</f>
        <v>0</v>
      </c>
      <c r="AT59" s="119">
        <f t="shared" si="47"/>
        <v>0</v>
      </c>
      <c r="AU59" s="119">
        <f t="shared" si="48"/>
        <v>0</v>
      </c>
      <c r="AV59" s="125"/>
      <c r="AW59" s="120">
        <f t="shared" si="54"/>
        <v>0</v>
      </c>
    </row>
    <row r="60" spans="1:49" hidden="1" outlineLevel="1">
      <c r="A60" s="114"/>
      <c r="B60" s="115"/>
      <c r="C60" s="115"/>
      <c r="D60" s="116"/>
      <c r="E60" s="117">
        <f t="shared" si="51"/>
        <v>0</v>
      </c>
      <c r="F60" s="117"/>
      <c r="G60" s="117"/>
      <c r="H60" s="117"/>
      <c r="I60" s="117"/>
      <c r="J60" s="117">
        <f t="shared" si="52"/>
        <v>0</v>
      </c>
      <c r="K60" s="114"/>
      <c r="L60" s="114"/>
      <c r="M60" s="114"/>
      <c r="N60" s="114"/>
      <c r="O60" s="117">
        <f t="shared" si="31"/>
        <v>0</v>
      </c>
      <c r="P60" s="117">
        <f t="shared" si="32"/>
        <v>0</v>
      </c>
      <c r="Q60" s="118"/>
      <c r="R60" s="118"/>
      <c r="S60" s="117">
        <f t="shared" si="33"/>
        <v>0</v>
      </c>
      <c r="T60" s="117"/>
      <c r="U60" s="117"/>
      <c r="V60" s="117">
        <f t="shared" si="34"/>
        <v>0</v>
      </c>
      <c r="W60" s="118"/>
      <c r="X60" s="118"/>
      <c r="Y60" s="117">
        <f t="shared" si="35"/>
        <v>0</v>
      </c>
      <c r="Z60" s="117">
        <f t="shared" si="36"/>
        <v>0</v>
      </c>
      <c r="AA60" s="119">
        <f t="shared" si="50"/>
        <v>0</v>
      </c>
      <c r="AB60" s="117">
        <f t="shared" si="37"/>
        <v>0</v>
      </c>
      <c r="AC60" s="118"/>
      <c r="AD60" s="119">
        <f t="shared" si="38"/>
        <v>0</v>
      </c>
      <c r="AE60" s="118"/>
      <c r="AF60" s="118"/>
      <c r="AG60" s="118"/>
      <c r="AH60" s="118"/>
      <c r="AI60" s="152">
        <f t="shared" si="53"/>
        <v>0</v>
      </c>
      <c r="AJ60" s="118"/>
      <c r="AK60" s="120">
        <f t="shared" si="40"/>
        <v>0</v>
      </c>
      <c r="AL60" s="121">
        <f t="shared" si="41"/>
        <v>0</v>
      </c>
      <c r="AM60" s="122"/>
      <c r="AN60" s="123">
        <f t="shared" si="42"/>
        <v>0</v>
      </c>
      <c r="AO60" s="124">
        <f t="shared" si="43"/>
        <v>0</v>
      </c>
      <c r="AP60" s="124">
        <f t="shared" si="44"/>
        <v>0</v>
      </c>
      <c r="AQ60" s="124">
        <f t="shared" si="45"/>
        <v>0</v>
      </c>
      <c r="AR60" s="124">
        <f t="shared" si="46"/>
        <v>0</v>
      </c>
      <c r="AS60" s="124">
        <f t="array" ref="AS60">_xlfn.IFS(S60=0,AL60,S60&lt;0,AL60/-S60,S60&gt;0,AL60/S60)</f>
        <v>0</v>
      </c>
      <c r="AT60" s="119">
        <f t="shared" si="47"/>
        <v>0</v>
      </c>
      <c r="AU60" s="119">
        <f t="shared" si="48"/>
        <v>0</v>
      </c>
      <c r="AV60" s="125"/>
      <c r="AW60" s="120">
        <f t="shared" si="54"/>
        <v>0</v>
      </c>
    </row>
    <row r="61" spans="1:49" hidden="1" outlineLevel="1">
      <c r="A61" s="114"/>
      <c r="B61" s="115"/>
      <c r="C61" s="115"/>
      <c r="D61" s="116"/>
      <c r="E61" s="117">
        <f t="shared" si="51"/>
        <v>0</v>
      </c>
      <c r="F61" s="117"/>
      <c r="G61" s="117"/>
      <c r="H61" s="117"/>
      <c r="I61" s="117"/>
      <c r="J61" s="117">
        <f t="shared" si="52"/>
        <v>0</v>
      </c>
      <c r="K61" s="114"/>
      <c r="L61" s="114"/>
      <c r="M61" s="114"/>
      <c r="N61" s="114"/>
      <c r="O61" s="117">
        <f t="shared" si="31"/>
        <v>0</v>
      </c>
      <c r="P61" s="117">
        <f t="shared" si="32"/>
        <v>0</v>
      </c>
      <c r="Q61" s="118"/>
      <c r="R61" s="118"/>
      <c r="S61" s="117">
        <f t="shared" si="33"/>
        <v>0</v>
      </c>
      <c r="T61" s="117"/>
      <c r="U61" s="117"/>
      <c r="V61" s="117">
        <f t="shared" si="34"/>
        <v>0</v>
      </c>
      <c r="W61" s="118"/>
      <c r="X61" s="118"/>
      <c r="Y61" s="117">
        <f t="shared" si="35"/>
        <v>0</v>
      </c>
      <c r="Z61" s="117">
        <f t="shared" si="36"/>
        <v>0</v>
      </c>
      <c r="AA61" s="119">
        <f t="shared" si="50"/>
        <v>0</v>
      </c>
      <c r="AB61" s="117">
        <f t="shared" si="37"/>
        <v>0</v>
      </c>
      <c r="AC61" s="118"/>
      <c r="AD61" s="119">
        <f t="shared" si="38"/>
        <v>0</v>
      </c>
      <c r="AE61" s="118"/>
      <c r="AF61" s="118"/>
      <c r="AG61" s="118"/>
      <c r="AH61" s="118"/>
      <c r="AI61" s="152">
        <f t="shared" si="53"/>
        <v>0</v>
      </c>
      <c r="AJ61" s="118"/>
      <c r="AK61" s="120">
        <f t="shared" si="40"/>
        <v>0</v>
      </c>
      <c r="AL61" s="121">
        <f t="shared" si="41"/>
        <v>0</v>
      </c>
      <c r="AM61" s="122"/>
      <c r="AN61" s="123">
        <f t="shared" si="42"/>
        <v>0</v>
      </c>
      <c r="AO61" s="124">
        <f t="shared" si="43"/>
        <v>0</v>
      </c>
      <c r="AP61" s="124">
        <f t="shared" si="44"/>
        <v>0</v>
      </c>
      <c r="AQ61" s="124">
        <f t="shared" si="45"/>
        <v>0</v>
      </c>
      <c r="AR61" s="124">
        <f t="shared" si="46"/>
        <v>0</v>
      </c>
      <c r="AS61" s="124">
        <f t="array" ref="AS61">_xlfn.IFS(S61=0,AL61,S61&lt;0,AL61/-S61,S61&gt;0,AL61/S61)</f>
        <v>0</v>
      </c>
      <c r="AT61" s="119">
        <f t="shared" si="47"/>
        <v>0</v>
      </c>
      <c r="AU61" s="119">
        <f t="shared" si="48"/>
        <v>0</v>
      </c>
      <c r="AV61" s="125"/>
      <c r="AW61" s="120">
        <f t="shared" si="54"/>
        <v>0</v>
      </c>
    </row>
    <row r="62" spans="1:49" hidden="1" outlineLevel="1">
      <c r="A62" s="114"/>
      <c r="B62" s="115"/>
      <c r="C62" s="115"/>
      <c r="D62" s="116"/>
      <c r="E62" s="117">
        <f t="shared" si="51"/>
        <v>0</v>
      </c>
      <c r="F62" s="117"/>
      <c r="G62" s="117"/>
      <c r="H62" s="117"/>
      <c r="I62" s="117"/>
      <c r="J62" s="117">
        <f t="shared" si="52"/>
        <v>0</v>
      </c>
      <c r="K62" s="114"/>
      <c r="L62" s="114"/>
      <c r="M62" s="114"/>
      <c r="N62" s="114"/>
      <c r="O62" s="117">
        <f t="shared" si="31"/>
        <v>0</v>
      </c>
      <c r="P62" s="117">
        <f t="shared" si="32"/>
        <v>0</v>
      </c>
      <c r="Q62" s="118"/>
      <c r="R62" s="118"/>
      <c r="S62" s="117">
        <f t="shared" si="33"/>
        <v>0</v>
      </c>
      <c r="T62" s="117"/>
      <c r="U62" s="117"/>
      <c r="V62" s="117">
        <f t="shared" si="34"/>
        <v>0</v>
      </c>
      <c r="W62" s="118"/>
      <c r="X62" s="118"/>
      <c r="Y62" s="117">
        <f t="shared" si="35"/>
        <v>0</v>
      </c>
      <c r="Z62" s="117">
        <f t="shared" si="36"/>
        <v>0</v>
      </c>
      <c r="AA62" s="119">
        <f t="shared" si="50"/>
        <v>0</v>
      </c>
      <c r="AB62" s="117">
        <f t="shared" si="37"/>
        <v>0</v>
      </c>
      <c r="AC62" s="118"/>
      <c r="AD62" s="119">
        <f t="shared" si="38"/>
        <v>0</v>
      </c>
      <c r="AE62" s="118"/>
      <c r="AF62" s="118"/>
      <c r="AG62" s="118"/>
      <c r="AH62" s="118"/>
      <c r="AI62" s="152">
        <f t="shared" si="53"/>
        <v>0</v>
      </c>
      <c r="AJ62" s="118"/>
      <c r="AK62" s="120">
        <f t="shared" si="40"/>
        <v>0</v>
      </c>
      <c r="AL62" s="121">
        <f t="shared" si="41"/>
        <v>0</v>
      </c>
      <c r="AM62" s="122"/>
      <c r="AN62" s="123">
        <f t="shared" si="42"/>
        <v>0</v>
      </c>
      <c r="AO62" s="124">
        <f t="shared" si="43"/>
        <v>0</v>
      </c>
      <c r="AP62" s="124">
        <f t="shared" si="44"/>
        <v>0</v>
      </c>
      <c r="AQ62" s="124">
        <f t="shared" si="45"/>
        <v>0</v>
      </c>
      <c r="AR62" s="124">
        <f t="shared" si="46"/>
        <v>0</v>
      </c>
      <c r="AS62" s="124">
        <f t="array" ref="AS62">_xlfn.IFS(S62=0,AL62,S62&lt;0,AL62/-S62,S62&gt;0,AL62/S62)</f>
        <v>0</v>
      </c>
      <c r="AT62" s="119">
        <f t="shared" si="47"/>
        <v>0</v>
      </c>
      <c r="AU62" s="119">
        <f t="shared" si="48"/>
        <v>0</v>
      </c>
      <c r="AV62" s="125"/>
      <c r="AW62" s="120">
        <f t="shared" si="54"/>
        <v>0</v>
      </c>
    </row>
    <row r="63" spans="1:49" hidden="1" outlineLevel="1">
      <c r="A63" s="114"/>
      <c r="B63" s="115"/>
      <c r="C63" s="115"/>
      <c r="D63" s="149"/>
      <c r="E63" s="118">
        <f t="shared" si="51"/>
        <v>0</v>
      </c>
      <c r="F63" s="117"/>
      <c r="G63" s="117"/>
      <c r="H63" s="117"/>
      <c r="I63" s="117"/>
      <c r="J63" s="117">
        <f t="shared" si="52"/>
        <v>0</v>
      </c>
      <c r="K63" s="114"/>
      <c r="L63" s="114"/>
      <c r="M63" s="114"/>
      <c r="N63" s="114"/>
      <c r="O63" s="117">
        <f t="shared" si="31"/>
        <v>0</v>
      </c>
      <c r="P63" s="117">
        <f t="shared" si="32"/>
        <v>0</v>
      </c>
      <c r="Q63" s="118"/>
      <c r="R63" s="118"/>
      <c r="S63" s="117">
        <f t="shared" si="33"/>
        <v>0</v>
      </c>
      <c r="T63" s="117"/>
      <c r="U63" s="117"/>
      <c r="V63" s="117">
        <f t="shared" si="34"/>
        <v>0</v>
      </c>
      <c r="W63" s="118"/>
      <c r="X63" s="118"/>
      <c r="Y63" s="117">
        <f t="shared" si="35"/>
        <v>0</v>
      </c>
      <c r="Z63" s="117">
        <f t="shared" si="36"/>
        <v>0</v>
      </c>
      <c r="AA63" s="119">
        <f t="shared" si="50"/>
        <v>0</v>
      </c>
      <c r="AB63" s="117">
        <f t="shared" si="37"/>
        <v>0</v>
      </c>
      <c r="AC63" s="118"/>
      <c r="AD63" s="119">
        <f t="shared" si="38"/>
        <v>0</v>
      </c>
      <c r="AE63" s="118"/>
      <c r="AF63" s="118"/>
      <c r="AG63" s="118"/>
      <c r="AH63" s="118"/>
      <c r="AI63" s="152">
        <f t="shared" si="53"/>
        <v>0</v>
      </c>
      <c r="AJ63" s="118"/>
      <c r="AK63" s="120">
        <f t="shared" si="40"/>
        <v>0</v>
      </c>
      <c r="AL63" s="121">
        <f t="shared" si="41"/>
        <v>0</v>
      </c>
      <c r="AM63" s="122"/>
      <c r="AN63" s="123">
        <f t="shared" si="42"/>
        <v>0</v>
      </c>
      <c r="AO63" s="124">
        <f t="shared" si="43"/>
        <v>0</v>
      </c>
      <c r="AP63" s="124">
        <f t="shared" si="44"/>
        <v>0</v>
      </c>
      <c r="AQ63" s="124">
        <f t="shared" si="45"/>
        <v>0</v>
      </c>
      <c r="AR63" s="124">
        <f t="shared" si="46"/>
        <v>0</v>
      </c>
      <c r="AS63" s="124">
        <f t="array" ref="AS63">_xlfn.IFS(S63=0,AL63,S63&lt;0,AL63/-S63,S63&gt;0,AL63/S63)</f>
        <v>0</v>
      </c>
      <c r="AT63" s="119">
        <f t="shared" si="47"/>
        <v>0</v>
      </c>
      <c r="AU63" s="119">
        <f t="shared" si="48"/>
        <v>0</v>
      </c>
      <c r="AV63" s="125"/>
      <c r="AW63" s="120">
        <f t="shared" si="54"/>
        <v>0</v>
      </c>
    </row>
    <row r="64" spans="1:49" hidden="1" outlineLevel="1">
      <c r="A64" s="114"/>
      <c r="B64" s="115"/>
      <c r="C64" s="115"/>
      <c r="D64" s="149"/>
      <c r="E64" s="118">
        <f t="shared" si="51"/>
        <v>0</v>
      </c>
      <c r="F64" s="117"/>
      <c r="G64" s="117"/>
      <c r="H64" s="117"/>
      <c r="I64" s="117"/>
      <c r="J64" s="117">
        <f t="shared" si="52"/>
        <v>0</v>
      </c>
      <c r="K64" s="114"/>
      <c r="L64" s="114"/>
      <c r="M64" s="114"/>
      <c r="N64" s="114"/>
      <c r="O64" s="117">
        <f t="shared" si="31"/>
        <v>0</v>
      </c>
      <c r="P64" s="117">
        <f t="shared" si="32"/>
        <v>0</v>
      </c>
      <c r="Q64" s="118"/>
      <c r="R64" s="118"/>
      <c r="S64" s="117">
        <f t="shared" si="33"/>
        <v>0</v>
      </c>
      <c r="T64" s="117"/>
      <c r="U64" s="117"/>
      <c r="V64" s="117">
        <f t="shared" si="34"/>
        <v>0</v>
      </c>
      <c r="W64" s="118"/>
      <c r="X64" s="118"/>
      <c r="Y64" s="117">
        <f t="shared" si="35"/>
        <v>0</v>
      </c>
      <c r="Z64" s="117">
        <f t="shared" si="36"/>
        <v>0</v>
      </c>
      <c r="AA64" s="119">
        <f t="shared" si="50"/>
        <v>0</v>
      </c>
      <c r="AB64" s="117">
        <f t="shared" si="37"/>
        <v>0</v>
      </c>
      <c r="AC64" s="118"/>
      <c r="AD64" s="119">
        <f t="shared" si="38"/>
        <v>0</v>
      </c>
      <c r="AE64" s="118"/>
      <c r="AF64" s="118"/>
      <c r="AG64" s="118"/>
      <c r="AH64" s="118"/>
      <c r="AI64" s="152">
        <f t="shared" si="53"/>
        <v>0</v>
      </c>
      <c r="AJ64" s="118"/>
      <c r="AK64" s="120">
        <f t="shared" si="40"/>
        <v>0</v>
      </c>
      <c r="AL64" s="121">
        <f t="shared" si="41"/>
        <v>0</v>
      </c>
      <c r="AM64" s="122"/>
      <c r="AN64" s="123">
        <f t="shared" si="42"/>
        <v>0</v>
      </c>
      <c r="AO64" s="124">
        <f t="shared" si="43"/>
        <v>0</v>
      </c>
      <c r="AP64" s="124">
        <f t="shared" si="44"/>
        <v>0</v>
      </c>
      <c r="AQ64" s="124">
        <f t="shared" si="45"/>
        <v>0</v>
      </c>
      <c r="AR64" s="124">
        <f t="shared" si="46"/>
        <v>0</v>
      </c>
      <c r="AS64" s="124">
        <f t="array" ref="AS64">_xlfn.IFS(S64=0,AL64,S64&lt;0,AL64/-S64,S64&gt;0,AL64/S64)</f>
        <v>0</v>
      </c>
      <c r="AT64" s="119">
        <f t="shared" si="47"/>
        <v>0</v>
      </c>
      <c r="AU64" s="119">
        <f t="shared" si="48"/>
        <v>0</v>
      </c>
      <c r="AV64" s="125"/>
      <c r="AW64" s="120">
        <f t="shared" si="54"/>
        <v>0</v>
      </c>
    </row>
    <row r="65" spans="1:49" hidden="1" outlineLevel="1">
      <c r="A65" s="114"/>
      <c r="B65" s="115"/>
      <c r="C65" s="115"/>
      <c r="D65" s="149"/>
      <c r="E65" s="118">
        <f t="shared" si="51"/>
        <v>0</v>
      </c>
      <c r="F65" s="117"/>
      <c r="G65" s="117"/>
      <c r="H65" s="117"/>
      <c r="I65" s="117"/>
      <c r="J65" s="117">
        <f t="shared" si="52"/>
        <v>0</v>
      </c>
      <c r="K65" s="114"/>
      <c r="L65" s="114"/>
      <c r="M65" s="114"/>
      <c r="N65" s="114"/>
      <c r="O65" s="117">
        <f t="shared" si="31"/>
        <v>0</v>
      </c>
      <c r="P65" s="117">
        <f t="shared" si="32"/>
        <v>0</v>
      </c>
      <c r="Q65" s="118"/>
      <c r="R65" s="118"/>
      <c r="S65" s="117">
        <f t="shared" si="33"/>
        <v>0</v>
      </c>
      <c r="T65" s="117"/>
      <c r="U65" s="117"/>
      <c r="V65" s="117">
        <f t="shared" si="34"/>
        <v>0</v>
      </c>
      <c r="W65" s="118"/>
      <c r="X65" s="118"/>
      <c r="Y65" s="117">
        <f t="shared" si="35"/>
        <v>0</v>
      </c>
      <c r="Z65" s="117">
        <f t="shared" si="36"/>
        <v>0</v>
      </c>
      <c r="AA65" s="119">
        <f t="shared" si="50"/>
        <v>0</v>
      </c>
      <c r="AB65" s="117">
        <f t="shared" si="37"/>
        <v>0</v>
      </c>
      <c r="AC65" s="118"/>
      <c r="AD65" s="119">
        <f t="shared" si="38"/>
        <v>0</v>
      </c>
      <c r="AE65" s="118"/>
      <c r="AF65" s="118"/>
      <c r="AG65" s="118"/>
      <c r="AH65" s="118"/>
      <c r="AI65" s="152">
        <f t="shared" si="53"/>
        <v>0</v>
      </c>
      <c r="AJ65" s="118"/>
      <c r="AK65" s="120">
        <f t="shared" si="40"/>
        <v>0</v>
      </c>
      <c r="AL65" s="121">
        <f t="shared" si="41"/>
        <v>0</v>
      </c>
      <c r="AM65" s="122"/>
      <c r="AN65" s="123">
        <f t="shared" si="42"/>
        <v>0</v>
      </c>
      <c r="AO65" s="124">
        <f t="shared" si="43"/>
        <v>0</v>
      </c>
      <c r="AP65" s="124">
        <f t="shared" si="44"/>
        <v>0</v>
      </c>
      <c r="AQ65" s="124">
        <f t="shared" si="45"/>
        <v>0</v>
      </c>
      <c r="AR65" s="124">
        <f t="shared" si="46"/>
        <v>0</v>
      </c>
      <c r="AS65" s="124">
        <f t="array" ref="AS65">_xlfn.IFS(S65=0,AL65,S65&lt;0,AL65/-S65,S65&gt;0,AL65/S65)</f>
        <v>0</v>
      </c>
      <c r="AT65" s="119">
        <f t="shared" si="47"/>
        <v>0</v>
      </c>
      <c r="AU65" s="119">
        <f t="shared" si="48"/>
        <v>0</v>
      </c>
      <c r="AV65" s="125"/>
      <c r="AW65" s="120">
        <f t="shared" si="54"/>
        <v>0</v>
      </c>
    </row>
    <row r="66" spans="1:49" hidden="1" outlineLevel="1">
      <c r="A66" s="114"/>
      <c r="B66" s="115"/>
      <c r="C66" s="115"/>
      <c r="D66" s="149"/>
      <c r="E66" s="118">
        <f t="shared" si="51"/>
        <v>0</v>
      </c>
      <c r="F66" s="117"/>
      <c r="G66" s="117"/>
      <c r="H66" s="117"/>
      <c r="I66" s="117"/>
      <c r="J66" s="117">
        <f t="shared" si="52"/>
        <v>0</v>
      </c>
      <c r="K66" s="114"/>
      <c r="L66" s="114"/>
      <c r="M66" s="114"/>
      <c r="N66" s="114"/>
      <c r="O66" s="117">
        <f t="shared" si="31"/>
        <v>0</v>
      </c>
      <c r="P66" s="117">
        <f t="shared" si="32"/>
        <v>0</v>
      </c>
      <c r="Q66" s="118"/>
      <c r="R66" s="118"/>
      <c r="S66" s="117">
        <f t="shared" si="33"/>
        <v>0</v>
      </c>
      <c r="T66" s="117"/>
      <c r="U66" s="117"/>
      <c r="V66" s="117">
        <f t="shared" si="34"/>
        <v>0</v>
      </c>
      <c r="W66" s="118"/>
      <c r="X66" s="118"/>
      <c r="Y66" s="117">
        <f t="shared" si="35"/>
        <v>0</v>
      </c>
      <c r="Z66" s="117">
        <f>L66*M66*N66/100</f>
        <v>0</v>
      </c>
      <c r="AA66" s="119">
        <f t="shared" si="50"/>
        <v>0</v>
      </c>
      <c r="AB66" s="117">
        <f t="shared" si="37"/>
        <v>0</v>
      </c>
      <c r="AC66" s="118"/>
      <c r="AD66" s="119">
        <f t="shared" si="38"/>
        <v>0</v>
      </c>
      <c r="AE66" s="118"/>
      <c r="AF66" s="118"/>
      <c r="AG66" s="118"/>
      <c r="AH66" s="118"/>
      <c r="AI66" s="152">
        <f t="shared" si="53"/>
        <v>0</v>
      </c>
      <c r="AJ66" s="118"/>
      <c r="AK66" s="120">
        <f t="shared" si="40"/>
        <v>0</v>
      </c>
      <c r="AL66" s="121">
        <f t="shared" si="41"/>
        <v>0</v>
      </c>
      <c r="AM66" s="122"/>
      <c r="AN66" s="123">
        <f t="shared" si="42"/>
        <v>0</v>
      </c>
      <c r="AO66" s="124">
        <f t="shared" si="43"/>
        <v>0</v>
      </c>
      <c r="AP66" s="124">
        <f t="shared" si="44"/>
        <v>0</v>
      </c>
      <c r="AQ66" s="124">
        <f t="shared" si="45"/>
        <v>0</v>
      </c>
      <c r="AR66" s="124">
        <f t="shared" si="46"/>
        <v>0</v>
      </c>
      <c r="AS66" s="124">
        <f t="array" ref="AS66">_xlfn.IFS(S66=0,AL66,S66&lt;0,AL66/-S66,S66&gt;0,AL66/S66)</f>
        <v>0</v>
      </c>
      <c r="AT66" s="119">
        <f t="shared" si="47"/>
        <v>0</v>
      </c>
      <c r="AU66" s="119">
        <f t="shared" si="48"/>
        <v>0</v>
      </c>
      <c r="AV66" s="125"/>
      <c r="AW66" s="120">
        <f t="shared" si="54"/>
        <v>0</v>
      </c>
    </row>
    <row r="67" spans="1:49" hidden="1" outlineLevel="1">
      <c r="A67" s="114"/>
      <c r="B67" s="115"/>
      <c r="C67" s="115"/>
      <c r="D67" s="149"/>
      <c r="E67" s="118">
        <f t="shared" si="51"/>
        <v>0</v>
      </c>
      <c r="F67" s="117"/>
      <c r="G67" s="117"/>
      <c r="H67" s="117"/>
      <c r="I67" s="117"/>
      <c r="J67" s="117">
        <f t="shared" si="52"/>
        <v>0</v>
      </c>
      <c r="K67" s="114"/>
      <c r="L67" s="114"/>
      <c r="M67" s="114"/>
      <c r="N67" s="114"/>
      <c r="O67" s="117">
        <f t="shared" si="31"/>
        <v>0</v>
      </c>
      <c r="P67" s="117">
        <f t="shared" si="32"/>
        <v>0</v>
      </c>
      <c r="Q67" s="118"/>
      <c r="R67" s="118"/>
      <c r="S67" s="117">
        <f t="shared" si="33"/>
        <v>0</v>
      </c>
      <c r="T67" s="117"/>
      <c r="U67" s="117"/>
      <c r="V67" s="117">
        <f t="shared" si="34"/>
        <v>0</v>
      </c>
      <c r="W67" s="118"/>
      <c r="X67" s="118"/>
      <c r="Y67" s="117">
        <f t="shared" si="35"/>
        <v>0</v>
      </c>
      <c r="Z67" s="117">
        <f t="shared" ref="Z67:Z70" si="55">L67*M67*N67/100</f>
        <v>0</v>
      </c>
      <c r="AA67" s="119">
        <f t="shared" si="50"/>
        <v>0</v>
      </c>
      <c r="AB67" s="117">
        <f t="shared" si="37"/>
        <v>0</v>
      </c>
      <c r="AC67" s="118"/>
      <c r="AD67" s="119">
        <f t="shared" si="38"/>
        <v>0</v>
      </c>
      <c r="AE67" s="118"/>
      <c r="AF67" s="118"/>
      <c r="AG67" s="118"/>
      <c r="AH67" s="118"/>
      <c r="AI67" s="152">
        <f t="shared" si="53"/>
        <v>0</v>
      </c>
      <c r="AJ67" s="118"/>
      <c r="AK67" s="120">
        <f t="shared" si="40"/>
        <v>0</v>
      </c>
      <c r="AL67" s="121">
        <f t="shared" si="41"/>
        <v>0</v>
      </c>
      <c r="AM67" s="122"/>
      <c r="AN67" s="123">
        <f t="shared" si="42"/>
        <v>0</v>
      </c>
      <c r="AO67" s="124">
        <f t="shared" si="43"/>
        <v>0</v>
      </c>
      <c r="AP67" s="124">
        <f t="shared" si="44"/>
        <v>0</v>
      </c>
      <c r="AQ67" s="124">
        <f t="shared" si="45"/>
        <v>0</v>
      </c>
      <c r="AR67" s="124">
        <f t="shared" si="46"/>
        <v>0</v>
      </c>
      <c r="AS67" s="124">
        <f t="array" ref="AS67">_xlfn.IFS(S67=0,AL67,S67&lt;0,AL67/-S67,S67&gt;0,AL67/S67)</f>
        <v>0</v>
      </c>
      <c r="AT67" s="119">
        <f t="shared" si="47"/>
        <v>0</v>
      </c>
      <c r="AU67" s="119">
        <f t="shared" si="48"/>
        <v>0</v>
      </c>
      <c r="AV67" s="125"/>
      <c r="AW67" s="120">
        <f t="shared" si="54"/>
        <v>0</v>
      </c>
    </row>
    <row r="68" spans="1:49" hidden="1" outlineLevel="1">
      <c r="A68" s="114"/>
      <c r="B68" s="115"/>
      <c r="C68" s="115"/>
      <c r="D68" s="116"/>
      <c r="E68" s="117">
        <f t="shared" si="51"/>
        <v>0</v>
      </c>
      <c r="F68" s="117"/>
      <c r="G68" s="117"/>
      <c r="H68" s="117"/>
      <c r="I68" s="117"/>
      <c r="J68" s="117">
        <f t="shared" si="52"/>
        <v>0</v>
      </c>
      <c r="K68" s="114"/>
      <c r="L68" s="114"/>
      <c r="M68" s="114"/>
      <c r="N68" s="114"/>
      <c r="O68" s="117">
        <f t="shared" si="31"/>
        <v>0</v>
      </c>
      <c r="P68" s="117">
        <f t="shared" si="32"/>
        <v>0</v>
      </c>
      <c r="Q68" s="118"/>
      <c r="R68" s="118"/>
      <c r="S68" s="117">
        <f t="shared" si="33"/>
        <v>0</v>
      </c>
      <c r="T68" s="117"/>
      <c r="U68" s="117"/>
      <c r="V68" s="117">
        <f t="shared" si="34"/>
        <v>0</v>
      </c>
      <c r="W68" s="118"/>
      <c r="X68" s="118"/>
      <c r="Y68" s="117">
        <f t="shared" si="35"/>
        <v>0</v>
      </c>
      <c r="Z68" s="117">
        <f t="shared" si="55"/>
        <v>0</v>
      </c>
      <c r="AA68" s="119">
        <f t="shared" si="50"/>
        <v>0</v>
      </c>
      <c r="AB68" s="117">
        <f t="shared" si="37"/>
        <v>0</v>
      </c>
      <c r="AC68" s="118"/>
      <c r="AD68" s="119">
        <f t="shared" si="38"/>
        <v>0</v>
      </c>
      <c r="AE68" s="118"/>
      <c r="AF68" s="118"/>
      <c r="AG68" s="118"/>
      <c r="AH68" s="118"/>
      <c r="AI68" s="152">
        <f t="shared" si="53"/>
        <v>0</v>
      </c>
      <c r="AJ68" s="118"/>
      <c r="AK68" s="120">
        <f t="shared" si="40"/>
        <v>0</v>
      </c>
      <c r="AL68" s="121">
        <f t="shared" si="41"/>
        <v>0</v>
      </c>
      <c r="AM68" s="122"/>
      <c r="AN68" s="123">
        <f t="shared" si="42"/>
        <v>0</v>
      </c>
      <c r="AO68" s="124">
        <f t="shared" si="43"/>
        <v>0</v>
      </c>
      <c r="AP68" s="124">
        <f t="shared" si="44"/>
        <v>0</v>
      </c>
      <c r="AQ68" s="124">
        <f t="shared" si="45"/>
        <v>0</v>
      </c>
      <c r="AR68" s="124">
        <f t="shared" si="46"/>
        <v>0</v>
      </c>
      <c r="AS68" s="124">
        <f t="array" ref="AS68">_xlfn.IFS(S68=0,AL68,S68&lt;0,AL68/-S68,S68&gt;0,AL68/S68)</f>
        <v>0</v>
      </c>
      <c r="AT68" s="119">
        <f t="shared" si="47"/>
        <v>0</v>
      </c>
      <c r="AU68" s="119">
        <f t="shared" si="48"/>
        <v>0</v>
      </c>
      <c r="AV68" s="125"/>
      <c r="AW68" s="120">
        <f t="shared" si="54"/>
        <v>0</v>
      </c>
    </row>
    <row r="69" spans="1:49" hidden="1" outlineLevel="1">
      <c r="A69" s="114"/>
      <c r="B69" s="115"/>
      <c r="C69" s="115"/>
      <c r="D69" s="116"/>
      <c r="E69" s="117">
        <f t="shared" si="51"/>
        <v>0</v>
      </c>
      <c r="F69" s="117"/>
      <c r="G69" s="117"/>
      <c r="H69" s="117"/>
      <c r="I69" s="117"/>
      <c r="J69" s="117">
        <f t="shared" si="52"/>
        <v>0</v>
      </c>
      <c r="K69" s="114"/>
      <c r="L69" s="114"/>
      <c r="M69" s="114"/>
      <c r="N69" s="114"/>
      <c r="O69" s="117">
        <f t="shared" si="31"/>
        <v>0</v>
      </c>
      <c r="P69" s="117">
        <f t="shared" si="32"/>
        <v>0</v>
      </c>
      <c r="Q69" s="118"/>
      <c r="R69" s="118"/>
      <c r="S69" s="117">
        <f t="shared" si="33"/>
        <v>0</v>
      </c>
      <c r="T69" s="117"/>
      <c r="U69" s="117"/>
      <c r="V69" s="117">
        <f t="shared" si="34"/>
        <v>0</v>
      </c>
      <c r="W69" s="118"/>
      <c r="X69" s="118"/>
      <c r="Y69" s="117">
        <f t="shared" si="35"/>
        <v>0</v>
      </c>
      <c r="Z69" s="117">
        <f t="shared" si="55"/>
        <v>0</v>
      </c>
      <c r="AA69" s="119">
        <f t="shared" si="50"/>
        <v>0</v>
      </c>
      <c r="AB69" s="117">
        <f t="shared" si="37"/>
        <v>0</v>
      </c>
      <c r="AC69" s="118"/>
      <c r="AD69" s="119">
        <f t="shared" si="38"/>
        <v>0</v>
      </c>
      <c r="AE69" s="118"/>
      <c r="AF69" s="118"/>
      <c r="AG69" s="118"/>
      <c r="AH69" s="118"/>
      <c r="AI69" s="152">
        <f t="shared" si="53"/>
        <v>0</v>
      </c>
      <c r="AJ69" s="118"/>
      <c r="AK69" s="120">
        <f t="shared" si="40"/>
        <v>0</v>
      </c>
      <c r="AL69" s="121">
        <f t="shared" si="41"/>
        <v>0</v>
      </c>
      <c r="AM69" s="122"/>
      <c r="AN69" s="123">
        <f t="shared" si="42"/>
        <v>0</v>
      </c>
      <c r="AO69" s="124">
        <f t="shared" si="43"/>
        <v>0</v>
      </c>
      <c r="AP69" s="124">
        <f t="shared" si="44"/>
        <v>0</v>
      </c>
      <c r="AQ69" s="124">
        <f t="shared" si="45"/>
        <v>0</v>
      </c>
      <c r="AR69" s="124">
        <f t="shared" si="46"/>
        <v>0</v>
      </c>
      <c r="AS69" s="124">
        <f t="array" ref="AS69">_xlfn.IFS(S69=0,AL69,S69&lt;0,AL69/-S69,S69&gt;0,AL69/S69)</f>
        <v>0</v>
      </c>
      <c r="AT69" s="119">
        <f t="shared" si="47"/>
        <v>0</v>
      </c>
      <c r="AU69" s="119">
        <f t="shared" si="48"/>
        <v>0</v>
      </c>
      <c r="AV69" s="125"/>
      <c r="AW69" s="120">
        <f t="shared" si="54"/>
        <v>0</v>
      </c>
    </row>
    <row r="70" spans="1:49" hidden="1" outlineLevel="1">
      <c r="A70" s="114"/>
      <c r="B70" s="115"/>
      <c r="C70" s="115"/>
      <c r="D70" s="116"/>
      <c r="E70" s="117">
        <f t="shared" si="51"/>
        <v>0</v>
      </c>
      <c r="F70" s="117"/>
      <c r="G70" s="117"/>
      <c r="H70" s="117"/>
      <c r="I70" s="117"/>
      <c r="J70" s="117">
        <f t="shared" si="52"/>
        <v>0</v>
      </c>
      <c r="K70" s="114"/>
      <c r="L70" s="114"/>
      <c r="M70" s="114"/>
      <c r="N70" s="114"/>
      <c r="O70" s="117">
        <f t="shared" si="31"/>
        <v>0</v>
      </c>
      <c r="P70" s="117">
        <f t="shared" si="32"/>
        <v>0</v>
      </c>
      <c r="Q70" s="118"/>
      <c r="R70" s="118"/>
      <c r="S70" s="117">
        <f t="shared" si="33"/>
        <v>0</v>
      </c>
      <c r="T70" s="117"/>
      <c r="U70" s="117"/>
      <c r="V70" s="117">
        <f t="shared" si="34"/>
        <v>0</v>
      </c>
      <c r="W70" s="118"/>
      <c r="X70" s="118"/>
      <c r="Y70" s="117">
        <f t="shared" si="35"/>
        <v>0</v>
      </c>
      <c r="Z70" s="117">
        <f t="shared" si="55"/>
        <v>0</v>
      </c>
      <c r="AA70" s="119">
        <f t="shared" si="50"/>
        <v>0</v>
      </c>
      <c r="AB70" s="117">
        <f t="shared" si="37"/>
        <v>0</v>
      </c>
      <c r="AC70" s="118"/>
      <c r="AD70" s="119">
        <f t="shared" si="38"/>
        <v>0</v>
      </c>
      <c r="AE70" s="118"/>
      <c r="AF70" s="118"/>
      <c r="AG70" s="118"/>
      <c r="AH70" s="118"/>
      <c r="AI70" s="152">
        <f t="shared" si="53"/>
        <v>0</v>
      </c>
      <c r="AJ70" s="118"/>
      <c r="AK70" s="120">
        <f t="shared" si="40"/>
        <v>0</v>
      </c>
      <c r="AL70" s="121">
        <f t="shared" si="41"/>
        <v>0</v>
      </c>
      <c r="AM70" s="122"/>
      <c r="AN70" s="123">
        <f t="shared" si="42"/>
        <v>0</v>
      </c>
      <c r="AO70" s="124">
        <f t="shared" si="43"/>
        <v>0</v>
      </c>
      <c r="AP70" s="124">
        <f t="shared" si="44"/>
        <v>0</v>
      </c>
      <c r="AQ70" s="124">
        <f t="shared" si="45"/>
        <v>0</v>
      </c>
      <c r="AR70" s="124">
        <f t="shared" si="46"/>
        <v>0</v>
      </c>
      <c r="AS70" s="124">
        <f t="array" ref="AS70">_xlfn.IFS(S70=0,AL70,S70&lt;0,AL70/-S70,S70&gt;0,AL70/S70)</f>
        <v>0</v>
      </c>
      <c r="AT70" s="119">
        <f t="shared" si="47"/>
        <v>0</v>
      </c>
      <c r="AU70" s="119">
        <f t="shared" si="48"/>
        <v>0</v>
      </c>
      <c r="AV70" s="125"/>
      <c r="AW70" s="120">
        <f t="shared" si="54"/>
        <v>0</v>
      </c>
    </row>
    <row r="71" spans="1:49" collapsed="1">
      <c r="A71" s="158"/>
      <c r="B71" s="126"/>
      <c r="C71" s="114"/>
      <c r="D71" s="158"/>
      <c r="E71" s="117"/>
      <c r="F71" s="117"/>
      <c r="G71" s="117"/>
      <c r="H71" s="117"/>
      <c r="I71" s="117"/>
      <c r="J71" s="117"/>
      <c r="K71" s="159"/>
      <c r="L71" s="160"/>
      <c r="M71" s="160"/>
      <c r="N71" s="160"/>
      <c r="O71" s="159"/>
      <c r="P71" s="159"/>
      <c r="Q71" s="117"/>
      <c r="R71" s="117"/>
      <c r="S71" s="117"/>
      <c r="T71" s="117"/>
      <c r="U71" s="117"/>
      <c r="V71" s="117"/>
      <c r="W71" s="117"/>
      <c r="X71" s="117"/>
      <c r="Y71" s="117"/>
      <c r="Z71" s="117"/>
      <c r="AA71" s="119"/>
      <c r="AB71" s="117"/>
      <c r="AC71" s="117"/>
      <c r="AD71" s="119"/>
      <c r="AE71" s="117"/>
      <c r="AF71" s="118"/>
      <c r="AG71" s="118"/>
      <c r="AH71" s="118"/>
      <c r="AI71" s="152"/>
      <c r="AJ71" s="118"/>
      <c r="AK71" s="120"/>
      <c r="AL71" s="121"/>
      <c r="AM71" s="122"/>
      <c r="AN71" s="161">
        <f>AVERAGE(AN19:AN70)</f>
        <v>0</v>
      </c>
      <c r="AO71" s="161">
        <f t="shared" ref="AO71:AU71" si="56">AVERAGE(AO19:AO70)</f>
        <v>0</v>
      </c>
      <c r="AP71" s="161">
        <f t="shared" si="56"/>
        <v>0</v>
      </c>
      <c r="AQ71" s="161">
        <f t="shared" si="56"/>
        <v>0</v>
      </c>
      <c r="AR71" s="161">
        <f t="shared" si="56"/>
        <v>0</v>
      </c>
      <c r="AS71" s="161">
        <f t="shared" si="56"/>
        <v>0</v>
      </c>
      <c r="AT71" s="162">
        <f t="shared" si="56"/>
        <v>0</v>
      </c>
      <c r="AU71" s="162">
        <f t="shared" si="56"/>
        <v>0</v>
      </c>
      <c r="AV71" s="125"/>
      <c r="AW71" s="120"/>
    </row>
    <row r="72" spans="1:49" s="171" customFormat="1" ht="15" customHeight="1">
      <c r="A72" s="163" t="s">
        <v>107</v>
      </c>
      <c r="B72" s="164"/>
      <c r="C72" s="165"/>
      <c r="D72" s="165"/>
      <c r="E72" s="165">
        <f>SUM(E19:E70)</f>
        <v>0</v>
      </c>
      <c r="F72" s="165">
        <f>SUM(F19:F70)</f>
        <v>0</v>
      </c>
      <c r="G72" s="165">
        <f>SUM(G19:G70)</f>
        <v>0</v>
      </c>
      <c r="H72" s="165">
        <f>SUM(H19:H70)</f>
        <v>0</v>
      </c>
      <c r="I72" s="165"/>
      <c r="J72" s="165">
        <f>SUM(J19:J70)</f>
        <v>0</v>
      </c>
      <c r="K72" s="165"/>
      <c r="L72" s="165">
        <f>SUM(L19:L70)</f>
        <v>0</v>
      </c>
      <c r="M72" s="165"/>
      <c r="N72" s="165"/>
      <c r="O72" s="165"/>
      <c r="P72" s="165"/>
      <c r="Q72" s="165">
        <f t="shared" ref="Q72:AC72" si="57">SUM(Q19:Q70)</f>
        <v>0</v>
      </c>
      <c r="R72" s="165">
        <f t="shared" si="57"/>
        <v>0</v>
      </c>
      <c r="S72" s="165">
        <f t="shared" si="57"/>
        <v>0</v>
      </c>
      <c r="T72" s="165">
        <f t="shared" si="57"/>
        <v>0</v>
      </c>
      <c r="U72" s="165">
        <f t="shared" si="57"/>
        <v>0</v>
      </c>
      <c r="V72" s="165">
        <f t="shared" si="57"/>
        <v>0</v>
      </c>
      <c r="W72" s="165">
        <f t="shared" si="57"/>
        <v>0</v>
      </c>
      <c r="X72" s="165">
        <f t="shared" si="57"/>
        <v>0</v>
      </c>
      <c r="Y72" s="165">
        <f t="shared" si="57"/>
        <v>0</v>
      </c>
      <c r="Z72" s="165">
        <f t="shared" si="57"/>
        <v>0</v>
      </c>
      <c r="AA72" s="166">
        <f t="shared" si="57"/>
        <v>0</v>
      </c>
      <c r="AB72" s="167">
        <f t="shared" si="57"/>
        <v>0</v>
      </c>
      <c r="AC72" s="165">
        <f t="shared" si="57"/>
        <v>0</v>
      </c>
      <c r="AD72" s="166" t="e">
        <f>AC72/Y72</f>
        <v>#DIV/0!</v>
      </c>
      <c r="AE72" s="165">
        <f t="shared" ref="AE72:AK72" si="58">SUM(AE19:AE70)</f>
        <v>0</v>
      </c>
      <c r="AF72" s="165">
        <f t="shared" si="58"/>
        <v>0</v>
      </c>
      <c r="AG72" s="165">
        <f>SUM(AG19:AG70)</f>
        <v>0</v>
      </c>
      <c r="AH72" s="165">
        <f>SUM(AH19:AH70)</f>
        <v>0</v>
      </c>
      <c r="AI72" s="168">
        <f>SUM(AI19:AI70)</f>
        <v>0</v>
      </c>
      <c r="AJ72" s="165">
        <f t="shared" si="58"/>
        <v>0</v>
      </c>
      <c r="AK72" s="165">
        <f t="shared" si="58"/>
        <v>0</v>
      </c>
      <c r="AL72" s="165">
        <f>SUM(AL19:AL70)</f>
        <v>0</v>
      </c>
      <c r="AM72" s="169"/>
      <c r="AN72" s="165"/>
      <c r="AO72" s="165"/>
      <c r="AP72" s="165"/>
      <c r="AQ72" s="165"/>
      <c r="AR72" s="165" t="e">
        <f>(AF72+AG72)/Q72</f>
        <v>#DIV/0!</v>
      </c>
      <c r="AS72" s="165"/>
      <c r="AT72" s="165"/>
      <c r="AU72" s="165"/>
      <c r="AV72" s="170"/>
      <c r="AW72" s="165">
        <f>SUM(AW19:AW70)</f>
        <v>0</v>
      </c>
    </row>
    <row r="73" spans="1:49" s="175" customFormat="1">
      <c r="A73" s="172"/>
      <c r="B73" s="173"/>
      <c r="C73" s="174"/>
      <c r="D73" s="174"/>
      <c r="L73" s="176"/>
      <c r="M73" s="176"/>
      <c r="N73" s="176"/>
      <c r="P73" s="177"/>
      <c r="Q73" s="178"/>
      <c r="R73" s="178"/>
      <c r="S73" s="179"/>
      <c r="T73" s="179"/>
      <c r="U73" s="179"/>
      <c r="V73" s="179"/>
      <c r="W73" s="178"/>
      <c r="X73" s="179"/>
      <c r="Y73" s="179"/>
      <c r="Z73" s="179"/>
      <c r="AC73" s="180"/>
      <c r="AE73" s="178"/>
      <c r="AF73" s="347"/>
      <c r="AG73" s="347"/>
      <c r="AH73" s="181"/>
      <c r="AI73" s="182"/>
      <c r="AJ73" s="183"/>
      <c r="AM73" s="184"/>
      <c r="AN73" s="176"/>
      <c r="AO73" s="176"/>
      <c r="AP73" s="176"/>
      <c r="AQ73" s="176"/>
      <c r="AR73" s="176"/>
      <c r="AS73" s="176"/>
      <c r="AT73" s="176"/>
      <c r="AU73" s="176"/>
      <c r="AV73" s="185"/>
    </row>
    <row r="74" spans="1:49" s="194" customFormat="1">
      <c r="A74" s="186" t="s">
        <v>7</v>
      </c>
      <c r="B74" s="187"/>
      <c r="C74" s="188"/>
      <c r="D74" s="188"/>
      <c r="E74" s="188">
        <f t="shared" ref="E74:AC74" si="59">E17+E72</f>
        <v>2312</v>
      </c>
      <c r="F74" s="188">
        <f t="shared" si="59"/>
        <v>52</v>
      </c>
      <c r="G74" s="188">
        <f t="shared" si="59"/>
        <v>10</v>
      </c>
      <c r="H74" s="188">
        <f t="shared" si="59"/>
        <v>2250</v>
      </c>
      <c r="I74" s="188">
        <f t="shared" si="59"/>
        <v>0</v>
      </c>
      <c r="J74" s="188">
        <f t="shared" si="59"/>
        <v>315658.11</v>
      </c>
      <c r="K74" s="188">
        <f t="shared" si="59"/>
        <v>0</v>
      </c>
      <c r="L74" s="188">
        <f t="shared" si="59"/>
        <v>86</v>
      </c>
      <c r="M74" s="188">
        <f t="shared" si="59"/>
        <v>0</v>
      </c>
      <c r="N74" s="188">
        <f t="shared" si="59"/>
        <v>0</v>
      </c>
      <c r="O74" s="188">
        <f t="shared" si="59"/>
        <v>0</v>
      </c>
      <c r="P74" s="188">
        <f t="shared" si="59"/>
        <v>0</v>
      </c>
      <c r="Q74" s="188">
        <f t="shared" si="59"/>
        <v>49</v>
      </c>
      <c r="R74" s="188">
        <f t="shared" si="59"/>
        <v>-2</v>
      </c>
      <c r="S74" s="188">
        <f t="shared" si="59"/>
        <v>47</v>
      </c>
      <c r="T74" s="188">
        <f t="shared" si="59"/>
        <v>44338.880000000005</v>
      </c>
      <c r="U74" s="188">
        <f t="shared" si="59"/>
        <v>-1888</v>
      </c>
      <c r="V74" s="188">
        <f t="shared" si="59"/>
        <v>42450.880000000005</v>
      </c>
      <c r="W74" s="188">
        <f t="shared" si="59"/>
        <v>59321.67</v>
      </c>
      <c r="X74" s="188">
        <f t="shared" si="59"/>
        <v>-2412</v>
      </c>
      <c r="Y74" s="188">
        <f t="shared" si="59"/>
        <v>56909.67</v>
      </c>
      <c r="Z74" s="188">
        <f t="shared" si="59"/>
        <v>69091.199999999997</v>
      </c>
      <c r="AA74" s="189">
        <f t="shared" si="59"/>
        <v>0.99999999999999989</v>
      </c>
      <c r="AB74" s="190">
        <f t="shared" si="59"/>
        <v>6764.5200000000013</v>
      </c>
      <c r="AC74" s="188">
        <f t="shared" si="59"/>
        <v>20543.919999999998</v>
      </c>
      <c r="AD74" s="189">
        <f>AC74/Y74</f>
        <v>0.36099172601071133</v>
      </c>
      <c r="AE74" s="190">
        <f>AE17+AE72</f>
        <v>6115.35</v>
      </c>
      <c r="AF74" s="191">
        <f>AF17+AF72</f>
        <v>5916</v>
      </c>
      <c r="AG74" s="191">
        <f>AG17+AG72</f>
        <v>2033</v>
      </c>
      <c r="AH74" s="191">
        <f>AH17+AH72</f>
        <v>0</v>
      </c>
      <c r="AI74" s="192">
        <v>1438.99</v>
      </c>
      <c r="AJ74" s="188">
        <f>AJ17+AJ72</f>
        <v>0</v>
      </c>
      <c r="AK74" s="188">
        <f>AK17+AK72</f>
        <v>424.50880000000001</v>
      </c>
      <c r="AL74" s="188">
        <f>AL17+AL72</f>
        <v>13673.3812</v>
      </c>
      <c r="AM74" s="188"/>
      <c r="AN74" s="188"/>
      <c r="AO74" s="188"/>
      <c r="AP74" s="188"/>
      <c r="AQ74" s="188"/>
      <c r="AR74" s="188">
        <f>(AF74+AG74)/Q74</f>
        <v>162.22448979591837</v>
      </c>
      <c r="AS74" s="188"/>
      <c r="AT74" s="188"/>
      <c r="AU74" s="188"/>
      <c r="AV74" s="193"/>
      <c r="AW74" s="188">
        <f>AW17+AW72</f>
        <v>39419.539397037079</v>
      </c>
    </row>
    <row r="75" spans="1:49" s="175" customFormat="1">
      <c r="A75" s="174"/>
      <c r="B75" s="173"/>
      <c r="C75" s="195"/>
      <c r="D75" s="174"/>
      <c r="L75" s="176"/>
      <c r="M75" s="176"/>
      <c r="N75" s="176"/>
      <c r="P75" s="177"/>
      <c r="Q75" s="178"/>
      <c r="R75" s="178"/>
      <c r="S75" s="179"/>
      <c r="T75" s="179"/>
      <c r="U75" s="179"/>
      <c r="V75" s="179"/>
      <c r="W75" s="178"/>
      <c r="X75" s="179"/>
      <c r="Y75" s="179"/>
      <c r="Z75" s="179"/>
      <c r="AC75" s="180"/>
      <c r="AE75" s="196"/>
      <c r="AF75" s="347">
        <f>AF18+AF73</f>
        <v>0</v>
      </c>
      <c r="AG75" s="347"/>
      <c r="AH75" s="181"/>
      <c r="AI75" s="182"/>
      <c r="AJ75" s="183"/>
      <c r="AM75" s="184"/>
      <c r="AN75" s="184"/>
      <c r="AO75" s="184"/>
      <c r="AP75" s="184"/>
      <c r="AQ75" s="184"/>
      <c r="AR75" s="184"/>
      <c r="AS75" s="184"/>
      <c r="AT75" s="184"/>
      <c r="AU75" s="184"/>
      <c r="AV75" s="185"/>
    </row>
    <row r="76" spans="1:49">
      <c r="C76" s="198"/>
      <c r="D76" s="198"/>
    </row>
    <row r="77" spans="1:49">
      <c r="C77" s="198"/>
      <c r="D77" s="198"/>
    </row>
  </sheetData>
  <mergeCells count="10">
    <mergeCell ref="F1:H1"/>
    <mergeCell ref="L1:N1"/>
    <mergeCell ref="Q1:R1"/>
    <mergeCell ref="T1:U1"/>
    <mergeCell ref="W1:X1"/>
    <mergeCell ref="AF1:AG1"/>
    <mergeCell ref="AN1:AU1"/>
    <mergeCell ref="AF18:AG18"/>
    <mergeCell ref="AF73:AG73"/>
    <mergeCell ref="AF75:AG75"/>
  </mergeCells>
  <conditionalFormatting sqref="K71:M71 K18:K70 K3:K16">
    <cfRule type="cellIs" dxfId="14" priority="4" operator="greaterThan">
      <formula>120</formula>
    </cfRule>
  </conditionalFormatting>
  <conditionalFormatting sqref="O71">
    <cfRule type="cellIs" dxfId="13" priority="3" operator="between">
      <formula>0.000001</formula>
      <formula>25</formula>
    </cfRule>
  </conditionalFormatting>
  <conditionalFormatting sqref="AA73 AA75:AA1048576">
    <cfRule type="cellIs" dxfId="12" priority="5" operator="greaterThan">
      <formula>0.23</formula>
    </cfRule>
  </conditionalFormatting>
  <conditionalFormatting sqref="Y18:AA71 Y3:AA16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{7F78C39D-697B-4EA6-A557-9DBB9D94FADF}</x14:id>
        </ext>
      </extLst>
    </cfRule>
  </conditionalFormatting>
  <conditionalFormatting sqref="AS18:AS70 AS3:AS15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{6D490310-C80D-4DC2-8030-CE0267B75FFD}</x14:id>
        </ext>
      </extLst>
    </cfRule>
  </conditionalFormatting>
  <conditionalFormatting sqref="AT18:AU70 AT3:AU15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{F3829769-6560-48B3-B027-506BAF4EBEA4}</x14:id>
        </ext>
      </extLst>
    </cfRule>
  </conditionalFormatting>
  <conditionalFormatting sqref="AW18:AW71 AW3:AW16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{3124E697-FF36-416C-90C6-6DA8E3F846C9}</x14:id>
        </ext>
      </extLst>
    </cfRule>
  </conditionalFormatting>
  <conditionalFormatting sqref="AA18:AA70 AA3:AA16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{9079141A-726A-41A7-8206-9562DAA684C2}</x14:id>
        </ext>
      </extLst>
    </cfRule>
  </conditionalFormatting>
  <conditionalFormatting sqref="AW18:AW70 AW3:AW16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{5EAC4C32-895B-4C4C-863F-DC7E59EB7A88}</x14:id>
        </ext>
      </extLst>
    </cfRule>
  </conditionalFormatting>
  <conditionalFormatting sqref="AL18:AL71 AL3:AL16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{60D717C7-D62A-4F76-9896-1B9D0CCD71F7}</x14:id>
        </ext>
      </extLst>
    </cfRule>
  </conditionalFormatting>
  <conditionalFormatting sqref="AL18:AL70 AL3:AL16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{C54BB70A-E243-4DD2-BB06-CA0A4D016598}</x14:id>
        </ext>
      </extLst>
    </cfRule>
  </conditionalFormatting>
  <conditionalFormatting sqref="AA1">
    <cfRule type="cellIs" dxfId="11" priority="1" operator="greaterThan">
      <formula>0.23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F78C39D-697B-4EA6-A557-9DBB9D94FAD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Y18:AA71 Y3:AA16</xm:sqref>
        </x14:conditionalFormatting>
        <x14:conditionalFormatting xmlns:xm="http://schemas.microsoft.com/office/excel/2006/main">
          <x14:cfRule type="dataBar" id="{6D490310-C80D-4DC2-8030-CE0267B75FF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AS18:AS70 AS3:AS15</xm:sqref>
        </x14:conditionalFormatting>
        <x14:conditionalFormatting xmlns:xm="http://schemas.microsoft.com/office/excel/2006/main">
          <x14:cfRule type="dataBar" id="{F3829769-6560-48B3-B027-506BAF4EBEA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AT18:AU70 AT3:AU15</xm:sqref>
        </x14:conditionalFormatting>
        <x14:conditionalFormatting xmlns:xm="http://schemas.microsoft.com/office/excel/2006/main">
          <x14:cfRule type="dataBar" id="{3124E697-FF36-416C-90C6-6DA8E3F846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AW18:AW71 AW3:AW16</xm:sqref>
        </x14:conditionalFormatting>
        <x14:conditionalFormatting xmlns:xm="http://schemas.microsoft.com/office/excel/2006/main">
          <x14:cfRule type="dataBar" id="{9079141A-726A-41A7-8206-9562DAA684C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AA18:AA70 AA3:AA16</xm:sqref>
        </x14:conditionalFormatting>
        <x14:conditionalFormatting xmlns:xm="http://schemas.microsoft.com/office/excel/2006/main">
          <x14:cfRule type="dataBar" id="{5EAC4C32-895B-4C4C-863F-DC7E59EB7A8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AW18:AW70 AW3:AW16</xm:sqref>
        </x14:conditionalFormatting>
        <x14:conditionalFormatting xmlns:xm="http://schemas.microsoft.com/office/excel/2006/main">
          <x14:cfRule type="dataBar" id="{60D717C7-D62A-4F76-9896-1B9D0CCD71F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AL18:AL71 AL3:AL16</xm:sqref>
        </x14:conditionalFormatting>
        <x14:conditionalFormatting xmlns:xm="http://schemas.microsoft.com/office/excel/2006/main">
          <x14:cfRule type="dataBar" id="{C54BB70A-E243-4DD2-BB06-CA0A4D01659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AL18:AL70 AL3:AL16</xm:sqref>
        </x14:conditionalFormatting>
      </x14:conditionalFormatting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0E187-4BA7-49E3-BE64-9219874F5C5A}">
  <dimension ref="A1:AW77"/>
  <sheetViews>
    <sheetView zoomScale="70" zoomScaleNormal="70" workbookViewId="0">
      <pane xSplit="3" ySplit="2" topLeftCell="BD3" activePane="bottomRight" state="frozen"/>
      <selection pane="topRight" activeCell="D1" sqref="D1"/>
      <selection pane="bottomLeft" activeCell="A3" sqref="A3"/>
      <selection pane="bottomRight" activeCell="BR3" sqref="BR3"/>
    </sheetView>
  </sheetViews>
  <sheetFormatPr defaultColWidth="12.54296875" defaultRowHeight="14.5" outlineLevelRow="1"/>
  <cols>
    <col min="1" max="1" width="9.08984375" style="197" customWidth="1"/>
    <col min="2" max="2" width="12.54296875" style="202"/>
    <col min="3" max="3" width="19.90625" style="197" customWidth="1"/>
    <col min="4" max="4" width="16.6328125" style="197" customWidth="1"/>
    <col min="5" max="5" width="12.36328125" style="126" customWidth="1"/>
    <col min="6" max="6" width="10.90625" style="126" customWidth="1"/>
    <col min="7" max="8" width="12.36328125" style="126" customWidth="1"/>
    <col min="9" max="9" width="13.36328125" style="126" customWidth="1"/>
    <col min="10" max="10" width="14.1796875" style="126" customWidth="1"/>
    <col min="11" max="11" width="14.26953125" style="126" customWidth="1"/>
    <col min="12" max="12" width="13.6328125" style="126" customWidth="1"/>
    <col min="13" max="13" width="15.08984375" style="126" customWidth="1"/>
    <col min="14" max="14" width="14.54296875" style="126" customWidth="1"/>
    <col min="15" max="16" width="11" style="126" customWidth="1"/>
    <col min="17" max="17" width="11.1796875" style="126" customWidth="1"/>
    <col min="18" max="18" width="12.08984375" style="126" customWidth="1"/>
    <col min="19" max="22" width="11.26953125" style="199" customWidth="1"/>
    <col min="23" max="23" width="13.1796875" style="199" customWidth="1"/>
    <col min="24" max="24" width="12.36328125" style="199" customWidth="1"/>
    <col min="25" max="25" width="20.7265625" style="199" customWidth="1"/>
    <col min="26" max="26" width="15.90625" style="199" customWidth="1"/>
    <col min="27" max="27" width="13.36328125" style="200" customWidth="1"/>
    <col min="28" max="28" width="14.453125" style="126" customWidth="1"/>
    <col min="29" max="29" width="17.81640625" style="126" customWidth="1"/>
    <col min="30" max="30" width="14.26953125" style="126" customWidth="1"/>
    <col min="31" max="31" width="19.08984375" style="126" customWidth="1"/>
    <col min="32" max="34" width="10.36328125" style="117" customWidth="1"/>
    <col min="35" max="35" width="18.08984375" style="201" customWidth="1"/>
    <col min="36" max="36" width="18.6328125" style="117" customWidth="1"/>
    <col min="37" max="37" width="12.54296875" style="126"/>
    <col min="38" max="38" width="18.90625" style="126" customWidth="1"/>
    <col min="39" max="39" width="3.08984375" style="126" customWidth="1"/>
    <col min="40" max="40" width="19.90625" style="126" customWidth="1"/>
    <col min="41" max="41" width="14.26953125" style="126" customWidth="1"/>
    <col min="42" max="42" width="9.6328125" style="126" customWidth="1"/>
    <col min="43" max="43" width="11.1796875" style="126" customWidth="1"/>
    <col min="44" max="44" width="9.54296875" style="126" customWidth="1"/>
    <col min="45" max="45" width="10.1796875" style="126" customWidth="1"/>
    <col min="46" max="46" width="11.7265625" style="126" customWidth="1"/>
    <col min="47" max="47" width="12.54296875" style="126"/>
    <col min="48" max="48" width="3.36328125" style="140" customWidth="1"/>
    <col min="49" max="16384" width="12.54296875" style="126"/>
  </cols>
  <sheetData>
    <row r="1" spans="1:49" s="95" customFormat="1" ht="16" customHeight="1">
      <c r="A1" s="92" t="s">
        <v>108</v>
      </c>
      <c r="B1" s="93"/>
      <c r="C1" s="92"/>
      <c r="D1" s="92"/>
      <c r="E1" s="94"/>
      <c r="F1" s="348" t="s">
        <v>47</v>
      </c>
      <c r="G1" s="348"/>
      <c r="H1" s="348"/>
      <c r="K1" s="234" t="s">
        <v>48</v>
      </c>
      <c r="L1" s="348" t="s">
        <v>49</v>
      </c>
      <c r="M1" s="348"/>
      <c r="N1" s="348"/>
      <c r="P1" s="96"/>
      <c r="Q1" s="349"/>
      <c r="R1" s="349"/>
      <c r="S1" s="240"/>
      <c r="T1" s="350"/>
      <c r="U1" s="351"/>
      <c r="V1" s="240"/>
      <c r="W1" s="349"/>
      <c r="X1" s="349"/>
      <c r="Y1" s="96"/>
      <c r="Z1" s="96"/>
      <c r="AA1" s="96"/>
      <c r="AB1" s="96"/>
      <c r="AC1" s="239"/>
      <c r="AD1" s="240"/>
      <c r="AE1" s="239"/>
      <c r="AF1" s="352"/>
      <c r="AG1" s="352"/>
      <c r="AH1" s="235"/>
      <c r="AI1" s="97" t="s">
        <v>50</v>
      </c>
      <c r="AJ1" s="239"/>
      <c r="AM1" s="98"/>
      <c r="AN1" s="343" t="s">
        <v>51</v>
      </c>
      <c r="AO1" s="344"/>
      <c r="AP1" s="344"/>
      <c r="AQ1" s="344"/>
      <c r="AR1" s="344"/>
      <c r="AS1" s="344"/>
      <c r="AT1" s="344"/>
      <c r="AU1" s="345"/>
      <c r="AV1" s="99"/>
    </row>
    <row r="2" spans="1:49" s="113" customFormat="1" ht="50.5" customHeight="1">
      <c r="A2" s="100" t="s">
        <v>52</v>
      </c>
      <c r="B2" s="101" t="s">
        <v>53</v>
      </c>
      <c r="C2" s="100" t="s">
        <v>54</v>
      </c>
      <c r="D2" s="100" t="s">
        <v>55</v>
      </c>
      <c r="E2" s="100" t="s">
        <v>56</v>
      </c>
      <c r="F2" s="102" t="s">
        <v>57</v>
      </c>
      <c r="G2" s="102" t="s">
        <v>58</v>
      </c>
      <c r="H2" s="102" t="s">
        <v>59</v>
      </c>
      <c r="I2" s="100" t="s">
        <v>60</v>
      </c>
      <c r="J2" s="100" t="s">
        <v>61</v>
      </c>
      <c r="K2" s="103" t="s">
        <v>62</v>
      </c>
      <c r="L2" s="103" t="s">
        <v>63</v>
      </c>
      <c r="M2" s="103" t="s">
        <v>64</v>
      </c>
      <c r="N2" s="103" t="s">
        <v>65</v>
      </c>
      <c r="O2" s="104" t="s">
        <v>66</v>
      </c>
      <c r="P2" s="104" t="s">
        <v>67</v>
      </c>
      <c r="Q2" s="105" t="s">
        <v>68</v>
      </c>
      <c r="R2" s="105" t="s">
        <v>69</v>
      </c>
      <c r="S2" s="100" t="s">
        <v>70</v>
      </c>
      <c r="T2" s="102" t="s">
        <v>71</v>
      </c>
      <c r="U2" s="102" t="s">
        <v>72</v>
      </c>
      <c r="V2" s="106" t="s">
        <v>73</v>
      </c>
      <c r="W2" s="105" t="s">
        <v>74</v>
      </c>
      <c r="X2" s="105" t="s">
        <v>75</v>
      </c>
      <c r="Y2" s="107" t="s">
        <v>76</v>
      </c>
      <c r="Z2" s="108" t="s">
        <v>77</v>
      </c>
      <c r="AA2" s="107" t="s">
        <v>78</v>
      </c>
      <c r="AB2" s="107" t="s">
        <v>18</v>
      </c>
      <c r="AC2" s="109" t="s">
        <v>79</v>
      </c>
      <c r="AD2" s="110" t="s">
        <v>80</v>
      </c>
      <c r="AE2" s="105" t="s">
        <v>8</v>
      </c>
      <c r="AF2" s="104" t="s">
        <v>25</v>
      </c>
      <c r="AG2" s="104" t="s">
        <v>26</v>
      </c>
      <c r="AH2" s="104" t="s">
        <v>27</v>
      </c>
      <c r="AI2" s="105" t="s">
        <v>9</v>
      </c>
      <c r="AJ2" s="105" t="s">
        <v>81</v>
      </c>
      <c r="AK2" s="100" t="s">
        <v>82</v>
      </c>
      <c r="AL2" s="100" t="s">
        <v>11</v>
      </c>
      <c r="AM2" s="111"/>
      <c r="AN2" s="110" t="s">
        <v>83</v>
      </c>
      <c r="AO2" s="110" t="s">
        <v>84</v>
      </c>
      <c r="AP2" s="110" t="s">
        <v>85</v>
      </c>
      <c r="AQ2" s="110" t="s">
        <v>86</v>
      </c>
      <c r="AR2" s="110" t="s">
        <v>87</v>
      </c>
      <c r="AS2" s="110" t="s">
        <v>88</v>
      </c>
      <c r="AT2" s="110" t="s">
        <v>89</v>
      </c>
      <c r="AU2" s="110" t="s">
        <v>90</v>
      </c>
      <c r="AV2" s="112"/>
      <c r="AW2" s="100" t="s">
        <v>91</v>
      </c>
    </row>
    <row r="3" spans="1:49" outlineLevel="1">
      <c r="A3" s="114"/>
      <c r="B3" s="115">
        <v>341479791</v>
      </c>
      <c r="C3" s="115" t="s">
        <v>92</v>
      </c>
      <c r="D3" s="116" t="s">
        <v>93</v>
      </c>
      <c r="E3" s="117">
        <f t="shared" ref="E3:E15" si="0">SUM(F3:H3)</f>
        <v>430</v>
      </c>
      <c r="F3" s="117">
        <v>19</v>
      </c>
      <c r="G3" s="117">
        <v>2</v>
      </c>
      <c r="H3" s="117">
        <v>409</v>
      </c>
      <c r="I3" s="117">
        <v>142.97999999999999</v>
      </c>
      <c r="J3" s="117">
        <f t="shared" ref="J3:J15" si="1">E3*I3</f>
        <v>61481.399999999994</v>
      </c>
      <c r="K3" s="114">
        <v>262</v>
      </c>
      <c r="L3" s="114">
        <v>21</v>
      </c>
      <c r="M3" s="114">
        <v>1238</v>
      </c>
      <c r="N3" s="114">
        <v>80</v>
      </c>
      <c r="O3" s="213">
        <f t="shared" ref="O3:O15" si="2">L3/7</f>
        <v>3</v>
      </c>
      <c r="P3" s="117">
        <f t="shared" ref="P3" si="3">S3/7</f>
        <v>1.4285714285714286</v>
      </c>
      <c r="Q3" s="118">
        <v>10</v>
      </c>
      <c r="R3" s="118">
        <v>0</v>
      </c>
      <c r="S3" s="117">
        <f>Q3+R3</f>
        <v>10</v>
      </c>
      <c r="T3" s="118">
        <v>10062.049999999999</v>
      </c>
      <c r="U3" s="118">
        <v>0</v>
      </c>
      <c r="V3" s="117">
        <f>T3+U3</f>
        <v>10062.049999999999</v>
      </c>
      <c r="W3" s="118">
        <v>12442.27</v>
      </c>
      <c r="X3" s="118">
        <v>0</v>
      </c>
      <c r="Y3" s="117">
        <f t="shared" ref="Y3:Y15" si="4">W3+X3</f>
        <v>12442.27</v>
      </c>
      <c r="Z3" s="117">
        <f>L3*M3*N3/100</f>
        <v>20798.400000000001</v>
      </c>
      <c r="AA3" s="119">
        <f t="shared" ref="AA3:AA15" si="5">Y3/$Y$74</f>
        <v>0.22319678597862364</v>
      </c>
      <c r="AB3" s="117">
        <f>S3*I3</f>
        <v>1429.8</v>
      </c>
      <c r="AC3" s="118">
        <v>4457.0200000000013</v>
      </c>
      <c r="AD3" s="119">
        <f t="shared" ref="AD3:AD15" si="6">IF(Y3=0,0,AC3/Y3)</f>
        <v>0.35821598470375593</v>
      </c>
      <c r="AE3" s="118">
        <v>1259.1499999999999</v>
      </c>
      <c r="AF3" s="118">
        <v>1000</v>
      </c>
      <c r="AG3" s="118">
        <v>1196</v>
      </c>
      <c r="AH3" s="118"/>
      <c r="AI3" s="152">
        <f t="shared" ref="AI3:AI15" si="7">IFERROR($AI$74*H3/$H$74,0)</f>
        <v>242.77555361813427</v>
      </c>
      <c r="AJ3" s="118">
        <v>0</v>
      </c>
      <c r="AK3" s="120">
        <f>V3*1%</f>
        <v>100.62049999999999</v>
      </c>
      <c r="AL3" s="121">
        <f>Y3-AB3-AC3-AE3-AF3-AG3-AH3-AI3-AK3-AJ3</f>
        <v>2756.9039463818658</v>
      </c>
      <c r="AM3" s="122"/>
      <c r="AN3" s="123">
        <f t="shared" ref="AN3:AN15" si="8">IF(S3=0,0,Y3/S3)</f>
        <v>1244.2270000000001</v>
      </c>
      <c r="AO3" s="124">
        <f t="shared" ref="AO3:AO15" si="9">I3</f>
        <v>142.97999999999999</v>
      </c>
      <c r="AP3" s="124">
        <f t="shared" ref="AP3:AP15" si="10">IF(S3=0,0,AC3/S3)</f>
        <v>445.70200000000011</v>
      </c>
      <c r="AQ3" s="124">
        <f>IF(Q3=0,AE3/1,AE3/Q3)</f>
        <v>125.91499999999999</v>
      </c>
      <c r="AR3" s="124">
        <f>IF(Q3=0,0,(AF3+AG3)/Q3)</f>
        <v>219.6</v>
      </c>
      <c r="AS3" s="124">
        <f>_xlfn.IFS(S3=0,AL3,S3&lt;0,AL3/-S3,S3&gt;0,AL3/S3)</f>
        <v>275.6903946381866</v>
      </c>
      <c r="AT3" s="119">
        <f t="shared" ref="AT3" si="11">IF(AN3=0,0,AS3/AN3)</f>
        <v>0.22157564064932411</v>
      </c>
      <c r="AU3" s="119">
        <f t="shared" ref="AU3" si="12">IF(AO3=0,0,AS3/AO3)</f>
        <v>1.9281745323694686</v>
      </c>
      <c r="AV3" s="125"/>
      <c r="AW3" s="120">
        <f t="shared" ref="AW3:AW15" si="13">AS3*E3</f>
        <v>118546.86969442024</v>
      </c>
    </row>
    <row r="4" spans="1:49" outlineLevel="1">
      <c r="A4" s="114"/>
      <c r="B4" s="115">
        <v>340343575</v>
      </c>
      <c r="C4" s="115" t="s">
        <v>94</v>
      </c>
      <c r="D4" s="116" t="s">
        <v>93</v>
      </c>
      <c r="E4" s="117">
        <f t="shared" si="0"/>
        <v>289</v>
      </c>
      <c r="F4" s="117" t="s">
        <v>145</v>
      </c>
      <c r="G4" s="117">
        <v>2</v>
      </c>
      <c r="H4" s="117">
        <v>287</v>
      </c>
      <c r="I4" s="117">
        <v>123.09</v>
      </c>
      <c r="J4" s="117">
        <f t="shared" si="1"/>
        <v>35573.01</v>
      </c>
      <c r="K4" s="114">
        <v>999</v>
      </c>
      <c r="L4" s="114">
        <v>0</v>
      </c>
      <c r="M4" s="114">
        <v>0</v>
      </c>
      <c r="N4" s="114">
        <v>0</v>
      </c>
      <c r="O4" s="213">
        <f t="shared" si="2"/>
        <v>0</v>
      </c>
      <c r="P4" s="117">
        <f>S4/7</f>
        <v>0</v>
      </c>
      <c r="Q4" s="118">
        <v>0</v>
      </c>
      <c r="R4" s="118">
        <v>0</v>
      </c>
      <c r="S4" s="117">
        <f t="shared" ref="S4:S15" si="14">Q4+R4</f>
        <v>0</v>
      </c>
      <c r="T4" s="118">
        <v>0</v>
      </c>
      <c r="U4" s="118">
        <v>0</v>
      </c>
      <c r="V4" s="117">
        <f t="shared" ref="V4:V15" si="15">T4+U4</f>
        <v>0</v>
      </c>
      <c r="W4" s="118">
        <v>0</v>
      </c>
      <c r="X4" s="118">
        <v>0</v>
      </c>
      <c r="Y4" s="117">
        <f t="shared" si="4"/>
        <v>0</v>
      </c>
      <c r="Z4" s="117">
        <f t="shared" ref="Z4:Z15" si="16">L4*M4*N4/100</f>
        <v>0</v>
      </c>
      <c r="AA4" s="119">
        <f t="shared" si="5"/>
        <v>0</v>
      </c>
      <c r="AB4" s="117">
        <f t="shared" ref="AB4:AB15" si="17">S4*I4</f>
        <v>0</v>
      </c>
      <c r="AC4" s="118">
        <v>0</v>
      </c>
      <c r="AD4" s="119">
        <f t="shared" si="6"/>
        <v>0</v>
      </c>
      <c r="AE4" s="118">
        <v>0</v>
      </c>
      <c r="AF4" s="118"/>
      <c r="AG4" s="118"/>
      <c r="AH4" s="118"/>
      <c r="AI4" s="152">
        <f t="shared" si="7"/>
        <v>170.35839581517001</v>
      </c>
      <c r="AJ4" s="118">
        <v>0</v>
      </c>
      <c r="AK4" s="120">
        <f t="shared" ref="AK4:AK15" si="18">V4*1%</f>
        <v>0</v>
      </c>
      <c r="AL4" s="121">
        <f t="shared" ref="AL4:AL15" si="19">Y4-AB4-AC4-AE4-AF4-AG4-AH4-AI4-AK4-AJ4</f>
        <v>-170.35839581517001</v>
      </c>
      <c r="AM4" s="122"/>
      <c r="AN4" s="123">
        <f t="shared" si="8"/>
        <v>0</v>
      </c>
      <c r="AO4" s="124">
        <f t="shared" si="9"/>
        <v>123.09</v>
      </c>
      <c r="AP4" s="124">
        <f t="shared" si="10"/>
        <v>0</v>
      </c>
      <c r="AQ4" s="124">
        <f t="shared" ref="AQ4:AQ15" si="20">IF(Q4=0,AE4/1,AE4/Q4)</f>
        <v>0</v>
      </c>
      <c r="AR4" s="124">
        <f t="shared" ref="AR4:AR15" si="21">IF(Q4=0,0,(AF4+AG4)/Q4)</f>
        <v>0</v>
      </c>
      <c r="AS4" s="124">
        <f t="array" ref="AS4">_xlfn.IFS(S4=0,AL4,S4&lt;0,AL4/-S4,S4&gt;0,AL4/S4)</f>
        <v>-170.35839581517001</v>
      </c>
      <c r="AT4" s="119">
        <f>IF(AN4=0,0,AS4/AN4)</f>
        <v>0</v>
      </c>
      <c r="AU4" s="119">
        <f>IF(AO4=0,0,AS4/AO4)</f>
        <v>-1.3840149144135998</v>
      </c>
      <c r="AV4" s="125"/>
      <c r="AW4" s="120">
        <f t="shared" si="13"/>
        <v>-49233.57639058413</v>
      </c>
    </row>
    <row r="5" spans="1:49" outlineLevel="1">
      <c r="A5" s="114"/>
      <c r="B5" s="115">
        <v>340332621</v>
      </c>
      <c r="C5" s="115" t="s">
        <v>95</v>
      </c>
      <c r="D5" s="116" t="s">
        <v>93</v>
      </c>
      <c r="E5" s="117">
        <f t="shared" si="0"/>
        <v>378</v>
      </c>
      <c r="F5" s="117" t="s">
        <v>145</v>
      </c>
      <c r="G5" s="117" t="s">
        <v>145</v>
      </c>
      <c r="H5" s="117">
        <v>378</v>
      </c>
      <c r="I5" s="117">
        <v>123.09</v>
      </c>
      <c r="J5" s="117">
        <f t="shared" si="1"/>
        <v>46528.020000000004</v>
      </c>
      <c r="K5" s="114">
        <v>999</v>
      </c>
      <c r="L5" s="114">
        <v>0</v>
      </c>
      <c r="M5" s="114">
        <v>0</v>
      </c>
      <c r="N5" s="114">
        <v>0</v>
      </c>
      <c r="O5" s="213">
        <f t="shared" si="2"/>
        <v>0</v>
      </c>
      <c r="P5" s="117">
        <f>S5/7</f>
        <v>0.14285714285714285</v>
      </c>
      <c r="Q5" s="118">
        <v>1</v>
      </c>
      <c r="R5" s="118">
        <v>0</v>
      </c>
      <c r="S5" s="117">
        <f t="shared" si="14"/>
        <v>1</v>
      </c>
      <c r="T5" s="118">
        <v>0</v>
      </c>
      <c r="U5" s="118">
        <v>0</v>
      </c>
      <c r="V5" s="117">
        <f t="shared" si="15"/>
        <v>0</v>
      </c>
      <c r="W5" s="118">
        <v>0</v>
      </c>
      <c r="X5" s="118">
        <v>0</v>
      </c>
      <c r="Y5" s="117">
        <f t="shared" si="4"/>
        <v>0</v>
      </c>
      <c r="Z5" s="117">
        <f t="shared" si="16"/>
        <v>0</v>
      </c>
      <c r="AA5" s="119">
        <f t="shared" si="5"/>
        <v>0</v>
      </c>
      <c r="AB5" s="117">
        <f t="shared" si="17"/>
        <v>123.09</v>
      </c>
      <c r="AC5" s="118">
        <v>-817.91</v>
      </c>
      <c r="AD5" s="119">
        <f t="shared" si="6"/>
        <v>0</v>
      </c>
      <c r="AE5" s="118">
        <v>0</v>
      </c>
      <c r="AF5" s="118"/>
      <c r="AG5" s="118"/>
      <c r="AH5" s="118"/>
      <c r="AI5" s="152">
        <f t="shared" si="7"/>
        <v>224.37447253705321</v>
      </c>
      <c r="AJ5" s="118">
        <v>0</v>
      </c>
      <c r="AK5" s="120">
        <f t="shared" si="18"/>
        <v>0</v>
      </c>
      <c r="AL5" s="121">
        <f t="shared" si="19"/>
        <v>470.44552746294676</v>
      </c>
      <c r="AM5" s="122"/>
      <c r="AN5" s="123">
        <f t="shared" si="8"/>
        <v>0</v>
      </c>
      <c r="AO5" s="124">
        <f t="shared" si="9"/>
        <v>123.09</v>
      </c>
      <c r="AP5" s="124">
        <f t="shared" si="10"/>
        <v>-817.91</v>
      </c>
      <c r="AQ5" s="124">
        <f t="shared" si="20"/>
        <v>0</v>
      </c>
      <c r="AR5" s="124">
        <f t="shared" si="21"/>
        <v>0</v>
      </c>
      <c r="AS5" s="124">
        <f t="array" ref="AS5">_xlfn.IFS(S5=0,AL5,S5&lt;0,AL5/-S5,S5&gt;0,AL5/S5)</f>
        <v>470.44552746294676</v>
      </c>
      <c r="AT5" s="119">
        <f>IF(AN5=0,0,AS5/AN5)</f>
        <v>0</v>
      </c>
      <c r="AU5" s="119">
        <f>IF(AO5=0,0,AS5/AO5)</f>
        <v>3.8219638269798257</v>
      </c>
      <c r="AV5" s="125"/>
      <c r="AW5" s="120">
        <f t="shared" si="13"/>
        <v>177828.40938099386</v>
      </c>
    </row>
    <row r="6" spans="1:49" outlineLevel="1">
      <c r="A6" s="114"/>
      <c r="B6" s="115">
        <v>340341838</v>
      </c>
      <c r="C6" s="115" t="s">
        <v>96</v>
      </c>
      <c r="D6" s="116" t="s">
        <v>93</v>
      </c>
      <c r="E6" s="117">
        <f t="shared" si="0"/>
        <v>355</v>
      </c>
      <c r="F6" s="117">
        <v>4</v>
      </c>
      <c r="G6" s="117">
        <v>2</v>
      </c>
      <c r="H6" s="117">
        <v>349</v>
      </c>
      <c r="I6" s="117">
        <v>123.09</v>
      </c>
      <c r="J6" s="117">
        <f t="shared" si="1"/>
        <v>43696.950000000004</v>
      </c>
      <c r="K6" s="114">
        <v>564</v>
      </c>
      <c r="L6" s="114">
        <v>4</v>
      </c>
      <c r="M6" s="114">
        <v>1114</v>
      </c>
      <c r="N6" s="114">
        <v>100</v>
      </c>
      <c r="O6" s="213">
        <f t="shared" si="2"/>
        <v>0.5714285714285714</v>
      </c>
      <c r="P6" s="117">
        <f t="shared" ref="P6:P15" si="22">S6/7</f>
        <v>0.8571428571428571</v>
      </c>
      <c r="Q6" s="118">
        <v>6</v>
      </c>
      <c r="R6" s="118">
        <v>0</v>
      </c>
      <c r="S6" s="117">
        <f t="shared" si="14"/>
        <v>6</v>
      </c>
      <c r="T6" s="118">
        <v>5408</v>
      </c>
      <c r="U6" s="118">
        <v>0</v>
      </c>
      <c r="V6" s="117">
        <f t="shared" si="15"/>
        <v>5408</v>
      </c>
      <c r="W6" s="118">
        <v>6746</v>
      </c>
      <c r="X6" s="118">
        <v>0</v>
      </c>
      <c r="Y6" s="117">
        <f t="shared" si="4"/>
        <v>6746</v>
      </c>
      <c r="Z6" s="117">
        <f t="shared" si="16"/>
        <v>4456</v>
      </c>
      <c r="AA6" s="119">
        <f t="shared" si="5"/>
        <v>0.12101373127345694</v>
      </c>
      <c r="AB6" s="117">
        <f t="shared" si="17"/>
        <v>738.54</v>
      </c>
      <c r="AC6" s="118">
        <v>2452.4499999999998</v>
      </c>
      <c r="AD6" s="119">
        <f t="shared" si="6"/>
        <v>0.36354135784168395</v>
      </c>
      <c r="AE6" s="118">
        <v>654.6</v>
      </c>
      <c r="AF6" s="118">
        <v>409</v>
      </c>
      <c r="AG6" s="118">
        <v>411</v>
      </c>
      <c r="AH6" s="118"/>
      <c r="AI6" s="152">
        <f t="shared" si="7"/>
        <v>207.16055797733216</v>
      </c>
      <c r="AJ6" s="118">
        <v>0</v>
      </c>
      <c r="AK6" s="120">
        <f t="shared" si="18"/>
        <v>54.08</v>
      </c>
      <c r="AL6" s="121">
        <f t="shared" si="19"/>
        <v>1819.1694420226681</v>
      </c>
      <c r="AM6" s="122"/>
      <c r="AN6" s="123">
        <f t="shared" si="8"/>
        <v>1124.3333333333333</v>
      </c>
      <c r="AO6" s="124">
        <f t="shared" si="9"/>
        <v>123.09</v>
      </c>
      <c r="AP6" s="124">
        <f t="shared" si="10"/>
        <v>408.74166666666662</v>
      </c>
      <c r="AQ6" s="124">
        <f t="shared" si="20"/>
        <v>109.10000000000001</v>
      </c>
      <c r="AR6" s="124">
        <f t="shared" si="21"/>
        <v>136.66666666666666</v>
      </c>
      <c r="AS6" s="124">
        <f t="array" ref="AS6">_xlfn.IFS(S6=0,AL6,S6&lt;0,AL6/-S6,S6&gt;0,AL6/S6)</f>
        <v>303.19490700377804</v>
      </c>
      <c r="AT6" s="119">
        <f t="shared" ref="AT6:AT15" si="23">IF(AN6=0,0,AS6/AN6)</f>
        <v>0.26966638630635464</v>
      </c>
      <c r="AU6" s="119">
        <f t="shared" ref="AU6:AU15" si="24">IF(AO6=0,0,AS6/AO6)</f>
        <v>2.4631969047345685</v>
      </c>
      <c r="AV6" s="125"/>
      <c r="AW6" s="120">
        <f t="shared" si="13"/>
        <v>107634.1919863412</v>
      </c>
    </row>
    <row r="7" spans="1:49" outlineLevel="1">
      <c r="A7" s="114"/>
      <c r="B7" s="115">
        <v>445291724</v>
      </c>
      <c r="C7" s="115" t="s">
        <v>97</v>
      </c>
      <c r="D7" s="116" t="s">
        <v>93</v>
      </c>
      <c r="E7" s="117">
        <f t="shared" si="0"/>
        <v>285</v>
      </c>
      <c r="F7" s="117">
        <v>1</v>
      </c>
      <c r="G7" s="117">
        <v>1</v>
      </c>
      <c r="H7" s="117">
        <v>283</v>
      </c>
      <c r="I7" s="117">
        <v>123.09</v>
      </c>
      <c r="J7" s="117">
        <f t="shared" si="1"/>
        <v>35080.65</v>
      </c>
      <c r="K7" s="114">
        <v>999</v>
      </c>
      <c r="L7" s="114">
        <v>2</v>
      </c>
      <c r="M7" s="114">
        <v>1079</v>
      </c>
      <c r="N7" s="114">
        <v>0</v>
      </c>
      <c r="O7" s="213">
        <f t="shared" si="2"/>
        <v>0.2857142857142857</v>
      </c>
      <c r="P7" s="117">
        <f t="shared" si="22"/>
        <v>0</v>
      </c>
      <c r="Q7" s="118">
        <v>0</v>
      </c>
      <c r="R7" s="118">
        <v>0</v>
      </c>
      <c r="S7" s="117">
        <f t="shared" si="14"/>
        <v>0</v>
      </c>
      <c r="T7" s="118">
        <v>0</v>
      </c>
      <c r="U7" s="118">
        <v>0</v>
      </c>
      <c r="V7" s="117">
        <f t="shared" si="15"/>
        <v>0</v>
      </c>
      <c r="W7" s="118">
        <v>0</v>
      </c>
      <c r="X7" s="118">
        <v>0</v>
      </c>
      <c r="Y7" s="117">
        <f t="shared" si="4"/>
        <v>0</v>
      </c>
      <c r="Z7" s="117">
        <f t="shared" si="16"/>
        <v>0</v>
      </c>
      <c r="AA7" s="119">
        <f t="shared" si="5"/>
        <v>0</v>
      </c>
      <c r="AB7" s="117">
        <f t="shared" si="17"/>
        <v>0</v>
      </c>
      <c r="AC7" s="118">
        <v>0</v>
      </c>
      <c r="AD7" s="119">
        <f t="shared" si="6"/>
        <v>0</v>
      </c>
      <c r="AE7" s="118">
        <v>96.4</v>
      </c>
      <c r="AF7" s="118"/>
      <c r="AG7" s="118">
        <v>29</v>
      </c>
      <c r="AH7" s="118"/>
      <c r="AI7" s="152">
        <f t="shared" si="7"/>
        <v>167.98406277244987</v>
      </c>
      <c r="AJ7" s="118">
        <v>0</v>
      </c>
      <c r="AK7" s="120">
        <f t="shared" si="18"/>
        <v>0</v>
      </c>
      <c r="AL7" s="121">
        <f t="shared" si="19"/>
        <v>-293.38406277244985</v>
      </c>
      <c r="AM7" s="122"/>
      <c r="AN7" s="123">
        <f t="shared" si="8"/>
        <v>0</v>
      </c>
      <c r="AO7" s="124">
        <f t="shared" si="9"/>
        <v>123.09</v>
      </c>
      <c r="AP7" s="124">
        <f t="shared" si="10"/>
        <v>0</v>
      </c>
      <c r="AQ7" s="124">
        <f t="shared" si="20"/>
        <v>96.4</v>
      </c>
      <c r="AR7" s="124">
        <f t="shared" si="21"/>
        <v>0</v>
      </c>
      <c r="AS7" s="124">
        <f t="array" ref="AS7">_xlfn.IFS(S7=0,AL7,S7&lt;0,AL7/-S7,S7&gt;0,AL7/S7)</f>
        <v>-293.38406277244985</v>
      </c>
      <c r="AT7" s="119">
        <f t="shared" si="23"/>
        <v>0</v>
      </c>
      <c r="AU7" s="119">
        <f t="shared" si="24"/>
        <v>-2.3834922639731078</v>
      </c>
      <c r="AV7" s="125"/>
      <c r="AW7" s="120">
        <f t="shared" si="13"/>
        <v>-83614.457890148202</v>
      </c>
    </row>
    <row r="8" spans="1:49" outlineLevel="1">
      <c r="A8" s="114"/>
      <c r="B8" s="115">
        <v>445336740</v>
      </c>
      <c r="C8" s="115" t="s">
        <v>98</v>
      </c>
      <c r="D8" s="116" t="s">
        <v>93</v>
      </c>
      <c r="E8" s="117">
        <f t="shared" si="0"/>
        <v>123</v>
      </c>
      <c r="F8" s="117">
        <v>10</v>
      </c>
      <c r="G8" s="117">
        <v>4</v>
      </c>
      <c r="H8" s="117">
        <v>109</v>
      </c>
      <c r="I8" s="117">
        <v>123.09</v>
      </c>
      <c r="J8" s="117">
        <f t="shared" si="1"/>
        <v>15140.07</v>
      </c>
      <c r="K8" s="114">
        <v>37</v>
      </c>
      <c r="L8" s="114">
        <v>16</v>
      </c>
      <c r="M8" s="114">
        <v>1191</v>
      </c>
      <c r="N8" s="114">
        <v>88</v>
      </c>
      <c r="O8" s="213">
        <f t="shared" si="2"/>
        <v>2.2857142857142856</v>
      </c>
      <c r="P8" s="117">
        <f t="shared" si="22"/>
        <v>3.1428571428571428</v>
      </c>
      <c r="Q8" s="118">
        <v>22</v>
      </c>
      <c r="R8" s="118">
        <v>0</v>
      </c>
      <c r="S8" s="117">
        <f t="shared" si="14"/>
        <v>22</v>
      </c>
      <c r="T8" s="118">
        <v>21017.42</v>
      </c>
      <c r="U8" s="118">
        <v>0</v>
      </c>
      <c r="V8" s="117">
        <f t="shared" si="15"/>
        <v>21017.42</v>
      </c>
      <c r="W8" s="118">
        <v>26020.47</v>
      </c>
      <c r="X8" s="118">
        <v>0</v>
      </c>
      <c r="Y8" s="117">
        <f t="shared" si="4"/>
        <v>26020.47</v>
      </c>
      <c r="Z8" s="117">
        <f t="shared" si="16"/>
        <v>16769.28</v>
      </c>
      <c r="AA8" s="119">
        <f t="shared" si="5"/>
        <v>0.46677055502357667</v>
      </c>
      <c r="AB8" s="117">
        <f t="shared" si="17"/>
        <v>2707.98</v>
      </c>
      <c r="AC8" s="118">
        <v>9396.6700000000019</v>
      </c>
      <c r="AD8" s="119">
        <f t="shared" si="6"/>
        <v>0.36112606728471858</v>
      </c>
      <c r="AE8" s="118">
        <v>2224.1999999999998</v>
      </c>
      <c r="AF8" s="118">
        <v>1362</v>
      </c>
      <c r="AG8" s="118">
        <v>638</v>
      </c>
      <c r="AH8" s="118"/>
      <c r="AI8" s="152">
        <f t="shared" si="7"/>
        <v>64.700575414123804</v>
      </c>
      <c r="AJ8" s="118">
        <v>0</v>
      </c>
      <c r="AK8" s="120">
        <f t="shared" si="18"/>
        <v>210.17419999999998</v>
      </c>
      <c r="AL8" s="121">
        <f t="shared" si="19"/>
        <v>9416.7452245858749</v>
      </c>
      <c r="AM8" s="122"/>
      <c r="AN8" s="123">
        <f t="shared" si="8"/>
        <v>1182.7486363636365</v>
      </c>
      <c r="AO8" s="124">
        <f t="shared" si="9"/>
        <v>123.09</v>
      </c>
      <c r="AP8" s="124">
        <f t="shared" si="10"/>
        <v>427.1213636363637</v>
      </c>
      <c r="AQ8" s="124">
        <f t="shared" si="20"/>
        <v>101.1</v>
      </c>
      <c r="AR8" s="124">
        <f t="shared" si="21"/>
        <v>90.909090909090907</v>
      </c>
      <c r="AS8" s="124">
        <f t="array" ref="AS8">_xlfn.IFS(S8=0,AL8,S8&lt;0,AL8/-S8,S8&gt;0,AL8/S8)</f>
        <v>428.03387384481249</v>
      </c>
      <c r="AT8" s="119">
        <f t="shared" si="23"/>
        <v>0.361897583886297</v>
      </c>
      <c r="AU8" s="119">
        <f t="shared" si="24"/>
        <v>3.4774057506280971</v>
      </c>
      <c r="AV8" s="125"/>
      <c r="AW8" s="120">
        <f t="shared" si="13"/>
        <v>52648.166482911933</v>
      </c>
    </row>
    <row r="9" spans="1:49" outlineLevel="1">
      <c r="A9" s="114"/>
      <c r="B9" s="115">
        <v>445341507</v>
      </c>
      <c r="C9" s="115" t="s">
        <v>99</v>
      </c>
      <c r="D9" s="116" t="s">
        <v>93</v>
      </c>
      <c r="E9" s="117">
        <f t="shared" si="0"/>
        <v>268</v>
      </c>
      <c r="F9" s="117">
        <v>7</v>
      </c>
      <c r="G9" s="117">
        <v>1</v>
      </c>
      <c r="H9" s="117">
        <v>260</v>
      </c>
      <c r="I9" s="117">
        <v>169.89</v>
      </c>
      <c r="J9" s="117">
        <f t="shared" si="1"/>
        <v>45530.52</v>
      </c>
      <c r="K9" s="114">
        <v>569</v>
      </c>
      <c r="L9" s="114">
        <v>6</v>
      </c>
      <c r="M9" s="114">
        <v>1183</v>
      </c>
      <c r="N9" s="114">
        <v>100</v>
      </c>
      <c r="O9" s="213">
        <f t="shared" si="2"/>
        <v>0.8571428571428571</v>
      </c>
      <c r="P9" s="117">
        <f t="shared" si="22"/>
        <v>0.42857142857142855</v>
      </c>
      <c r="Q9" s="118">
        <v>4</v>
      </c>
      <c r="R9" s="118">
        <v>-1</v>
      </c>
      <c r="S9" s="117">
        <f t="shared" si="14"/>
        <v>3</v>
      </c>
      <c r="T9" s="118">
        <v>3752</v>
      </c>
      <c r="U9" s="118">
        <v>-948</v>
      </c>
      <c r="V9" s="117">
        <f t="shared" si="15"/>
        <v>2804</v>
      </c>
      <c r="W9" s="118">
        <v>4696</v>
      </c>
      <c r="X9" s="118">
        <v>-1174</v>
      </c>
      <c r="Y9" s="117">
        <f t="shared" si="4"/>
        <v>3522</v>
      </c>
      <c r="Z9" s="117">
        <f t="shared" si="16"/>
        <v>7098</v>
      </c>
      <c r="AA9" s="119">
        <f t="shared" si="5"/>
        <v>6.3179715615937646E-2</v>
      </c>
      <c r="AB9" s="117">
        <f t="shared" si="17"/>
        <v>509.66999999999996</v>
      </c>
      <c r="AC9" s="118">
        <v>1275.3899999999999</v>
      </c>
      <c r="AD9" s="119">
        <f t="shared" si="6"/>
        <v>0.3621209540034071</v>
      </c>
      <c r="AE9" s="118">
        <v>779.95</v>
      </c>
      <c r="AF9" s="118">
        <v>151</v>
      </c>
      <c r="AG9" s="118">
        <v>1190</v>
      </c>
      <c r="AH9" s="118"/>
      <c r="AI9" s="152">
        <f t="shared" si="7"/>
        <v>154.33164777680906</v>
      </c>
      <c r="AJ9" s="118">
        <v>0</v>
      </c>
      <c r="AK9" s="120">
        <f t="shared" si="18"/>
        <v>28.04</v>
      </c>
      <c r="AL9" s="121">
        <f t="shared" si="19"/>
        <v>-566.38164777680902</v>
      </c>
      <c r="AM9" s="122"/>
      <c r="AN9" s="123">
        <f t="shared" si="8"/>
        <v>1174</v>
      </c>
      <c r="AO9" s="124">
        <f t="shared" si="9"/>
        <v>169.89</v>
      </c>
      <c r="AP9" s="124">
        <f t="shared" si="10"/>
        <v>425.12999999999994</v>
      </c>
      <c r="AQ9" s="124">
        <f t="shared" si="20"/>
        <v>194.98750000000001</v>
      </c>
      <c r="AR9" s="124">
        <f t="shared" si="21"/>
        <v>335.25</v>
      </c>
      <c r="AS9" s="124">
        <f t="array" ref="AS9">_xlfn.IFS(S9=0,AL9,S9&lt;0,AL9/-S9,S9&gt;0,AL9/S9)</f>
        <v>-188.79388259226968</v>
      </c>
      <c r="AT9" s="119">
        <f t="shared" si="23"/>
        <v>-0.16081250646700995</v>
      </c>
      <c r="AU9" s="119">
        <f t="shared" si="24"/>
        <v>-1.1112713084482295</v>
      </c>
      <c r="AV9" s="125"/>
      <c r="AW9" s="120">
        <f t="shared" si="13"/>
        <v>-50596.760534728273</v>
      </c>
    </row>
    <row r="10" spans="1:49" outlineLevel="1">
      <c r="A10" s="114"/>
      <c r="B10" s="115">
        <v>497825485</v>
      </c>
      <c r="C10" s="115" t="s">
        <v>100</v>
      </c>
      <c r="D10" s="116" t="s">
        <v>93</v>
      </c>
      <c r="E10" s="117">
        <f t="shared" si="0"/>
        <v>40</v>
      </c>
      <c r="F10" s="117">
        <v>2</v>
      </c>
      <c r="G10" s="117">
        <v>1</v>
      </c>
      <c r="H10" s="117">
        <v>37</v>
      </c>
      <c r="I10" s="117">
        <v>169.89</v>
      </c>
      <c r="J10" s="117">
        <f t="shared" si="1"/>
        <v>6795.5999999999995</v>
      </c>
      <c r="K10" s="114">
        <v>414</v>
      </c>
      <c r="L10" s="114">
        <v>2</v>
      </c>
      <c r="M10" s="114">
        <v>1172</v>
      </c>
      <c r="N10" s="114">
        <v>100</v>
      </c>
      <c r="O10" s="213">
        <f t="shared" si="2"/>
        <v>0.2857142857142857</v>
      </c>
      <c r="P10" s="117">
        <f t="shared" si="22"/>
        <v>0.14285714285714285</v>
      </c>
      <c r="Q10" s="118">
        <v>1</v>
      </c>
      <c r="R10" s="118">
        <v>0</v>
      </c>
      <c r="S10" s="117">
        <f t="shared" si="14"/>
        <v>1</v>
      </c>
      <c r="T10" s="118">
        <v>919</v>
      </c>
      <c r="U10" s="118">
        <v>0</v>
      </c>
      <c r="V10" s="117">
        <f t="shared" si="15"/>
        <v>919</v>
      </c>
      <c r="W10" s="118">
        <v>1145</v>
      </c>
      <c r="X10" s="118">
        <v>0</v>
      </c>
      <c r="Y10" s="117">
        <f t="shared" si="4"/>
        <v>1145</v>
      </c>
      <c r="Z10" s="117">
        <f t="shared" si="16"/>
        <v>2344</v>
      </c>
      <c r="AA10" s="119">
        <f t="shared" si="5"/>
        <v>2.0539686081842305E-2</v>
      </c>
      <c r="AB10" s="117">
        <f t="shared" si="17"/>
        <v>169.89</v>
      </c>
      <c r="AC10" s="118">
        <v>419.12</v>
      </c>
      <c r="AD10" s="119">
        <f t="shared" si="6"/>
        <v>0.36604366812227074</v>
      </c>
      <c r="AE10" s="118">
        <v>152.94999999999999</v>
      </c>
      <c r="AF10" s="118"/>
      <c r="AG10" s="118"/>
      <c r="AH10" s="118"/>
      <c r="AI10" s="152">
        <f t="shared" si="7"/>
        <v>21.962580645161292</v>
      </c>
      <c r="AJ10" s="118">
        <v>0</v>
      </c>
      <c r="AK10" s="120">
        <f t="shared" si="18"/>
        <v>9.19</v>
      </c>
      <c r="AL10" s="121">
        <f t="shared" si="19"/>
        <v>371.88741935483876</v>
      </c>
      <c r="AM10" s="122"/>
      <c r="AN10" s="123">
        <f t="shared" si="8"/>
        <v>1145</v>
      </c>
      <c r="AO10" s="124">
        <f t="shared" si="9"/>
        <v>169.89</v>
      </c>
      <c r="AP10" s="124">
        <f t="shared" si="10"/>
        <v>419.12</v>
      </c>
      <c r="AQ10" s="124">
        <f t="shared" si="20"/>
        <v>152.94999999999999</v>
      </c>
      <c r="AR10" s="124">
        <f t="shared" si="21"/>
        <v>0</v>
      </c>
      <c r="AS10" s="124">
        <f t="array" ref="AS10">_xlfn.IFS(S10=0,AL10,S10&lt;0,AL10/-S10,S10&gt;0,AL10/S10)</f>
        <v>371.88741935483876</v>
      </c>
      <c r="AT10" s="119">
        <f t="shared" si="23"/>
        <v>0.32479250598675874</v>
      </c>
      <c r="AU10" s="119">
        <f t="shared" si="24"/>
        <v>2.1889894599731519</v>
      </c>
      <c r="AV10" s="125"/>
      <c r="AW10" s="120">
        <f t="shared" si="13"/>
        <v>14875.496774193551</v>
      </c>
    </row>
    <row r="11" spans="1:49" outlineLevel="1">
      <c r="A11" s="114"/>
      <c r="B11" s="115">
        <v>497825962</v>
      </c>
      <c r="C11" s="115" t="s">
        <v>101</v>
      </c>
      <c r="D11" s="116" t="s">
        <v>93</v>
      </c>
      <c r="E11" s="117">
        <f t="shared" si="0"/>
        <v>41</v>
      </c>
      <c r="F11" s="117">
        <v>1</v>
      </c>
      <c r="G11" s="117" t="s">
        <v>145</v>
      </c>
      <c r="H11" s="117">
        <v>40</v>
      </c>
      <c r="I11" s="117">
        <v>169.89</v>
      </c>
      <c r="J11" s="117">
        <f t="shared" si="1"/>
        <v>6965.49</v>
      </c>
      <c r="K11" s="114">
        <v>614</v>
      </c>
      <c r="L11" s="114">
        <v>1</v>
      </c>
      <c r="M11" s="114">
        <v>1090</v>
      </c>
      <c r="N11" s="114">
        <v>0</v>
      </c>
      <c r="O11" s="213">
        <f t="shared" si="2"/>
        <v>0.14285714285714285</v>
      </c>
      <c r="P11" s="117">
        <f t="shared" si="22"/>
        <v>0</v>
      </c>
      <c r="Q11" s="118">
        <v>0</v>
      </c>
      <c r="R11" s="118">
        <v>0</v>
      </c>
      <c r="S11" s="117">
        <f t="shared" si="14"/>
        <v>0</v>
      </c>
      <c r="T11" s="118">
        <v>0</v>
      </c>
      <c r="U11" s="118">
        <v>0</v>
      </c>
      <c r="V11" s="117">
        <f t="shared" si="15"/>
        <v>0</v>
      </c>
      <c r="W11" s="118">
        <v>0</v>
      </c>
      <c r="X11" s="118">
        <v>0</v>
      </c>
      <c r="Y11" s="117">
        <f t="shared" si="4"/>
        <v>0</v>
      </c>
      <c r="Z11" s="117">
        <f t="shared" si="16"/>
        <v>0</v>
      </c>
      <c r="AA11" s="119">
        <f t="shared" si="5"/>
        <v>0</v>
      </c>
      <c r="AB11" s="117">
        <f t="shared" si="17"/>
        <v>0</v>
      </c>
      <c r="AC11" s="118">
        <v>0</v>
      </c>
      <c r="AD11" s="119">
        <f t="shared" si="6"/>
        <v>0</v>
      </c>
      <c r="AE11" s="118">
        <v>106.55</v>
      </c>
      <c r="AF11" s="118"/>
      <c r="AG11" s="118"/>
      <c r="AH11" s="118"/>
      <c r="AI11" s="152">
        <f t="shared" si="7"/>
        <v>23.743330427201396</v>
      </c>
      <c r="AJ11" s="118">
        <v>0</v>
      </c>
      <c r="AK11" s="120">
        <f t="shared" si="18"/>
        <v>0</v>
      </c>
      <c r="AL11" s="121">
        <f t="shared" si="19"/>
        <v>-130.2933304272014</v>
      </c>
      <c r="AM11" s="122"/>
      <c r="AN11" s="123">
        <f t="shared" si="8"/>
        <v>0</v>
      </c>
      <c r="AO11" s="124">
        <f t="shared" si="9"/>
        <v>169.89</v>
      </c>
      <c r="AP11" s="124">
        <f t="shared" si="10"/>
        <v>0</v>
      </c>
      <c r="AQ11" s="124">
        <f t="shared" si="20"/>
        <v>106.55</v>
      </c>
      <c r="AR11" s="124">
        <f t="shared" si="21"/>
        <v>0</v>
      </c>
      <c r="AS11" s="124">
        <f t="array" ref="AS11">_xlfn.IFS(S11=0,AL11,S11&lt;0,AL11/-S11,S11&gt;0,AL11/S11)</f>
        <v>-130.2933304272014</v>
      </c>
      <c r="AT11" s="119">
        <f t="shared" si="23"/>
        <v>0</v>
      </c>
      <c r="AU11" s="119">
        <f t="shared" si="24"/>
        <v>-0.76692760272647831</v>
      </c>
      <c r="AV11" s="125"/>
      <c r="AW11" s="120">
        <f t="shared" si="13"/>
        <v>-5342.0265475152573</v>
      </c>
    </row>
    <row r="12" spans="1:49" outlineLevel="1">
      <c r="A12" s="114"/>
      <c r="B12" s="115">
        <v>497821775</v>
      </c>
      <c r="C12" s="115" t="s">
        <v>102</v>
      </c>
      <c r="D12" s="116" t="s">
        <v>93</v>
      </c>
      <c r="E12" s="117">
        <f t="shared" si="0"/>
        <v>47</v>
      </c>
      <c r="F12" s="117">
        <v>3</v>
      </c>
      <c r="G12" s="117">
        <v>2</v>
      </c>
      <c r="H12" s="117">
        <v>42</v>
      </c>
      <c r="I12" s="117">
        <v>169.89</v>
      </c>
      <c r="J12" s="117">
        <f t="shared" si="1"/>
        <v>7984.829999999999</v>
      </c>
      <c r="K12" s="114">
        <v>343</v>
      </c>
      <c r="L12" s="114">
        <v>4</v>
      </c>
      <c r="M12" s="114">
        <v>1166</v>
      </c>
      <c r="N12" s="114">
        <v>0</v>
      </c>
      <c r="O12" s="213">
        <f t="shared" si="2"/>
        <v>0.5714285714285714</v>
      </c>
      <c r="P12" s="117">
        <f t="shared" si="22"/>
        <v>0</v>
      </c>
      <c r="Q12" s="118">
        <v>0</v>
      </c>
      <c r="R12" s="118">
        <v>0</v>
      </c>
      <c r="S12" s="117">
        <f t="shared" si="14"/>
        <v>0</v>
      </c>
      <c r="T12" s="118">
        <v>0</v>
      </c>
      <c r="U12" s="118">
        <v>0</v>
      </c>
      <c r="V12" s="117">
        <f t="shared" si="15"/>
        <v>0</v>
      </c>
      <c r="W12" s="118">
        <v>0</v>
      </c>
      <c r="X12" s="118">
        <v>0</v>
      </c>
      <c r="Y12" s="117">
        <f t="shared" si="4"/>
        <v>0</v>
      </c>
      <c r="Z12" s="117">
        <f t="shared" si="16"/>
        <v>0</v>
      </c>
      <c r="AA12" s="119">
        <f t="shared" si="5"/>
        <v>0</v>
      </c>
      <c r="AB12" s="117">
        <f t="shared" si="17"/>
        <v>0</v>
      </c>
      <c r="AC12" s="118">
        <v>0</v>
      </c>
      <c r="AD12" s="119">
        <f t="shared" si="6"/>
        <v>0</v>
      </c>
      <c r="AE12" s="118">
        <v>211.65</v>
      </c>
      <c r="AF12" s="118"/>
      <c r="AG12" s="118"/>
      <c r="AH12" s="118"/>
      <c r="AI12" s="152">
        <f t="shared" si="7"/>
        <v>24.930496948561466</v>
      </c>
      <c r="AJ12" s="118">
        <v>0</v>
      </c>
      <c r="AK12" s="120">
        <f t="shared" si="18"/>
        <v>0</v>
      </c>
      <c r="AL12" s="121">
        <f t="shared" si="19"/>
        <v>-236.58049694856146</v>
      </c>
      <c r="AM12" s="122"/>
      <c r="AN12" s="123">
        <f t="shared" si="8"/>
        <v>0</v>
      </c>
      <c r="AO12" s="124">
        <f t="shared" si="9"/>
        <v>169.89</v>
      </c>
      <c r="AP12" s="124">
        <f t="shared" si="10"/>
        <v>0</v>
      </c>
      <c r="AQ12" s="124">
        <f t="shared" si="20"/>
        <v>211.65</v>
      </c>
      <c r="AR12" s="124">
        <f t="shared" si="21"/>
        <v>0</v>
      </c>
      <c r="AS12" s="124">
        <f t="array" ref="AS12">_xlfn.IFS(S12=0,AL12,S12&lt;0,AL12/-S12,S12&gt;0,AL12/S12)</f>
        <v>-236.58049694856146</v>
      </c>
      <c r="AT12" s="119">
        <f t="shared" si="23"/>
        <v>0</v>
      </c>
      <c r="AU12" s="119">
        <f t="shared" si="24"/>
        <v>-1.3925510444909146</v>
      </c>
      <c r="AV12" s="125"/>
      <c r="AW12" s="120">
        <f t="shared" si="13"/>
        <v>-11119.283356582389</v>
      </c>
    </row>
    <row r="13" spans="1:49" outlineLevel="1">
      <c r="A13" s="114"/>
      <c r="B13" s="115">
        <v>497823770</v>
      </c>
      <c r="C13" s="115" t="s">
        <v>103</v>
      </c>
      <c r="D13" s="116" t="s">
        <v>93</v>
      </c>
      <c r="E13" s="117">
        <f t="shared" si="0"/>
        <v>10</v>
      </c>
      <c r="F13" s="117">
        <v>2</v>
      </c>
      <c r="G13" s="117" t="s">
        <v>145</v>
      </c>
      <c r="H13" s="117">
        <v>8</v>
      </c>
      <c r="I13" s="117">
        <v>169.89</v>
      </c>
      <c r="J13" s="117">
        <f t="shared" si="1"/>
        <v>1698.8999999999999</v>
      </c>
      <c r="K13" s="114">
        <v>80</v>
      </c>
      <c r="L13" s="114">
        <v>2</v>
      </c>
      <c r="M13" s="114">
        <v>1166</v>
      </c>
      <c r="N13" s="114">
        <v>0</v>
      </c>
      <c r="O13" s="213">
        <f t="shared" si="2"/>
        <v>0.2857142857142857</v>
      </c>
      <c r="P13" s="117">
        <f t="shared" si="22"/>
        <v>0.14285714285714285</v>
      </c>
      <c r="Q13" s="118">
        <v>1</v>
      </c>
      <c r="R13" s="118">
        <v>0</v>
      </c>
      <c r="S13" s="117">
        <f t="shared" si="14"/>
        <v>1</v>
      </c>
      <c r="T13" s="118">
        <v>1028</v>
      </c>
      <c r="U13" s="118">
        <v>0</v>
      </c>
      <c r="V13" s="117">
        <f t="shared" si="15"/>
        <v>1028</v>
      </c>
      <c r="W13" s="118">
        <v>1166</v>
      </c>
      <c r="X13" s="118">
        <v>0</v>
      </c>
      <c r="Y13" s="117">
        <f t="shared" si="4"/>
        <v>1166</v>
      </c>
      <c r="Z13" s="117">
        <f t="shared" si="16"/>
        <v>0</v>
      </c>
      <c r="AA13" s="119">
        <f t="shared" si="5"/>
        <v>2.0916396481596617E-2</v>
      </c>
      <c r="AB13" s="117">
        <f t="shared" si="17"/>
        <v>169.89</v>
      </c>
      <c r="AC13" s="118">
        <v>424.38</v>
      </c>
      <c r="AD13" s="119">
        <f t="shared" si="6"/>
        <v>0.3639622641509434</v>
      </c>
      <c r="AE13" s="118">
        <v>56.55</v>
      </c>
      <c r="AF13" s="118"/>
      <c r="AG13" s="118"/>
      <c r="AH13" s="118"/>
      <c r="AI13" s="152">
        <f t="shared" si="7"/>
        <v>4.7486660854402789</v>
      </c>
      <c r="AJ13" s="118">
        <v>0</v>
      </c>
      <c r="AK13" s="120">
        <f t="shared" si="18"/>
        <v>10.28</v>
      </c>
      <c r="AL13" s="121">
        <f t="shared" si="19"/>
        <v>500.15133391455981</v>
      </c>
      <c r="AM13" s="122"/>
      <c r="AN13" s="123">
        <f t="shared" si="8"/>
        <v>1166</v>
      </c>
      <c r="AO13" s="124">
        <f t="shared" si="9"/>
        <v>169.89</v>
      </c>
      <c r="AP13" s="124">
        <f t="shared" si="10"/>
        <v>424.38</v>
      </c>
      <c r="AQ13" s="124">
        <f t="shared" si="20"/>
        <v>56.55</v>
      </c>
      <c r="AR13" s="124">
        <f t="shared" si="21"/>
        <v>0</v>
      </c>
      <c r="AS13" s="124">
        <f t="array" ref="AS13">_xlfn.IFS(S13=0,AL13,S13&lt;0,AL13/-S13,S13&gt;0,AL13/S13)</f>
        <v>500.15133391455981</v>
      </c>
      <c r="AT13" s="119">
        <f t="shared" si="23"/>
        <v>0.42894625550133775</v>
      </c>
      <c r="AU13" s="119">
        <f t="shared" si="24"/>
        <v>2.9439715928810397</v>
      </c>
      <c r="AV13" s="125"/>
      <c r="AW13" s="120">
        <f t="shared" si="13"/>
        <v>5001.5133391455984</v>
      </c>
    </row>
    <row r="14" spans="1:49" outlineLevel="1">
      <c r="A14" s="114"/>
      <c r="B14" s="115">
        <v>497824253</v>
      </c>
      <c r="C14" s="115" t="s">
        <v>104</v>
      </c>
      <c r="D14" s="116" t="s">
        <v>93</v>
      </c>
      <c r="E14" s="117">
        <f t="shared" si="0"/>
        <v>61</v>
      </c>
      <c r="F14" s="117">
        <v>1</v>
      </c>
      <c r="G14" s="117">
        <v>2</v>
      </c>
      <c r="H14" s="117">
        <v>58</v>
      </c>
      <c r="I14" s="117">
        <v>169.89</v>
      </c>
      <c r="J14" s="117">
        <f t="shared" si="1"/>
        <v>10363.289999999999</v>
      </c>
      <c r="K14" s="114">
        <v>317</v>
      </c>
      <c r="L14" s="114">
        <v>2</v>
      </c>
      <c r="M14" s="114">
        <v>1176</v>
      </c>
      <c r="N14" s="114">
        <v>100</v>
      </c>
      <c r="O14" s="213">
        <f t="shared" si="2"/>
        <v>0.2857142857142857</v>
      </c>
      <c r="P14" s="117">
        <f t="shared" si="22"/>
        <v>0.42857142857142855</v>
      </c>
      <c r="Q14" s="118">
        <v>3</v>
      </c>
      <c r="R14" s="118">
        <v>0</v>
      </c>
      <c r="S14" s="117">
        <f t="shared" si="14"/>
        <v>3</v>
      </c>
      <c r="T14" s="118">
        <v>2672</v>
      </c>
      <c r="U14" s="118">
        <v>0</v>
      </c>
      <c r="V14" s="117">
        <f t="shared" si="15"/>
        <v>2672</v>
      </c>
      <c r="W14" s="118">
        <v>3528</v>
      </c>
      <c r="X14" s="118">
        <v>0</v>
      </c>
      <c r="Y14" s="117">
        <f t="shared" si="4"/>
        <v>3528</v>
      </c>
      <c r="Z14" s="117">
        <f t="shared" si="16"/>
        <v>2352</v>
      </c>
      <c r="AA14" s="119">
        <f t="shared" si="5"/>
        <v>6.3287347158724583E-2</v>
      </c>
      <c r="AB14" s="117">
        <f t="shared" si="17"/>
        <v>509.66999999999996</v>
      </c>
      <c r="AC14" s="118">
        <v>1274.0900000000001</v>
      </c>
      <c r="AD14" s="119">
        <f t="shared" si="6"/>
        <v>0.36113662131519281</v>
      </c>
      <c r="AE14" s="118">
        <v>456.7</v>
      </c>
      <c r="AF14" s="118"/>
      <c r="AG14" s="118"/>
      <c r="AH14" s="118"/>
      <c r="AI14" s="152">
        <f t="shared" si="7"/>
        <v>34.427829119442023</v>
      </c>
      <c r="AJ14" s="118">
        <v>0</v>
      </c>
      <c r="AK14" s="120">
        <f t="shared" si="18"/>
        <v>26.72</v>
      </c>
      <c r="AL14" s="121">
        <f t="shared" si="19"/>
        <v>1226.3921708805576</v>
      </c>
      <c r="AM14" s="122"/>
      <c r="AN14" s="123">
        <f t="shared" si="8"/>
        <v>1176</v>
      </c>
      <c r="AO14" s="124">
        <f t="shared" si="9"/>
        <v>169.89</v>
      </c>
      <c r="AP14" s="124">
        <f t="shared" si="10"/>
        <v>424.69666666666672</v>
      </c>
      <c r="AQ14" s="124">
        <f t="shared" si="20"/>
        <v>152.23333333333332</v>
      </c>
      <c r="AR14" s="124">
        <f t="shared" si="21"/>
        <v>0</v>
      </c>
      <c r="AS14" s="124">
        <f t="array" ref="AS14">_xlfn.IFS(S14=0,AL14,S14&lt;0,AL14/-S14,S14&gt;0,AL14/S14)</f>
        <v>408.79739029351919</v>
      </c>
      <c r="AT14" s="119">
        <f t="shared" si="23"/>
        <v>0.34761682848088366</v>
      </c>
      <c r="AU14" s="119">
        <f t="shared" si="24"/>
        <v>2.4062475148244111</v>
      </c>
      <c r="AV14" s="125"/>
      <c r="AW14" s="120">
        <f t="shared" si="13"/>
        <v>24936.640807904671</v>
      </c>
    </row>
    <row r="15" spans="1:49" outlineLevel="1">
      <c r="A15" s="114"/>
      <c r="B15" s="115">
        <v>497824944</v>
      </c>
      <c r="C15" s="115" t="s">
        <v>105</v>
      </c>
      <c r="D15" s="116" t="s">
        <v>93</v>
      </c>
      <c r="E15" s="117">
        <f t="shared" si="0"/>
        <v>35</v>
      </c>
      <c r="F15" s="117">
        <v>1</v>
      </c>
      <c r="G15" s="117" t="s">
        <v>145</v>
      </c>
      <c r="H15" s="117">
        <v>34</v>
      </c>
      <c r="I15" s="117">
        <v>169.89</v>
      </c>
      <c r="J15" s="117">
        <f t="shared" si="1"/>
        <v>5946.15</v>
      </c>
      <c r="K15" s="114">
        <v>360</v>
      </c>
      <c r="L15" s="114">
        <v>2</v>
      </c>
      <c r="M15" s="114">
        <v>1204</v>
      </c>
      <c r="N15" s="114">
        <v>100</v>
      </c>
      <c r="O15" s="213">
        <f t="shared" si="2"/>
        <v>0.2857142857142857</v>
      </c>
      <c r="P15" s="117">
        <f t="shared" si="22"/>
        <v>0.14285714285714285</v>
      </c>
      <c r="Q15" s="118">
        <v>1</v>
      </c>
      <c r="R15" s="118">
        <v>0</v>
      </c>
      <c r="S15" s="117">
        <f t="shared" si="14"/>
        <v>1</v>
      </c>
      <c r="T15" s="118">
        <v>927</v>
      </c>
      <c r="U15" s="118">
        <v>0</v>
      </c>
      <c r="V15" s="117">
        <f t="shared" si="15"/>
        <v>927</v>
      </c>
      <c r="W15" s="118">
        <v>1176</v>
      </c>
      <c r="X15" s="118">
        <v>0</v>
      </c>
      <c r="Y15" s="117">
        <f t="shared" si="4"/>
        <v>1176</v>
      </c>
      <c r="Z15" s="117">
        <f t="shared" si="16"/>
        <v>2408</v>
      </c>
      <c r="AA15" s="119">
        <f t="shared" si="5"/>
        <v>2.1095782386241529E-2</v>
      </c>
      <c r="AB15" s="117">
        <f t="shared" si="17"/>
        <v>169.89</v>
      </c>
      <c r="AC15" s="118">
        <v>425.65</v>
      </c>
      <c r="AD15" s="119">
        <f t="shared" si="6"/>
        <v>0.36194727891156458</v>
      </c>
      <c r="AE15" s="118">
        <v>56.55</v>
      </c>
      <c r="AF15" s="118"/>
      <c r="AG15" s="118"/>
      <c r="AH15" s="118"/>
      <c r="AI15" s="152">
        <f t="shared" si="7"/>
        <v>20.181830863121188</v>
      </c>
      <c r="AJ15" s="118">
        <v>0</v>
      </c>
      <c r="AK15" s="120">
        <f t="shared" si="18"/>
        <v>9.27</v>
      </c>
      <c r="AL15" s="121">
        <f t="shared" si="19"/>
        <v>494.45816913687889</v>
      </c>
      <c r="AM15" s="122"/>
      <c r="AN15" s="123">
        <f t="shared" si="8"/>
        <v>1176</v>
      </c>
      <c r="AO15" s="124">
        <f t="shared" si="9"/>
        <v>169.89</v>
      </c>
      <c r="AP15" s="124">
        <f t="shared" si="10"/>
        <v>425.65</v>
      </c>
      <c r="AQ15" s="124">
        <f t="shared" si="20"/>
        <v>56.55</v>
      </c>
      <c r="AR15" s="124">
        <f t="shared" si="21"/>
        <v>0</v>
      </c>
      <c r="AS15" s="124">
        <f t="array" ref="AS15">_xlfn.IFS(S15=0,AL15,S15&lt;0,AL15/-S15,S15&gt;0,AL15/S15)</f>
        <v>494.45816913687889</v>
      </c>
      <c r="AT15" s="119">
        <f t="shared" si="23"/>
        <v>0.42045762681707388</v>
      </c>
      <c r="AU15" s="119">
        <f t="shared" si="24"/>
        <v>2.9104607047906228</v>
      </c>
      <c r="AV15" s="125"/>
      <c r="AW15" s="120">
        <f t="shared" si="13"/>
        <v>17306.03591979076</v>
      </c>
    </row>
    <row r="16" spans="1:49" s="140" customFormat="1" outlineLevel="1">
      <c r="A16" s="127"/>
      <c r="B16" s="128"/>
      <c r="C16" s="129"/>
      <c r="D16" s="130"/>
      <c r="E16" s="131"/>
      <c r="F16" s="131"/>
      <c r="G16" s="131"/>
      <c r="H16" s="131"/>
      <c r="I16" s="131"/>
      <c r="J16" s="131"/>
      <c r="K16" s="129"/>
      <c r="L16" s="129"/>
      <c r="M16" s="129"/>
      <c r="N16" s="129"/>
      <c r="O16" s="131"/>
      <c r="P16" s="131"/>
      <c r="Q16" s="132"/>
      <c r="R16" s="132"/>
      <c r="S16" s="131"/>
      <c r="T16" s="118"/>
      <c r="U16" s="118"/>
      <c r="V16" s="131"/>
      <c r="W16" s="132"/>
      <c r="X16" s="132"/>
      <c r="Y16" s="131"/>
      <c r="Z16" s="131"/>
      <c r="AA16" s="133"/>
      <c r="AB16" s="131"/>
      <c r="AC16" s="132"/>
      <c r="AD16" s="133"/>
      <c r="AE16" s="132"/>
      <c r="AF16" s="132"/>
      <c r="AG16" s="132"/>
      <c r="AH16" s="132"/>
      <c r="AI16" s="134"/>
      <c r="AJ16" s="132"/>
      <c r="AK16" s="135"/>
      <c r="AL16" s="136"/>
      <c r="AM16" s="137"/>
      <c r="AN16" s="138">
        <f t="shared" ref="AN16:AU16" si="25">AVERAGE(AN3:AN6)</f>
        <v>592.14008333333334</v>
      </c>
      <c r="AO16" s="138">
        <f t="shared" si="25"/>
        <v>128.0625</v>
      </c>
      <c r="AP16" s="138">
        <f t="shared" si="25"/>
        <v>9.1334166666666903</v>
      </c>
      <c r="AQ16" s="138">
        <f t="shared" si="25"/>
        <v>58.753749999999997</v>
      </c>
      <c r="AR16" s="138">
        <f t="shared" si="25"/>
        <v>89.066666666666663</v>
      </c>
      <c r="AS16" s="138">
        <f t="shared" si="25"/>
        <v>219.74310832243538</v>
      </c>
      <c r="AT16" s="139">
        <f t="shared" si="25"/>
        <v>0.12281050673891969</v>
      </c>
      <c r="AU16" s="138">
        <f t="shared" si="25"/>
        <v>1.7073300874175659</v>
      </c>
      <c r="AV16" s="125"/>
      <c r="AW16" s="135"/>
    </row>
    <row r="17" spans="1:49" s="148" customFormat="1">
      <c r="A17" s="141" t="s">
        <v>106</v>
      </c>
      <c r="B17" s="142"/>
      <c r="C17" s="143"/>
      <c r="D17" s="143"/>
      <c r="E17" s="143">
        <f t="shared" ref="E17:G17" si="26">SUM(E3:E15)</f>
        <v>2362</v>
      </c>
      <c r="F17" s="143">
        <f t="shared" si="26"/>
        <v>51</v>
      </c>
      <c r="G17" s="143">
        <f t="shared" si="26"/>
        <v>17</v>
      </c>
      <c r="H17" s="143">
        <f>SUM(H3:H15)</f>
        <v>2294</v>
      </c>
      <c r="I17" s="143"/>
      <c r="J17" s="143">
        <f>SUM(J3:J15)</f>
        <v>322784.88</v>
      </c>
      <c r="K17" s="143"/>
      <c r="L17" s="143">
        <f>SUM(L3:L15)</f>
        <v>62</v>
      </c>
      <c r="M17" s="143"/>
      <c r="N17" s="143"/>
      <c r="O17" s="143"/>
      <c r="P17" s="143"/>
      <c r="Q17" s="143">
        <f>SUM(Q3:Q15)</f>
        <v>49</v>
      </c>
      <c r="R17" s="143">
        <f t="shared" ref="R17:Z17" si="27">SUM(R3:R15)</f>
        <v>-1</v>
      </c>
      <c r="S17" s="143">
        <f t="shared" si="27"/>
        <v>48</v>
      </c>
      <c r="T17" s="143">
        <f t="shared" si="27"/>
        <v>45785.47</v>
      </c>
      <c r="U17" s="143">
        <f t="shared" si="27"/>
        <v>-948</v>
      </c>
      <c r="V17" s="143">
        <f t="shared" si="27"/>
        <v>44837.47</v>
      </c>
      <c r="W17" s="143">
        <f t="shared" si="27"/>
        <v>56919.740000000005</v>
      </c>
      <c r="X17" s="143">
        <f t="shared" si="27"/>
        <v>-1174</v>
      </c>
      <c r="Y17" s="143">
        <f t="shared" si="27"/>
        <v>55745.740000000005</v>
      </c>
      <c r="Z17" s="143">
        <f t="shared" si="27"/>
        <v>56225.68</v>
      </c>
      <c r="AA17" s="144">
        <f>SUM(AA3:AA15)</f>
        <v>0.99999999999999989</v>
      </c>
      <c r="AB17" s="145">
        <f>SUM(AB3:AB15)</f>
        <v>6528.420000000001</v>
      </c>
      <c r="AC17" s="145">
        <f>SUM(AC3:AC15)</f>
        <v>19306.860000000004</v>
      </c>
      <c r="AD17" s="144">
        <f>AC17/Y17</f>
        <v>0.34633785469526462</v>
      </c>
      <c r="AE17" s="143">
        <f>SUM(AE3:AE15)</f>
        <v>6055.25</v>
      </c>
      <c r="AF17" s="143">
        <f t="shared" ref="AF17:AL17" si="28">SUM(AF3:AF15)</f>
        <v>2922</v>
      </c>
      <c r="AG17" s="143">
        <f t="shared" si="28"/>
        <v>3464</v>
      </c>
      <c r="AH17" s="143">
        <f t="shared" si="28"/>
        <v>0</v>
      </c>
      <c r="AI17" s="143">
        <f>SUM(AI3:AI15)</f>
        <v>1361.6800000000003</v>
      </c>
      <c r="AJ17" s="143">
        <f>SUM(AJ3:AJ15)</f>
        <v>0</v>
      </c>
      <c r="AK17" s="143">
        <f t="shared" si="28"/>
        <v>448.37469999999996</v>
      </c>
      <c r="AL17" s="143">
        <f t="shared" si="28"/>
        <v>15659.155299999999</v>
      </c>
      <c r="AM17" s="146"/>
      <c r="AN17" s="143"/>
      <c r="AO17" s="143"/>
      <c r="AP17" s="143"/>
      <c r="AQ17" s="143"/>
      <c r="AR17" s="143">
        <f>(AF17+AG17)/Q17</f>
        <v>130.32653061224491</v>
      </c>
      <c r="AS17" s="143"/>
      <c r="AT17" s="143"/>
      <c r="AU17" s="143"/>
      <c r="AV17" s="147"/>
      <c r="AW17" s="143">
        <f>SUM(AW3:AW6)</f>
        <v>354775.89467117121</v>
      </c>
    </row>
    <row r="18" spans="1:49">
      <c r="A18" s="114"/>
      <c r="B18" s="115"/>
      <c r="C18" s="115"/>
      <c r="D18" s="149"/>
      <c r="E18" s="118"/>
      <c r="F18" s="118"/>
      <c r="G18" s="118"/>
      <c r="H18" s="118"/>
      <c r="I18" s="118"/>
      <c r="J18" s="118"/>
      <c r="K18" s="114"/>
      <c r="L18" s="114"/>
      <c r="M18" s="114"/>
      <c r="N18" s="114"/>
      <c r="O18" s="118"/>
      <c r="P18" s="118"/>
      <c r="Q18" s="118"/>
      <c r="R18" s="118"/>
      <c r="S18" s="118"/>
      <c r="T18" s="118"/>
      <c r="U18" s="118"/>
      <c r="V18" s="118"/>
      <c r="W18" s="118"/>
      <c r="X18" s="118"/>
      <c r="Y18" s="118"/>
      <c r="Z18" s="118"/>
      <c r="AA18" s="150"/>
      <c r="AB18" s="118"/>
      <c r="AC18" s="118"/>
      <c r="AD18" s="150"/>
      <c r="AE18" s="118"/>
      <c r="AF18" s="214"/>
      <c r="AG18" s="214"/>
      <c r="AH18" s="151"/>
      <c r="AI18" s="152"/>
      <c r="AJ18" s="118"/>
      <c r="AK18" s="153"/>
      <c r="AL18" s="154"/>
      <c r="AM18" s="122"/>
      <c r="AN18" s="155"/>
      <c r="AO18" s="156"/>
      <c r="AP18" s="156"/>
      <c r="AQ18" s="156"/>
      <c r="AR18" s="156"/>
      <c r="AS18" s="156"/>
      <c r="AT18" s="157"/>
      <c r="AU18" s="157"/>
      <c r="AV18" s="125"/>
      <c r="AW18" s="153"/>
    </row>
    <row r="19" spans="1:49" hidden="1" outlineLevel="1">
      <c r="A19" s="114"/>
      <c r="B19" s="115"/>
      <c r="C19" s="115"/>
      <c r="D19" s="116"/>
      <c r="E19" s="117">
        <f t="shared" ref="E19:E50" si="29">SUM(F19:H19)</f>
        <v>0</v>
      </c>
      <c r="F19" s="117"/>
      <c r="G19" s="117"/>
      <c r="H19" s="117"/>
      <c r="I19" s="117"/>
      <c r="J19" s="117">
        <f t="shared" ref="J19:J50" si="30">E19*I19</f>
        <v>0</v>
      </c>
      <c r="K19" s="114"/>
      <c r="L19" s="114"/>
      <c r="M19" s="114"/>
      <c r="N19" s="114"/>
      <c r="O19" s="117">
        <f t="shared" ref="O19:O70" si="31">L19/7</f>
        <v>0</v>
      </c>
      <c r="P19" s="117">
        <f t="shared" ref="P19:P70" si="32">S19/7</f>
        <v>0</v>
      </c>
      <c r="Q19" s="118"/>
      <c r="R19" s="118"/>
      <c r="S19" s="117">
        <f t="shared" ref="S19:S70" si="33">Q19+R19</f>
        <v>0</v>
      </c>
      <c r="T19" s="117"/>
      <c r="U19" s="117"/>
      <c r="V19" s="117">
        <f t="shared" ref="V19:V70" si="34">T19+U19</f>
        <v>0</v>
      </c>
      <c r="W19" s="118"/>
      <c r="X19" s="118"/>
      <c r="Y19" s="117">
        <f t="shared" ref="Y19:Y70" si="35">W19+X19</f>
        <v>0</v>
      </c>
      <c r="Z19" s="117">
        <f t="shared" ref="Z19:Z65" si="36">L19*M19*N19/100</f>
        <v>0</v>
      </c>
      <c r="AA19" s="119">
        <f>Y19/$Y$74</f>
        <v>0</v>
      </c>
      <c r="AB19" s="117">
        <f t="shared" ref="AB19:AB70" si="37">S19*I19</f>
        <v>0</v>
      </c>
      <c r="AC19" s="118"/>
      <c r="AD19" s="119">
        <f t="shared" ref="AD19:AD70" si="38">IF(Y19=0,0,AC19/Y19)</f>
        <v>0</v>
      </c>
      <c r="AE19" s="118"/>
      <c r="AF19" s="118"/>
      <c r="AG19" s="118"/>
      <c r="AH19" s="118"/>
      <c r="AI19" s="152">
        <f t="shared" ref="AI19:AI50" si="39">$AI$74*H19/$H$74</f>
        <v>0</v>
      </c>
      <c r="AJ19" s="118"/>
      <c r="AK19" s="120">
        <f t="shared" ref="AK19:AK70" si="40">V19*1%</f>
        <v>0</v>
      </c>
      <c r="AL19" s="121">
        <f t="shared" ref="AL19:AL70" si="41">Y19-AB19-AC19-AE19-AF19-AG19-AH19-AI19-AK19-AJ19</f>
        <v>0</v>
      </c>
      <c r="AM19" s="122"/>
      <c r="AN19" s="123">
        <f t="shared" ref="AN19:AN70" si="42">IF(S19=0,0,Y19/S19)</f>
        <v>0</v>
      </c>
      <c r="AO19" s="124">
        <f t="shared" ref="AO19:AO70" si="43">I19</f>
        <v>0</v>
      </c>
      <c r="AP19" s="124">
        <f t="shared" ref="AP19:AP70" si="44">IF(S19=0,0,AC19/S19)</f>
        <v>0</v>
      </c>
      <c r="AQ19" s="124">
        <f t="shared" ref="AQ19:AQ70" si="45">IF(Q19=0,AE19/1,AE19/Q19)</f>
        <v>0</v>
      </c>
      <c r="AR19" s="124">
        <f t="shared" ref="AR19:AR70" si="46">IF(Q19=0,0,(AF19+AG19)/Q19)</f>
        <v>0</v>
      </c>
      <c r="AS19" s="124">
        <f t="array" ref="AS19">_xlfn.IFS(S19=0,AL19,S19&lt;0,AL19/-S19,S19&gt;0,AL19/S19)</f>
        <v>0</v>
      </c>
      <c r="AT19" s="119">
        <f t="shared" ref="AT19:AT70" si="47">IF(AN19=0,0,AS19/AN19)</f>
        <v>0</v>
      </c>
      <c r="AU19" s="119">
        <f t="shared" ref="AU19:AU70" si="48">IF(AO19=0,0,AS19/AO19)</f>
        <v>0</v>
      </c>
      <c r="AV19" s="125"/>
      <c r="AW19" s="120">
        <f t="shared" ref="AW19:AW50" si="49">AS19*E19</f>
        <v>0</v>
      </c>
    </row>
    <row r="20" spans="1:49" hidden="1" outlineLevel="1">
      <c r="A20" s="114"/>
      <c r="B20" s="115"/>
      <c r="C20" s="115"/>
      <c r="D20" s="116"/>
      <c r="E20" s="117">
        <f t="shared" si="29"/>
        <v>0</v>
      </c>
      <c r="F20" s="117"/>
      <c r="G20" s="117"/>
      <c r="H20" s="117"/>
      <c r="I20" s="117"/>
      <c r="J20" s="117">
        <f t="shared" si="30"/>
        <v>0</v>
      </c>
      <c r="K20" s="114"/>
      <c r="L20" s="114"/>
      <c r="M20" s="114"/>
      <c r="N20" s="114"/>
      <c r="O20" s="117">
        <f t="shared" si="31"/>
        <v>0</v>
      </c>
      <c r="P20" s="117">
        <f t="shared" si="32"/>
        <v>0</v>
      </c>
      <c r="Q20" s="118"/>
      <c r="R20" s="118"/>
      <c r="S20" s="117">
        <f t="shared" si="33"/>
        <v>0</v>
      </c>
      <c r="T20" s="117"/>
      <c r="U20" s="117"/>
      <c r="V20" s="117">
        <f t="shared" si="34"/>
        <v>0</v>
      </c>
      <c r="W20" s="118"/>
      <c r="X20" s="118"/>
      <c r="Y20" s="117">
        <f t="shared" si="35"/>
        <v>0</v>
      </c>
      <c r="Z20" s="117">
        <f t="shared" si="36"/>
        <v>0</v>
      </c>
      <c r="AA20" s="119">
        <f t="shared" ref="AA20:AA70" si="50">Y20/$Y$74</f>
        <v>0</v>
      </c>
      <c r="AB20" s="117">
        <f t="shared" si="37"/>
        <v>0</v>
      </c>
      <c r="AC20" s="118"/>
      <c r="AD20" s="119">
        <f t="shared" si="38"/>
        <v>0</v>
      </c>
      <c r="AE20" s="118"/>
      <c r="AF20" s="118"/>
      <c r="AG20" s="118"/>
      <c r="AH20" s="118"/>
      <c r="AI20" s="152">
        <f t="shared" si="39"/>
        <v>0</v>
      </c>
      <c r="AJ20" s="118"/>
      <c r="AK20" s="120">
        <f t="shared" si="40"/>
        <v>0</v>
      </c>
      <c r="AL20" s="121">
        <f t="shared" si="41"/>
        <v>0</v>
      </c>
      <c r="AM20" s="122"/>
      <c r="AN20" s="123">
        <f t="shared" si="42"/>
        <v>0</v>
      </c>
      <c r="AO20" s="124">
        <f t="shared" si="43"/>
        <v>0</v>
      </c>
      <c r="AP20" s="124">
        <f t="shared" si="44"/>
        <v>0</v>
      </c>
      <c r="AQ20" s="124">
        <f t="shared" si="45"/>
        <v>0</v>
      </c>
      <c r="AR20" s="124">
        <f t="shared" si="46"/>
        <v>0</v>
      </c>
      <c r="AS20" s="124">
        <f t="array" ref="AS20">_xlfn.IFS(S20=0,AL20,S20&lt;0,AL20/-S20,S20&gt;0,AL20/S20)</f>
        <v>0</v>
      </c>
      <c r="AT20" s="119">
        <f t="shared" si="47"/>
        <v>0</v>
      </c>
      <c r="AU20" s="119">
        <f t="shared" si="48"/>
        <v>0</v>
      </c>
      <c r="AV20" s="125"/>
      <c r="AW20" s="120">
        <f t="shared" si="49"/>
        <v>0</v>
      </c>
    </row>
    <row r="21" spans="1:49" hidden="1" outlineLevel="1">
      <c r="A21" s="114"/>
      <c r="B21" s="115"/>
      <c r="C21" s="115"/>
      <c r="D21" s="116"/>
      <c r="E21" s="117">
        <f t="shared" si="29"/>
        <v>0</v>
      </c>
      <c r="F21" s="117"/>
      <c r="G21" s="117"/>
      <c r="H21" s="117"/>
      <c r="I21" s="117"/>
      <c r="J21" s="117">
        <f t="shared" si="30"/>
        <v>0</v>
      </c>
      <c r="K21" s="114"/>
      <c r="L21" s="114"/>
      <c r="M21" s="114"/>
      <c r="N21" s="114"/>
      <c r="O21" s="117">
        <f t="shared" si="31"/>
        <v>0</v>
      </c>
      <c r="P21" s="117">
        <f t="shared" si="32"/>
        <v>0</v>
      </c>
      <c r="Q21" s="118"/>
      <c r="R21" s="118"/>
      <c r="S21" s="117">
        <f t="shared" si="33"/>
        <v>0</v>
      </c>
      <c r="T21" s="117"/>
      <c r="U21" s="117"/>
      <c r="V21" s="117">
        <f t="shared" si="34"/>
        <v>0</v>
      </c>
      <c r="W21" s="118"/>
      <c r="X21" s="118"/>
      <c r="Y21" s="117">
        <f t="shared" si="35"/>
        <v>0</v>
      </c>
      <c r="Z21" s="117">
        <f t="shared" si="36"/>
        <v>0</v>
      </c>
      <c r="AA21" s="119">
        <f t="shared" si="50"/>
        <v>0</v>
      </c>
      <c r="AB21" s="117">
        <f t="shared" si="37"/>
        <v>0</v>
      </c>
      <c r="AC21" s="118"/>
      <c r="AD21" s="119">
        <f t="shared" si="38"/>
        <v>0</v>
      </c>
      <c r="AE21" s="118"/>
      <c r="AF21" s="118"/>
      <c r="AG21" s="118"/>
      <c r="AH21" s="118"/>
      <c r="AI21" s="152">
        <f t="shared" si="39"/>
        <v>0</v>
      </c>
      <c r="AJ21" s="118"/>
      <c r="AK21" s="120">
        <f t="shared" si="40"/>
        <v>0</v>
      </c>
      <c r="AL21" s="121">
        <f t="shared" si="41"/>
        <v>0</v>
      </c>
      <c r="AM21" s="122"/>
      <c r="AN21" s="123">
        <f t="shared" si="42"/>
        <v>0</v>
      </c>
      <c r="AO21" s="124">
        <f t="shared" si="43"/>
        <v>0</v>
      </c>
      <c r="AP21" s="124">
        <f t="shared" si="44"/>
        <v>0</v>
      </c>
      <c r="AQ21" s="124">
        <f t="shared" si="45"/>
        <v>0</v>
      </c>
      <c r="AR21" s="124">
        <f t="shared" si="46"/>
        <v>0</v>
      </c>
      <c r="AS21" s="124">
        <f t="array" ref="AS21">_xlfn.IFS(S21=0,AL21,S21&lt;0,AL21/-S21,S21&gt;0,AL21/S21)</f>
        <v>0</v>
      </c>
      <c r="AT21" s="119">
        <f t="shared" si="47"/>
        <v>0</v>
      </c>
      <c r="AU21" s="119">
        <f t="shared" si="48"/>
        <v>0</v>
      </c>
      <c r="AV21" s="125"/>
      <c r="AW21" s="120">
        <f t="shared" si="49"/>
        <v>0</v>
      </c>
    </row>
    <row r="22" spans="1:49" hidden="1" outlineLevel="1">
      <c r="A22" s="114"/>
      <c r="B22" s="115"/>
      <c r="C22" s="115"/>
      <c r="D22" s="116"/>
      <c r="E22" s="117">
        <f t="shared" si="29"/>
        <v>0</v>
      </c>
      <c r="F22" s="117"/>
      <c r="G22" s="117"/>
      <c r="H22" s="117"/>
      <c r="I22" s="117"/>
      <c r="J22" s="117">
        <f t="shared" si="30"/>
        <v>0</v>
      </c>
      <c r="K22" s="114"/>
      <c r="L22" s="114"/>
      <c r="M22" s="114"/>
      <c r="N22" s="114"/>
      <c r="O22" s="117">
        <f t="shared" si="31"/>
        <v>0</v>
      </c>
      <c r="P22" s="117">
        <f t="shared" si="32"/>
        <v>0</v>
      </c>
      <c r="Q22" s="118"/>
      <c r="R22" s="118"/>
      <c r="S22" s="117">
        <f t="shared" si="33"/>
        <v>0</v>
      </c>
      <c r="T22" s="117"/>
      <c r="U22" s="117"/>
      <c r="V22" s="117">
        <f t="shared" si="34"/>
        <v>0</v>
      </c>
      <c r="W22" s="118"/>
      <c r="X22" s="118"/>
      <c r="Y22" s="117">
        <f t="shared" si="35"/>
        <v>0</v>
      </c>
      <c r="Z22" s="117">
        <f t="shared" si="36"/>
        <v>0</v>
      </c>
      <c r="AA22" s="119">
        <f t="shared" si="50"/>
        <v>0</v>
      </c>
      <c r="AB22" s="117">
        <f t="shared" si="37"/>
        <v>0</v>
      </c>
      <c r="AC22" s="118"/>
      <c r="AD22" s="119">
        <f t="shared" si="38"/>
        <v>0</v>
      </c>
      <c r="AE22" s="118"/>
      <c r="AF22" s="118"/>
      <c r="AG22" s="118"/>
      <c r="AH22" s="118"/>
      <c r="AI22" s="152">
        <f t="shared" si="39"/>
        <v>0</v>
      </c>
      <c r="AJ22" s="118"/>
      <c r="AK22" s="120">
        <f t="shared" si="40"/>
        <v>0</v>
      </c>
      <c r="AL22" s="121">
        <f t="shared" si="41"/>
        <v>0</v>
      </c>
      <c r="AM22" s="122"/>
      <c r="AN22" s="123">
        <f t="shared" si="42"/>
        <v>0</v>
      </c>
      <c r="AO22" s="124">
        <f t="shared" si="43"/>
        <v>0</v>
      </c>
      <c r="AP22" s="124">
        <f t="shared" si="44"/>
        <v>0</v>
      </c>
      <c r="AQ22" s="124">
        <f t="shared" si="45"/>
        <v>0</v>
      </c>
      <c r="AR22" s="124">
        <f t="shared" si="46"/>
        <v>0</v>
      </c>
      <c r="AS22" s="124">
        <f t="array" ref="AS22">_xlfn.IFS(S22=0,AL22,S22&lt;0,AL22/-S22,S22&gt;0,AL22/S22)</f>
        <v>0</v>
      </c>
      <c r="AT22" s="119">
        <f t="shared" si="47"/>
        <v>0</v>
      </c>
      <c r="AU22" s="119">
        <f t="shared" si="48"/>
        <v>0</v>
      </c>
      <c r="AV22" s="125"/>
      <c r="AW22" s="120">
        <f t="shared" si="49"/>
        <v>0</v>
      </c>
    </row>
    <row r="23" spans="1:49" hidden="1" outlineLevel="1">
      <c r="A23" s="114"/>
      <c r="B23" s="115"/>
      <c r="C23" s="115"/>
      <c r="D23" s="116"/>
      <c r="E23" s="117">
        <f t="shared" si="29"/>
        <v>0</v>
      </c>
      <c r="F23" s="117"/>
      <c r="G23" s="117"/>
      <c r="H23" s="117"/>
      <c r="I23" s="117"/>
      <c r="J23" s="117">
        <f t="shared" si="30"/>
        <v>0</v>
      </c>
      <c r="K23" s="114"/>
      <c r="L23" s="114"/>
      <c r="M23" s="114"/>
      <c r="N23" s="114"/>
      <c r="O23" s="117">
        <f t="shared" si="31"/>
        <v>0</v>
      </c>
      <c r="P23" s="117">
        <f t="shared" si="32"/>
        <v>0</v>
      </c>
      <c r="Q23" s="118"/>
      <c r="R23" s="118"/>
      <c r="S23" s="117">
        <f t="shared" si="33"/>
        <v>0</v>
      </c>
      <c r="T23" s="117"/>
      <c r="U23" s="117"/>
      <c r="V23" s="117">
        <f t="shared" si="34"/>
        <v>0</v>
      </c>
      <c r="W23" s="118"/>
      <c r="X23" s="118"/>
      <c r="Y23" s="117">
        <f t="shared" si="35"/>
        <v>0</v>
      </c>
      <c r="Z23" s="117">
        <f t="shared" si="36"/>
        <v>0</v>
      </c>
      <c r="AA23" s="119">
        <f t="shared" si="50"/>
        <v>0</v>
      </c>
      <c r="AB23" s="117">
        <f t="shared" si="37"/>
        <v>0</v>
      </c>
      <c r="AC23" s="118"/>
      <c r="AD23" s="119">
        <f t="shared" si="38"/>
        <v>0</v>
      </c>
      <c r="AE23" s="118"/>
      <c r="AF23" s="118"/>
      <c r="AG23" s="118"/>
      <c r="AH23" s="118"/>
      <c r="AI23" s="152">
        <f t="shared" si="39"/>
        <v>0</v>
      </c>
      <c r="AJ23" s="118"/>
      <c r="AK23" s="120">
        <f t="shared" si="40"/>
        <v>0</v>
      </c>
      <c r="AL23" s="121">
        <f t="shared" si="41"/>
        <v>0</v>
      </c>
      <c r="AM23" s="122"/>
      <c r="AN23" s="123">
        <f t="shared" si="42"/>
        <v>0</v>
      </c>
      <c r="AO23" s="124">
        <f t="shared" si="43"/>
        <v>0</v>
      </c>
      <c r="AP23" s="124">
        <f t="shared" si="44"/>
        <v>0</v>
      </c>
      <c r="AQ23" s="124">
        <f t="shared" si="45"/>
        <v>0</v>
      </c>
      <c r="AR23" s="124">
        <f t="shared" si="46"/>
        <v>0</v>
      </c>
      <c r="AS23" s="124">
        <f t="array" ref="AS23">_xlfn.IFS(S23=0,AL23,S23&lt;0,AL23/-S23,S23&gt;0,AL23/S23)</f>
        <v>0</v>
      </c>
      <c r="AT23" s="119">
        <f t="shared" si="47"/>
        <v>0</v>
      </c>
      <c r="AU23" s="119">
        <f t="shared" si="48"/>
        <v>0</v>
      </c>
      <c r="AV23" s="125"/>
      <c r="AW23" s="120">
        <f t="shared" si="49"/>
        <v>0</v>
      </c>
    </row>
    <row r="24" spans="1:49" hidden="1" outlineLevel="1">
      <c r="A24" s="114"/>
      <c r="B24" s="115"/>
      <c r="C24" s="115"/>
      <c r="D24" s="116"/>
      <c r="E24" s="117">
        <f t="shared" si="29"/>
        <v>0</v>
      </c>
      <c r="F24" s="117"/>
      <c r="G24" s="117"/>
      <c r="H24" s="117"/>
      <c r="I24" s="117"/>
      <c r="J24" s="117">
        <f t="shared" si="30"/>
        <v>0</v>
      </c>
      <c r="K24" s="114"/>
      <c r="L24" s="114"/>
      <c r="M24" s="114"/>
      <c r="N24" s="114"/>
      <c r="O24" s="117">
        <f t="shared" si="31"/>
        <v>0</v>
      </c>
      <c r="P24" s="117">
        <f t="shared" si="32"/>
        <v>0</v>
      </c>
      <c r="Q24" s="118"/>
      <c r="R24" s="118"/>
      <c r="S24" s="117">
        <f t="shared" si="33"/>
        <v>0</v>
      </c>
      <c r="T24" s="117"/>
      <c r="U24" s="117"/>
      <c r="V24" s="117">
        <f t="shared" si="34"/>
        <v>0</v>
      </c>
      <c r="W24" s="118"/>
      <c r="X24" s="118"/>
      <c r="Y24" s="117">
        <f t="shared" si="35"/>
        <v>0</v>
      </c>
      <c r="Z24" s="117">
        <f t="shared" si="36"/>
        <v>0</v>
      </c>
      <c r="AA24" s="119">
        <f t="shared" si="50"/>
        <v>0</v>
      </c>
      <c r="AB24" s="117">
        <f t="shared" si="37"/>
        <v>0</v>
      </c>
      <c r="AC24" s="118"/>
      <c r="AD24" s="119">
        <f t="shared" si="38"/>
        <v>0</v>
      </c>
      <c r="AE24" s="118"/>
      <c r="AF24" s="118"/>
      <c r="AG24" s="118"/>
      <c r="AH24" s="118"/>
      <c r="AI24" s="152">
        <f t="shared" si="39"/>
        <v>0</v>
      </c>
      <c r="AJ24" s="118"/>
      <c r="AK24" s="120">
        <f t="shared" si="40"/>
        <v>0</v>
      </c>
      <c r="AL24" s="121">
        <f t="shared" si="41"/>
        <v>0</v>
      </c>
      <c r="AM24" s="122"/>
      <c r="AN24" s="123">
        <f t="shared" si="42"/>
        <v>0</v>
      </c>
      <c r="AO24" s="124">
        <f t="shared" si="43"/>
        <v>0</v>
      </c>
      <c r="AP24" s="124">
        <f t="shared" si="44"/>
        <v>0</v>
      </c>
      <c r="AQ24" s="124">
        <f t="shared" si="45"/>
        <v>0</v>
      </c>
      <c r="AR24" s="124">
        <f t="shared" si="46"/>
        <v>0</v>
      </c>
      <c r="AS24" s="124">
        <f t="array" ref="AS24">_xlfn.IFS(S24=0,AL24,S24&lt;0,AL24/-S24,S24&gt;0,AL24/S24)</f>
        <v>0</v>
      </c>
      <c r="AT24" s="119">
        <f t="shared" si="47"/>
        <v>0</v>
      </c>
      <c r="AU24" s="119">
        <f t="shared" si="48"/>
        <v>0</v>
      </c>
      <c r="AV24" s="125"/>
      <c r="AW24" s="120">
        <f t="shared" si="49"/>
        <v>0</v>
      </c>
    </row>
    <row r="25" spans="1:49" hidden="1" outlineLevel="1">
      <c r="A25" s="114"/>
      <c r="B25" s="115"/>
      <c r="C25" s="115"/>
      <c r="D25" s="116"/>
      <c r="E25" s="117">
        <f t="shared" si="29"/>
        <v>0</v>
      </c>
      <c r="F25" s="117"/>
      <c r="G25" s="117"/>
      <c r="H25" s="117"/>
      <c r="I25" s="117"/>
      <c r="J25" s="117">
        <f t="shared" si="30"/>
        <v>0</v>
      </c>
      <c r="K25" s="114"/>
      <c r="L25" s="114"/>
      <c r="M25" s="114"/>
      <c r="N25" s="114"/>
      <c r="O25" s="117">
        <f t="shared" si="31"/>
        <v>0</v>
      </c>
      <c r="P25" s="117">
        <f t="shared" si="32"/>
        <v>0</v>
      </c>
      <c r="Q25" s="118"/>
      <c r="R25" s="118"/>
      <c r="S25" s="117">
        <f t="shared" si="33"/>
        <v>0</v>
      </c>
      <c r="T25" s="117"/>
      <c r="U25" s="117"/>
      <c r="V25" s="117">
        <f t="shared" si="34"/>
        <v>0</v>
      </c>
      <c r="W25" s="118"/>
      <c r="X25" s="118"/>
      <c r="Y25" s="117">
        <f t="shared" si="35"/>
        <v>0</v>
      </c>
      <c r="Z25" s="117">
        <f t="shared" si="36"/>
        <v>0</v>
      </c>
      <c r="AA25" s="119">
        <f t="shared" si="50"/>
        <v>0</v>
      </c>
      <c r="AB25" s="117">
        <f t="shared" si="37"/>
        <v>0</v>
      </c>
      <c r="AC25" s="118"/>
      <c r="AD25" s="119">
        <f t="shared" si="38"/>
        <v>0</v>
      </c>
      <c r="AE25" s="118"/>
      <c r="AF25" s="118"/>
      <c r="AG25" s="118"/>
      <c r="AH25" s="118"/>
      <c r="AI25" s="152">
        <f t="shared" si="39"/>
        <v>0</v>
      </c>
      <c r="AJ25" s="118"/>
      <c r="AK25" s="120">
        <f t="shared" si="40"/>
        <v>0</v>
      </c>
      <c r="AL25" s="121">
        <f t="shared" si="41"/>
        <v>0</v>
      </c>
      <c r="AM25" s="122"/>
      <c r="AN25" s="123">
        <f t="shared" si="42"/>
        <v>0</v>
      </c>
      <c r="AO25" s="124">
        <f t="shared" si="43"/>
        <v>0</v>
      </c>
      <c r="AP25" s="124">
        <f t="shared" si="44"/>
        <v>0</v>
      </c>
      <c r="AQ25" s="124">
        <f t="shared" si="45"/>
        <v>0</v>
      </c>
      <c r="AR25" s="124">
        <f t="shared" si="46"/>
        <v>0</v>
      </c>
      <c r="AS25" s="124">
        <f t="array" ref="AS25">_xlfn.IFS(S25=0,AL25,S25&lt;0,AL25/-S25,S25&gt;0,AL25/S25)</f>
        <v>0</v>
      </c>
      <c r="AT25" s="119">
        <f t="shared" si="47"/>
        <v>0</v>
      </c>
      <c r="AU25" s="119">
        <f t="shared" si="48"/>
        <v>0</v>
      </c>
      <c r="AV25" s="125"/>
      <c r="AW25" s="120">
        <f t="shared" si="49"/>
        <v>0</v>
      </c>
    </row>
    <row r="26" spans="1:49" hidden="1" outlineLevel="1">
      <c r="A26" s="114"/>
      <c r="B26" s="115"/>
      <c r="C26" s="115"/>
      <c r="D26" s="116"/>
      <c r="E26" s="117">
        <f t="shared" si="29"/>
        <v>0</v>
      </c>
      <c r="F26" s="117"/>
      <c r="G26" s="117"/>
      <c r="H26" s="117"/>
      <c r="I26" s="117"/>
      <c r="J26" s="117">
        <f t="shared" si="30"/>
        <v>0</v>
      </c>
      <c r="K26" s="114"/>
      <c r="L26" s="114"/>
      <c r="M26" s="114"/>
      <c r="N26" s="114"/>
      <c r="O26" s="117">
        <f t="shared" si="31"/>
        <v>0</v>
      </c>
      <c r="P26" s="117">
        <f t="shared" si="32"/>
        <v>0</v>
      </c>
      <c r="Q26" s="118"/>
      <c r="R26" s="118"/>
      <c r="S26" s="117">
        <f t="shared" si="33"/>
        <v>0</v>
      </c>
      <c r="T26" s="117"/>
      <c r="U26" s="117"/>
      <c r="V26" s="117">
        <f t="shared" si="34"/>
        <v>0</v>
      </c>
      <c r="W26" s="118"/>
      <c r="X26" s="118"/>
      <c r="Y26" s="117">
        <f t="shared" si="35"/>
        <v>0</v>
      </c>
      <c r="Z26" s="117">
        <f t="shared" si="36"/>
        <v>0</v>
      </c>
      <c r="AA26" s="119">
        <f t="shared" si="50"/>
        <v>0</v>
      </c>
      <c r="AB26" s="117">
        <f t="shared" si="37"/>
        <v>0</v>
      </c>
      <c r="AC26" s="118"/>
      <c r="AD26" s="119">
        <f t="shared" si="38"/>
        <v>0</v>
      </c>
      <c r="AE26" s="118"/>
      <c r="AF26" s="118"/>
      <c r="AG26" s="118"/>
      <c r="AH26" s="118"/>
      <c r="AI26" s="152">
        <f t="shared" si="39"/>
        <v>0</v>
      </c>
      <c r="AJ26" s="118"/>
      <c r="AK26" s="120">
        <f t="shared" si="40"/>
        <v>0</v>
      </c>
      <c r="AL26" s="121">
        <f t="shared" si="41"/>
        <v>0</v>
      </c>
      <c r="AM26" s="122"/>
      <c r="AN26" s="123">
        <f t="shared" si="42"/>
        <v>0</v>
      </c>
      <c r="AO26" s="124">
        <f t="shared" si="43"/>
        <v>0</v>
      </c>
      <c r="AP26" s="124">
        <f t="shared" si="44"/>
        <v>0</v>
      </c>
      <c r="AQ26" s="124">
        <f t="shared" si="45"/>
        <v>0</v>
      </c>
      <c r="AR26" s="124">
        <f t="shared" si="46"/>
        <v>0</v>
      </c>
      <c r="AS26" s="124">
        <f t="array" ref="AS26">_xlfn.IFS(S26=0,AL26,S26&lt;0,AL26/-S26,S26&gt;0,AL26/S26)</f>
        <v>0</v>
      </c>
      <c r="AT26" s="119">
        <f t="shared" si="47"/>
        <v>0</v>
      </c>
      <c r="AU26" s="119">
        <f t="shared" si="48"/>
        <v>0</v>
      </c>
      <c r="AV26" s="125"/>
      <c r="AW26" s="120">
        <f t="shared" si="49"/>
        <v>0</v>
      </c>
    </row>
    <row r="27" spans="1:49" hidden="1" outlineLevel="1">
      <c r="A27" s="114"/>
      <c r="B27" s="115"/>
      <c r="C27" s="115"/>
      <c r="D27" s="116"/>
      <c r="E27" s="117">
        <f t="shared" si="29"/>
        <v>0</v>
      </c>
      <c r="F27" s="117"/>
      <c r="G27" s="117"/>
      <c r="H27" s="117"/>
      <c r="I27" s="117"/>
      <c r="J27" s="117">
        <f t="shared" si="30"/>
        <v>0</v>
      </c>
      <c r="K27" s="114"/>
      <c r="L27" s="114"/>
      <c r="M27" s="114"/>
      <c r="N27" s="114"/>
      <c r="O27" s="117">
        <f t="shared" si="31"/>
        <v>0</v>
      </c>
      <c r="P27" s="117">
        <f t="shared" si="32"/>
        <v>0</v>
      </c>
      <c r="Q27" s="118"/>
      <c r="R27" s="118"/>
      <c r="S27" s="117">
        <f t="shared" si="33"/>
        <v>0</v>
      </c>
      <c r="T27" s="117"/>
      <c r="U27" s="117"/>
      <c r="V27" s="117">
        <f t="shared" si="34"/>
        <v>0</v>
      </c>
      <c r="W27" s="118"/>
      <c r="X27" s="118"/>
      <c r="Y27" s="117">
        <f t="shared" si="35"/>
        <v>0</v>
      </c>
      <c r="Z27" s="117">
        <f t="shared" si="36"/>
        <v>0</v>
      </c>
      <c r="AA27" s="119">
        <f t="shared" si="50"/>
        <v>0</v>
      </c>
      <c r="AB27" s="117">
        <f t="shared" si="37"/>
        <v>0</v>
      </c>
      <c r="AC27" s="118"/>
      <c r="AD27" s="119">
        <f t="shared" si="38"/>
        <v>0</v>
      </c>
      <c r="AE27" s="118"/>
      <c r="AF27" s="118"/>
      <c r="AG27" s="118"/>
      <c r="AH27" s="118"/>
      <c r="AI27" s="152">
        <f t="shared" si="39"/>
        <v>0</v>
      </c>
      <c r="AJ27" s="118"/>
      <c r="AK27" s="120">
        <f t="shared" si="40"/>
        <v>0</v>
      </c>
      <c r="AL27" s="121">
        <f t="shared" si="41"/>
        <v>0</v>
      </c>
      <c r="AM27" s="122"/>
      <c r="AN27" s="123">
        <f t="shared" si="42"/>
        <v>0</v>
      </c>
      <c r="AO27" s="124">
        <f t="shared" si="43"/>
        <v>0</v>
      </c>
      <c r="AP27" s="124">
        <f t="shared" si="44"/>
        <v>0</v>
      </c>
      <c r="AQ27" s="124">
        <f t="shared" si="45"/>
        <v>0</v>
      </c>
      <c r="AR27" s="124">
        <f t="shared" si="46"/>
        <v>0</v>
      </c>
      <c r="AS27" s="124">
        <f t="array" ref="AS27">_xlfn.IFS(S27=0,AL27,S27&lt;0,AL27/-S27,S27&gt;0,AL27/S27)</f>
        <v>0</v>
      </c>
      <c r="AT27" s="119">
        <f t="shared" si="47"/>
        <v>0</v>
      </c>
      <c r="AU27" s="119">
        <f t="shared" si="48"/>
        <v>0</v>
      </c>
      <c r="AV27" s="125"/>
      <c r="AW27" s="120">
        <f t="shared" si="49"/>
        <v>0</v>
      </c>
    </row>
    <row r="28" spans="1:49" hidden="1" outlineLevel="1">
      <c r="A28" s="114"/>
      <c r="B28" s="115"/>
      <c r="C28" s="115"/>
      <c r="D28" s="116"/>
      <c r="E28" s="117">
        <f t="shared" si="29"/>
        <v>0</v>
      </c>
      <c r="F28" s="117"/>
      <c r="G28" s="117"/>
      <c r="H28" s="117"/>
      <c r="I28" s="117"/>
      <c r="J28" s="117">
        <f t="shared" si="30"/>
        <v>0</v>
      </c>
      <c r="K28" s="114"/>
      <c r="L28" s="114"/>
      <c r="M28" s="114"/>
      <c r="N28" s="114"/>
      <c r="O28" s="117">
        <f t="shared" si="31"/>
        <v>0</v>
      </c>
      <c r="P28" s="117">
        <f t="shared" si="32"/>
        <v>0</v>
      </c>
      <c r="Q28" s="118"/>
      <c r="R28" s="118"/>
      <c r="S28" s="117">
        <f t="shared" si="33"/>
        <v>0</v>
      </c>
      <c r="T28" s="117"/>
      <c r="U28" s="117"/>
      <c r="V28" s="117">
        <f t="shared" si="34"/>
        <v>0</v>
      </c>
      <c r="W28" s="118"/>
      <c r="X28" s="118"/>
      <c r="Y28" s="117">
        <f t="shared" si="35"/>
        <v>0</v>
      </c>
      <c r="Z28" s="117">
        <f t="shared" si="36"/>
        <v>0</v>
      </c>
      <c r="AA28" s="119">
        <f t="shared" si="50"/>
        <v>0</v>
      </c>
      <c r="AB28" s="117">
        <f t="shared" si="37"/>
        <v>0</v>
      </c>
      <c r="AC28" s="118"/>
      <c r="AD28" s="119">
        <f t="shared" si="38"/>
        <v>0</v>
      </c>
      <c r="AE28" s="118"/>
      <c r="AF28" s="118"/>
      <c r="AG28" s="118"/>
      <c r="AH28" s="118"/>
      <c r="AI28" s="152">
        <f t="shared" si="39"/>
        <v>0</v>
      </c>
      <c r="AJ28" s="118"/>
      <c r="AK28" s="120">
        <f t="shared" si="40"/>
        <v>0</v>
      </c>
      <c r="AL28" s="121">
        <f t="shared" si="41"/>
        <v>0</v>
      </c>
      <c r="AM28" s="122"/>
      <c r="AN28" s="123">
        <f t="shared" si="42"/>
        <v>0</v>
      </c>
      <c r="AO28" s="124">
        <f t="shared" si="43"/>
        <v>0</v>
      </c>
      <c r="AP28" s="124">
        <f t="shared" si="44"/>
        <v>0</v>
      </c>
      <c r="AQ28" s="124">
        <f t="shared" si="45"/>
        <v>0</v>
      </c>
      <c r="AR28" s="124">
        <f t="shared" si="46"/>
        <v>0</v>
      </c>
      <c r="AS28" s="124">
        <f t="array" ref="AS28">_xlfn.IFS(S28=0,AL28,S28&lt;0,AL28/-S28,S28&gt;0,AL28/S28)</f>
        <v>0</v>
      </c>
      <c r="AT28" s="119">
        <f t="shared" si="47"/>
        <v>0</v>
      </c>
      <c r="AU28" s="119">
        <f t="shared" si="48"/>
        <v>0</v>
      </c>
      <c r="AV28" s="125"/>
      <c r="AW28" s="120">
        <f t="shared" si="49"/>
        <v>0</v>
      </c>
    </row>
    <row r="29" spans="1:49" hidden="1" outlineLevel="1">
      <c r="A29" s="114"/>
      <c r="B29" s="115"/>
      <c r="C29" s="115"/>
      <c r="D29" s="116"/>
      <c r="E29" s="117">
        <f t="shared" si="29"/>
        <v>0</v>
      </c>
      <c r="F29" s="117"/>
      <c r="G29" s="117"/>
      <c r="H29" s="117"/>
      <c r="I29" s="117"/>
      <c r="J29" s="117">
        <f t="shared" si="30"/>
        <v>0</v>
      </c>
      <c r="K29" s="114"/>
      <c r="L29" s="114"/>
      <c r="M29" s="114"/>
      <c r="N29" s="114"/>
      <c r="O29" s="117">
        <f t="shared" si="31"/>
        <v>0</v>
      </c>
      <c r="P29" s="117">
        <f t="shared" si="32"/>
        <v>0</v>
      </c>
      <c r="Q29" s="118"/>
      <c r="R29" s="118"/>
      <c r="S29" s="117">
        <f t="shared" si="33"/>
        <v>0</v>
      </c>
      <c r="T29" s="117"/>
      <c r="U29" s="117"/>
      <c r="V29" s="117">
        <f t="shared" si="34"/>
        <v>0</v>
      </c>
      <c r="W29" s="118"/>
      <c r="X29" s="118"/>
      <c r="Y29" s="117">
        <f t="shared" si="35"/>
        <v>0</v>
      </c>
      <c r="Z29" s="117">
        <f t="shared" si="36"/>
        <v>0</v>
      </c>
      <c r="AA29" s="119">
        <f t="shared" si="50"/>
        <v>0</v>
      </c>
      <c r="AB29" s="117">
        <f t="shared" si="37"/>
        <v>0</v>
      </c>
      <c r="AC29" s="118"/>
      <c r="AD29" s="119">
        <f t="shared" si="38"/>
        <v>0</v>
      </c>
      <c r="AE29" s="118"/>
      <c r="AF29" s="118"/>
      <c r="AG29" s="118"/>
      <c r="AH29" s="118"/>
      <c r="AI29" s="152">
        <f t="shared" si="39"/>
        <v>0</v>
      </c>
      <c r="AJ29" s="118"/>
      <c r="AK29" s="120">
        <f t="shared" si="40"/>
        <v>0</v>
      </c>
      <c r="AL29" s="121">
        <f t="shared" si="41"/>
        <v>0</v>
      </c>
      <c r="AM29" s="122"/>
      <c r="AN29" s="123">
        <f t="shared" si="42"/>
        <v>0</v>
      </c>
      <c r="AO29" s="124">
        <f t="shared" si="43"/>
        <v>0</v>
      </c>
      <c r="AP29" s="124">
        <f t="shared" si="44"/>
        <v>0</v>
      </c>
      <c r="AQ29" s="124">
        <f t="shared" si="45"/>
        <v>0</v>
      </c>
      <c r="AR29" s="124">
        <f t="shared" si="46"/>
        <v>0</v>
      </c>
      <c r="AS29" s="124">
        <f t="array" ref="AS29">_xlfn.IFS(S29=0,AL29,S29&lt;0,AL29/-S29,S29&gt;0,AL29/S29)</f>
        <v>0</v>
      </c>
      <c r="AT29" s="119">
        <f t="shared" si="47"/>
        <v>0</v>
      </c>
      <c r="AU29" s="119">
        <f t="shared" si="48"/>
        <v>0</v>
      </c>
      <c r="AV29" s="125"/>
      <c r="AW29" s="120">
        <f t="shared" si="49"/>
        <v>0</v>
      </c>
    </row>
    <row r="30" spans="1:49" hidden="1" outlineLevel="1">
      <c r="A30" s="114"/>
      <c r="B30" s="115"/>
      <c r="C30" s="115"/>
      <c r="D30" s="116"/>
      <c r="E30" s="117">
        <f t="shared" si="29"/>
        <v>0</v>
      </c>
      <c r="F30" s="117"/>
      <c r="G30" s="117"/>
      <c r="H30" s="117"/>
      <c r="I30" s="117"/>
      <c r="J30" s="117">
        <f t="shared" si="30"/>
        <v>0</v>
      </c>
      <c r="K30" s="114"/>
      <c r="L30" s="114"/>
      <c r="M30" s="114"/>
      <c r="N30" s="114"/>
      <c r="O30" s="117">
        <f t="shared" si="31"/>
        <v>0</v>
      </c>
      <c r="P30" s="117">
        <f t="shared" si="32"/>
        <v>0</v>
      </c>
      <c r="Q30" s="118"/>
      <c r="R30" s="118"/>
      <c r="S30" s="117">
        <f t="shared" si="33"/>
        <v>0</v>
      </c>
      <c r="T30" s="117"/>
      <c r="U30" s="117"/>
      <c r="V30" s="117">
        <f t="shared" si="34"/>
        <v>0</v>
      </c>
      <c r="W30" s="118"/>
      <c r="X30" s="118"/>
      <c r="Y30" s="117">
        <f t="shared" si="35"/>
        <v>0</v>
      </c>
      <c r="Z30" s="117">
        <f t="shared" si="36"/>
        <v>0</v>
      </c>
      <c r="AA30" s="119">
        <f t="shared" si="50"/>
        <v>0</v>
      </c>
      <c r="AB30" s="117">
        <f t="shared" si="37"/>
        <v>0</v>
      </c>
      <c r="AC30" s="118"/>
      <c r="AD30" s="119">
        <f t="shared" si="38"/>
        <v>0</v>
      </c>
      <c r="AE30" s="118"/>
      <c r="AF30" s="118"/>
      <c r="AG30" s="118"/>
      <c r="AH30" s="118"/>
      <c r="AI30" s="152">
        <f t="shared" si="39"/>
        <v>0</v>
      </c>
      <c r="AJ30" s="118"/>
      <c r="AK30" s="120">
        <f t="shared" si="40"/>
        <v>0</v>
      </c>
      <c r="AL30" s="121">
        <f t="shared" si="41"/>
        <v>0</v>
      </c>
      <c r="AM30" s="122"/>
      <c r="AN30" s="123">
        <f t="shared" si="42"/>
        <v>0</v>
      </c>
      <c r="AO30" s="124">
        <f t="shared" si="43"/>
        <v>0</v>
      </c>
      <c r="AP30" s="124">
        <f t="shared" si="44"/>
        <v>0</v>
      </c>
      <c r="AQ30" s="124">
        <f t="shared" si="45"/>
        <v>0</v>
      </c>
      <c r="AR30" s="124">
        <f t="shared" si="46"/>
        <v>0</v>
      </c>
      <c r="AS30" s="124">
        <f t="array" ref="AS30">_xlfn.IFS(S30=0,AL30,S30&lt;0,AL30/-S30,S30&gt;0,AL30/S30)</f>
        <v>0</v>
      </c>
      <c r="AT30" s="119">
        <f t="shared" si="47"/>
        <v>0</v>
      </c>
      <c r="AU30" s="119">
        <f t="shared" si="48"/>
        <v>0</v>
      </c>
      <c r="AV30" s="125"/>
      <c r="AW30" s="120">
        <f t="shared" si="49"/>
        <v>0</v>
      </c>
    </row>
    <row r="31" spans="1:49" hidden="1" outlineLevel="1">
      <c r="A31" s="114"/>
      <c r="B31" s="115"/>
      <c r="C31" s="115"/>
      <c r="D31" s="116"/>
      <c r="E31" s="117">
        <f t="shared" si="29"/>
        <v>0</v>
      </c>
      <c r="F31" s="117"/>
      <c r="G31" s="117"/>
      <c r="H31" s="117"/>
      <c r="I31" s="117"/>
      <c r="J31" s="117">
        <f t="shared" si="30"/>
        <v>0</v>
      </c>
      <c r="K31" s="114"/>
      <c r="L31" s="114"/>
      <c r="M31" s="114"/>
      <c r="N31" s="114"/>
      <c r="O31" s="117">
        <f t="shared" si="31"/>
        <v>0</v>
      </c>
      <c r="P31" s="117">
        <f t="shared" si="32"/>
        <v>0</v>
      </c>
      <c r="Q31" s="118"/>
      <c r="R31" s="118"/>
      <c r="S31" s="117">
        <f t="shared" si="33"/>
        <v>0</v>
      </c>
      <c r="T31" s="117"/>
      <c r="U31" s="117"/>
      <c r="V31" s="117">
        <f t="shared" si="34"/>
        <v>0</v>
      </c>
      <c r="W31" s="118"/>
      <c r="X31" s="118"/>
      <c r="Y31" s="117">
        <f t="shared" si="35"/>
        <v>0</v>
      </c>
      <c r="Z31" s="117">
        <f t="shared" si="36"/>
        <v>0</v>
      </c>
      <c r="AA31" s="119">
        <f t="shared" si="50"/>
        <v>0</v>
      </c>
      <c r="AB31" s="117">
        <f t="shared" si="37"/>
        <v>0</v>
      </c>
      <c r="AC31" s="118"/>
      <c r="AD31" s="119">
        <f t="shared" si="38"/>
        <v>0</v>
      </c>
      <c r="AE31" s="118"/>
      <c r="AF31" s="118"/>
      <c r="AG31" s="118"/>
      <c r="AH31" s="118"/>
      <c r="AI31" s="152">
        <f t="shared" si="39"/>
        <v>0</v>
      </c>
      <c r="AJ31" s="118"/>
      <c r="AK31" s="120">
        <f t="shared" si="40"/>
        <v>0</v>
      </c>
      <c r="AL31" s="121">
        <f t="shared" si="41"/>
        <v>0</v>
      </c>
      <c r="AM31" s="122"/>
      <c r="AN31" s="123">
        <f t="shared" si="42"/>
        <v>0</v>
      </c>
      <c r="AO31" s="124">
        <f t="shared" si="43"/>
        <v>0</v>
      </c>
      <c r="AP31" s="124">
        <f t="shared" si="44"/>
        <v>0</v>
      </c>
      <c r="AQ31" s="124">
        <f t="shared" si="45"/>
        <v>0</v>
      </c>
      <c r="AR31" s="124">
        <f t="shared" si="46"/>
        <v>0</v>
      </c>
      <c r="AS31" s="124">
        <f t="array" ref="AS31">_xlfn.IFS(S31=0,AL31,S31&lt;0,AL31/-S31,S31&gt;0,AL31/S31)</f>
        <v>0</v>
      </c>
      <c r="AT31" s="119">
        <f t="shared" si="47"/>
        <v>0</v>
      </c>
      <c r="AU31" s="119">
        <f t="shared" si="48"/>
        <v>0</v>
      </c>
      <c r="AV31" s="125"/>
      <c r="AW31" s="120">
        <f t="shared" si="49"/>
        <v>0</v>
      </c>
    </row>
    <row r="32" spans="1:49" hidden="1" outlineLevel="1">
      <c r="A32" s="114"/>
      <c r="B32" s="115"/>
      <c r="C32" s="115"/>
      <c r="D32" s="116"/>
      <c r="E32" s="117">
        <f t="shared" si="29"/>
        <v>0</v>
      </c>
      <c r="F32" s="117"/>
      <c r="G32" s="117"/>
      <c r="H32" s="117"/>
      <c r="I32" s="117"/>
      <c r="J32" s="117">
        <f t="shared" si="30"/>
        <v>0</v>
      </c>
      <c r="K32" s="114"/>
      <c r="L32" s="114"/>
      <c r="M32" s="114"/>
      <c r="N32" s="114"/>
      <c r="O32" s="117">
        <f t="shared" si="31"/>
        <v>0</v>
      </c>
      <c r="P32" s="117">
        <f t="shared" si="32"/>
        <v>0</v>
      </c>
      <c r="Q32" s="118"/>
      <c r="R32" s="118"/>
      <c r="S32" s="117">
        <f t="shared" si="33"/>
        <v>0</v>
      </c>
      <c r="T32" s="117"/>
      <c r="U32" s="117"/>
      <c r="V32" s="117">
        <f t="shared" si="34"/>
        <v>0</v>
      </c>
      <c r="W32" s="118"/>
      <c r="X32" s="118"/>
      <c r="Y32" s="117">
        <f t="shared" si="35"/>
        <v>0</v>
      </c>
      <c r="Z32" s="117">
        <f t="shared" si="36"/>
        <v>0</v>
      </c>
      <c r="AA32" s="119">
        <f t="shared" si="50"/>
        <v>0</v>
      </c>
      <c r="AB32" s="117">
        <f t="shared" si="37"/>
        <v>0</v>
      </c>
      <c r="AC32" s="118"/>
      <c r="AD32" s="119">
        <f t="shared" si="38"/>
        <v>0</v>
      </c>
      <c r="AE32" s="118"/>
      <c r="AF32" s="118"/>
      <c r="AG32" s="118"/>
      <c r="AH32" s="118"/>
      <c r="AI32" s="152">
        <f t="shared" si="39"/>
        <v>0</v>
      </c>
      <c r="AJ32" s="118"/>
      <c r="AK32" s="120">
        <f t="shared" si="40"/>
        <v>0</v>
      </c>
      <c r="AL32" s="121">
        <f t="shared" si="41"/>
        <v>0</v>
      </c>
      <c r="AM32" s="122"/>
      <c r="AN32" s="123">
        <f t="shared" si="42"/>
        <v>0</v>
      </c>
      <c r="AO32" s="124">
        <f t="shared" si="43"/>
        <v>0</v>
      </c>
      <c r="AP32" s="124">
        <f t="shared" si="44"/>
        <v>0</v>
      </c>
      <c r="AQ32" s="124">
        <f t="shared" si="45"/>
        <v>0</v>
      </c>
      <c r="AR32" s="124">
        <f t="shared" si="46"/>
        <v>0</v>
      </c>
      <c r="AS32" s="124">
        <f t="array" ref="AS32">_xlfn.IFS(S32=0,AL32,S32&lt;0,AL32/-S32,S32&gt;0,AL32/S32)</f>
        <v>0</v>
      </c>
      <c r="AT32" s="119">
        <f t="shared" si="47"/>
        <v>0</v>
      </c>
      <c r="AU32" s="119">
        <f t="shared" si="48"/>
        <v>0</v>
      </c>
      <c r="AV32" s="125"/>
      <c r="AW32" s="120">
        <f t="shared" si="49"/>
        <v>0</v>
      </c>
    </row>
    <row r="33" spans="1:49" hidden="1" outlineLevel="1">
      <c r="A33" s="114"/>
      <c r="B33" s="115"/>
      <c r="C33" s="115"/>
      <c r="D33" s="116"/>
      <c r="E33" s="117">
        <f t="shared" si="29"/>
        <v>0</v>
      </c>
      <c r="F33" s="117"/>
      <c r="G33" s="117"/>
      <c r="H33" s="117"/>
      <c r="I33" s="117"/>
      <c r="J33" s="117">
        <f t="shared" si="30"/>
        <v>0</v>
      </c>
      <c r="K33" s="114"/>
      <c r="L33" s="114"/>
      <c r="M33" s="114"/>
      <c r="N33" s="114"/>
      <c r="O33" s="117">
        <f t="shared" si="31"/>
        <v>0</v>
      </c>
      <c r="P33" s="117">
        <f t="shared" si="32"/>
        <v>0</v>
      </c>
      <c r="Q33" s="118"/>
      <c r="R33" s="118"/>
      <c r="S33" s="117">
        <f t="shared" si="33"/>
        <v>0</v>
      </c>
      <c r="T33" s="117"/>
      <c r="U33" s="117"/>
      <c r="V33" s="117">
        <f t="shared" si="34"/>
        <v>0</v>
      </c>
      <c r="W33" s="118"/>
      <c r="X33" s="118"/>
      <c r="Y33" s="117">
        <f t="shared" si="35"/>
        <v>0</v>
      </c>
      <c r="Z33" s="117">
        <f t="shared" si="36"/>
        <v>0</v>
      </c>
      <c r="AA33" s="119">
        <f t="shared" si="50"/>
        <v>0</v>
      </c>
      <c r="AB33" s="117">
        <f t="shared" si="37"/>
        <v>0</v>
      </c>
      <c r="AC33" s="118"/>
      <c r="AD33" s="119">
        <f t="shared" si="38"/>
        <v>0</v>
      </c>
      <c r="AE33" s="118"/>
      <c r="AF33" s="118"/>
      <c r="AG33" s="118"/>
      <c r="AH33" s="118"/>
      <c r="AI33" s="152">
        <f t="shared" si="39"/>
        <v>0</v>
      </c>
      <c r="AJ33" s="118"/>
      <c r="AK33" s="120">
        <f t="shared" si="40"/>
        <v>0</v>
      </c>
      <c r="AL33" s="121">
        <f t="shared" si="41"/>
        <v>0</v>
      </c>
      <c r="AM33" s="122"/>
      <c r="AN33" s="123">
        <f t="shared" si="42"/>
        <v>0</v>
      </c>
      <c r="AO33" s="124">
        <f t="shared" si="43"/>
        <v>0</v>
      </c>
      <c r="AP33" s="124">
        <f t="shared" si="44"/>
        <v>0</v>
      </c>
      <c r="AQ33" s="124">
        <f t="shared" si="45"/>
        <v>0</v>
      </c>
      <c r="AR33" s="124">
        <f t="shared" si="46"/>
        <v>0</v>
      </c>
      <c r="AS33" s="124">
        <f t="array" ref="AS33">_xlfn.IFS(S33=0,AL33,S33&lt;0,AL33/-S33,S33&gt;0,AL33/S33)</f>
        <v>0</v>
      </c>
      <c r="AT33" s="119">
        <f t="shared" si="47"/>
        <v>0</v>
      </c>
      <c r="AU33" s="119">
        <f t="shared" si="48"/>
        <v>0</v>
      </c>
      <c r="AV33" s="125"/>
      <c r="AW33" s="120">
        <f t="shared" si="49"/>
        <v>0</v>
      </c>
    </row>
    <row r="34" spans="1:49" hidden="1" outlineLevel="1">
      <c r="A34" s="114"/>
      <c r="B34" s="115"/>
      <c r="C34" s="115"/>
      <c r="D34" s="116"/>
      <c r="E34" s="117">
        <f t="shared" si="29"/>
        <v>0</v>
      </c>
      <c r="F34" s="117"/>
      <c r="G34" s="117"/>
      <c r="H34" s="117"/>
      <c r="I34" s="117"/>
      <c r="J34" s="117">
        <f t="shared" si="30"/>
        <v>0</v>
      </c>
      <c r="K34" s="114"/>
      <c r="L34" s="114"/>
      <c r="M34" s="114"/>
      <c r="N34" s="114"/>
      <c r="O34" s="117">
        <f t="shared" si="31"/>
        <v>0</v>
      </c>
      <c r="P34" s="117">
        <f t="shared" si="32"/>
        <v>0</v>
      </c>
      <c r="Q34" s="118"/>
      <c r="R34" s="118"/>
      <c r="S34" s="117">
        <f t="shared" si="33"/>
        <v>0</v>
      </c>
      <c r="T34" s="117"/>
      <c r="U34" s="117"/>
      <c r="V34" s="117">
        <f t="shared" si="34"/>
        <v>0</v>
      </c>
      <c r="W34" s="118"/>
      <c r="X34" s="118"/>
      <c r="Y34" s="117">
        <f t="shared" si="35"/>
        <v>0</v>
      </c>
      <c r="Z34" s="117">
        <f t="shared" si="36"/>
        <v>0</v>
      </c>
      <c r="AA34" s="119">
        <f t="shared" si="50"/>
        <v>0</v>
      </c>
      <c r="AB34" s="117">
        <f t="shared" si="37"/>
        <v>0</v>
      </c>
      <c r="AC34" s="118"/>
      <c r="AD34" s="119">
        <f t="shared" si="38"/>
        <v>0</v>
      </c>
      <c r="AE34" s="118"/>
      <c r="AF34" s="118"/>
      <c r="AG34" s="118"/>
      <c r="AH34" s="118"/>
      <c r="AI34" s="152">
        <f t="shared" si="39"/>
        <v>0</v>
      </c>
      <c r="AJ34" s="118"/>
      <c r="AK34" s="120">
        <f t="shared" si="40"/>
        <v>0</v>
      </c>
      <c r="AL34" s="121">
        <f t="shared" si="41"/>
        <v>0</v>
      </c>
      <c r="AM34" s="122"/>
      <c r="AN34" s="123">
        <f t="shared" si="42"/>
        <v>0</v>
      </c>
      <c r="AO34" s="124">
        <f t="shared" si="43"/>
        <v>0</v>
      </c>
      <c r="AP34" s="124">
        <f t="shared" si="44"/>
        <v>0</v>
      </c>
      <c r="AQ34" s="124">
        <f t="shared" si="45"/>
        <v>0</v>
      </c>
      <c r="AR34" s="124">
        <f t="shared" si="46"/>
        <v>0</v>
      </c>
      <c r="AS34" s="124">
        <f t="array" ref="AS34">_xlfn.IFS(S34=0,AL34,S34&lt;0,AL34/-S34,S34&gt;0,AL34/S34)</f>
        <v>0</v>
      </c>
      <c r="AT34" s="119">
        <f t="shared" si="47"/>
        <v>0</v>
      </c>
      <c r="AU34" s="119">
        <f t="shared" si="48"/>
        <v>0</v>
      </c>
      <c r="AV34" s="125"/>
      <c r="AW34" s="120">
        <f t="shared" si="49"/>
        <v>0</v>
      </c>
    </row>
    <row r="35" spans="1:49" hidden="1" outlineLevel="1">
      <c r="A35" s="114"/>
      <c r="B35" s="115"/>
      <c r="C35" s="115"/>
      <c r="D35" s="116"/>
      <c r="E35" s="117">
        <f t="shared" si="29"/>
        <v>0</v>
      </c>
      <c r="F35" s="117"/>
      <c r="G35" s="117"/>
      <c r="H35" s="117"/>
      <c r="I35" s="117"/>
      <c r="J35" s="117">
        <f t="shared" si="30"/>
        <v>0</v>
      </c>
      <c r="K35" s="114"/>
      <c r="L35" s="114"/>
      <c r="M35" s="114"/>
      <c r="N35" s="114"/>
      <c r="O35" s="117">
        <f t="shared" si="31"/>
        <v>0</v>
      </c>
      <c r="P35" s="117">
        <f t="shared" si="32"/>
        <v>0</v>
      </c>
      <c r="Q35" s="118"/>
      <c r="R35" s="118"/>
      <c r="S35" s="117">
        <f t="shared" si="33"/>
        <v>0</v>
      </c>
      <c r="T35" s="117"/>
      <c r="U35" s="117"/>
      <c r="V35" s="117">
        <f t="shared" si="34"/>
        <v>0</v>
      </c>
      <c r="W35" s="118"/>
      <c r="X35" s="118"/>
      <c r="Y35" s="117">
        <f t="shared" si="35"/>
        <v>0</v>
      </c>
      <c r="Z35" s="117">
        <f t="shared" si="36"/>
        <v>0</v>
      </c>
      <c r="AA35" s="119">
        <f t="shared" si="50"/>
        <v>0</v>
      </c>
      <c r="AB35" s="117">
        <f t="shared" si="37"/>
        <v>0</v>
      </c>
      <c r="AC35" s="118"/>
      <c r="AD35" s="119">
        <f t="shared" si="38"/>
        <v>0</v>
      </c>
      <c r="AE35" s="118"/>
      <c r="AF35" s="118"/>
      <c r="AG35" s="118"/>
      <c r="AH35" s="118"/>
      <c r="AI35" s="152">
        <f t="shared" si="39"/>
        <v>0</v>
      </c>
      <c r="AJ35" s="118"/>
      <c r="AK35" s="120">
        <f t="shared" si="40"/>
        <v>0</v>
      </c>
      <c r="AL35" s="121">
        <f t="shared" si="41"/>
        <v>0</v>
      </c>
      <c r="AM35" s="122"/>
      <c r="AN35" s="123">
        <f t="shared" si="42"/>
        <v>0</v>
      </c>
      <c r="AO35" s="124">
        <f t="shared" si="43"/>
        <v>0</v>
      </c>
      <c r="AP35" s="124">
        <f t="shared" si="44"/>
        <v>0</v>
      </c>
      <c r="AQ35" s="124">
        <f t="shared" si="45"/>
        <v>0</v>
      </c>
      <c r="AR35" s="124">
        <f t="shared" si="46"/>
        <v>0</v>
      </c>
      <c r="AS35" s="124">
        <f t="array" ref="AS35">_xlfn.IFS(S35=0,AL35,S35&lt;0,AL35/-S35,S35&gt;0,AL35/S35)</f>
        <v>0</v>
      </c>
      <c r="AT35" s="119">
        <f t="shared" si="47"/>
        <v>0</v>
      </c>
      <c r="AU35" s="119">
        <f t="shared" si="48"/>
        <v>0</v>
      </c>
      <c r="AV35" s="125"/>
      <c r="AW35" s="120">
        <f t="shared" si="49"/>
        <v>0</v>
      </c>
    </row>
    <row r="36" spans="1:49" hidden="1" outlineLevel="1">
      <c r="A36" s="114"/>
      <c r="B36" s="115"/>
      <c r="C36" s="115"/>
      <c r="D36" s="116"/>
      <c r="E36" s="117">
        <f t="shared" si="29"/>
        <v>0</v>
      </c>
      <c r="F36" s="117"/>
      <c r="G36" s="117"/>
      <c r="H36" s="117"/>
      <c r="I36" s="117"/>
      <c r="J36" s="117">
        <f t="shared" si="30"/>
        <v>0</v>
      </c>
      <c r="K36" s="114"/>
      <c r="L36" s="114"/>
      <c r="M36" s="114"/>
      <c r="N36" s="114"/>
      <c r="O36" s="117">
        <f t="shared" si="31"/>
        <v>0</v>
      </c>
      <c r="P36" s="117">
        <f t="shared" si="32"/>
        <v>0</v>
      </c>
      <c r="Q36" s="118"/>
      <c r="R36" s="118"/>
      <c r="S36" s="117">
        <f t="shared" si="33"/>
        <v>0</v>
      </c>
      <c r="T36" s="117"/>
      <c r="U36" s="117"/>
      <c r="V36" s="117">
        <f t="shared" si="34"/>
        <v>0</v>
      </c>
      <c r="W36" s="118"/>
      <c r="X36" s="118"/>
      <c r="Y36" s="117">
        <f t="shared" si="35"/>
        <v>0</v>
      </c>
      <c r="Z36" s="117">
        <f t="shared" si="36"/>
        <v>0</v>
      </c>
      <c r="AA36" s="119">
        <f t="shared" si="50"/>
        <v>0</v>
      </c>
      <c r="AB36" s="117">
        <f t="shared" si="37"/>
        <v>0</v>
      </c>
      <c r="AC36" s="118"/>
      <c r="AD36" s="119">
        <f t="shared" si="38"/>
        <v>0</v>
      </c>
      <c r="AE36" s="118"/>
      <c r="AF36" s="118"/>
      <c r="AG36" s="118"/>
      <c r="AH36" s="118"/>
      <c r="AI36" s="152">
        <f t="shared" si="39"/>
        <v>0</v>
      </c>
      <c r="AJ36" s="118"/>
      <c r="AK36" s="120">
        <f t="shared" si="40"/>
        <v>0</v>
      </c>
      <c r="AL36" s="121">
        <f t="shared" si="41"/>
        <v>0</v>
      </c>
      <c r="AM36" s="122"/>
      <c r="AN36" s="123">
        <f t="shared" si="42"/>
        <v>0</v>
      </c>
      <c r="AO36" s="124">
        <f t="shared" si="43"/>
        <v>0</v>
      </c>
      <c r="AP36" s="124">
        <f t="shared" si="44"/>
        <v>0</v>
      </c>
      <c r="AQ36" s="124">
        <f t="shared" si="45"/>
        <v>0</v>
      </c>
      <c r="AR36" s="124">
        <f t="shared" si="46"/>
        <v>0</v>
      </c>
      <c r="AS36" s="124">
        <f t="array" ref="AS36">_xlfn.IFS(S36=0,AL36,S36&lt;0,AL36/-S36,S36&gt;0,AL36/S36)</f>
        <v>0</v>
      </c>
      <c r="AT36" s="119">
        <f t="shared" si="47"/>
        <v>0</v>
      </c>
      <c r="AU36" s="119">
        <f t="shared" si="48"/>
        <v>0</v>
      </c>
      <c r="AV36" s="125"/>
      <c r="AW36" s="120">
        <f t="shared" si="49"/>
        <v>0</v>
      </c>
    </row>
    <row r="37" spans="1:49" hidden="1" outlineLevel="1">
      <c r="A37" s="114"/>
      <c r="B37" s="115"/>
      <c r="C37" s="115"/>
      <c r="D37" s="116"/>
      <c r="E37" s="117">
        <f t="shared" si="29"/>
        <v>0</v>
      </c>
      <c r="F37" s="117"/>
      <c r="G37" s="117"/>
      <c r="H37" s="117"/>
      <c r="I37" s="117"/>
      <c r="J37" s="117">
        <f t="shared" si="30"/>
        <v>0</v>
      </c>
      <c r="K37" s="114"/>
      <c r="L37" s="114"/>
      <c r="M37" s="114"/>
      <c r="N37" s="114"/>
      <c r="O37" s="117">
        <f t="shared" si="31"/>
        <v>0</v>
      </c>
      <c r="P37" s="117">
        <f t="shared" si="32"/>
        <v>0</v>
      </c>
      <c r="Q37" s="118"/>
      <c r="R37" s="118"/>
      <c r="S37" s="117">
        <f t="shared" si="33"/>
        <v>0</v>
      </c>
      <c r="T37" s="117"/>
      <c r="U37" s="117"/>
      <c r="V37" s="117">
        <f t="shared" si="34"/>
        <v>0</v>
      </c>
      <c r="W37" s="118"/>
      <c r="X37" s="118"/>
      <c r="Y37" s="117">
        <f t="shared" si="35"/>
        <v>0</v>
      </c>
      <c r="Z37" s="117">
        <f t="shared" si="36"/>
        <v>0</v>
      </c>
      <c r="AA37" s="119">
        <f t="shared" si="50"/>
        <v>0</v>
      </c>
      <c r="AB37" s="117">
        <f t="shared" si="37"/>
        <v>0</v>
      </c>
      <c r="AC37" s="118"/>
      <c r="AD37" s="119">
        <f t="shared" si="38"/>
        <v>0</v>
      </c>
      <c r="AE37" s="118"/>
      <c r="AF37" s="118"/>
      <c r="AG37" s="118"/>
      <c r="AH37" s="118"/>
      <c r="AI37" s="152">
        <f t="shared" si="39"/>
        <v>0</v>
      </c>
      <c r="AJ37" s="118"/>
      <c r="AK37" s="120">
        <f t="shared" si="40"/>
        <v>0</v>
      </c>
      <c r="AL37" s="121">
        <f t="shared" si="41"/>
        <v>0</v>
      </c>
      <c r="AM37" s="122"/>
      <c r="AN37" s="123">
        <f t="shared" si="42"/>
        <v>0</v>
      </c>
      <c r="AO37" s="124">
        <f t="shared" si="43"/>
        <v>0</v>
      </c>
      <c r="AP37" s="124">
        <f t="shared" si="44"/>
        <v>0</v>
      </c>
      <c r="AQ37" s="124">
        <f t="shared" si="45"/>
        <v>0</v>
      </c>
      <c r="AR37" s="124">
        <f t="shared" si="46"/>
        <v>0</v>
      </c>
      <c r="AS37" s="124">
        <f t="array" ref="AS37">_xlfn.IFS(S37=0,AL37,S37&lt;0,AL37/-S37,S37&gt;0,AL37/S37)</f>
        <v>0</v>
      </c>
      <c r="AT37" s="119">
        <f t="shared" si="47"/>
        <v>0</v>
      </c>
      <c r="AU37" s="119">
        <f t="shared" si="48"/>
        <v>0</v>
      </c>
      <c r="AV37" s="125"/>
      <c r="AW37" s="120">
        <f t="shared" si="49"/>
        <v>0</v>
      </c>
    </row>
    <row r="38" spans="1:49" hidden="1" outlineLevel="1">
      <c r="A38" s="114"/>
      <c r="B38" s="115"/>
      <c r="C38" s="115"/>
      <c r="D38" s="116"/>
      <c r="E38" s="117">
        <f t="shared" si="29"/>
        <v>0</v>
      </c>
      <c r="F38" s="117"/>
      <c r="G38" s="117"/>
      <c r="H38" s="117"/>
      <c r="I38" s="117"/>
      <c r="J38" s="117">
        <f t="shared" si="30"/>
        <v>0</v>
      </c>
      <c r="K38" s="114"/>
      <c r="L38" s="114"/>
      <c r="M38" s="114"/>
      <c r="N38" s="114"/>
      <c r="O38" s="117">
        <f t="shared" si="31"/>
        <v>0</v>
      </c>
      <c r="P38" s="117">
        <f t="shared" si="32"/>
        <v>0</v>
      </c>
      <c r="Q38" s="118"/>
      <c r="R38" s="118"/>
      <c r="S38" s="117">
        <f t="shared" si="33"/>
        <v>0</v>
      </c>
      <c r="T38" s="117"/>
      <c r="U38" s="117"/>
      <c r="V38" s="117">
        <f t="shared" si="34"/>
        <v>0</v>
      </c>
      <c r="W38" s="118"/>
      <c r="X38" s="118"/>
      <c r="Y38" s="117">
        <f t="shared" si="35"/>
        <v>0</v>
      </c>
      <c r="Z38" s="117">
        <f t="shared" si="36"/>
        <v>0</v>
      </c>
      <c r="AA38" s="119">
        <f t="shared" si="50"/>
        <v>0</v>
      </c>
      <c r="AB38" s="117">
        <f t="shared" si="37"/>
        <v>0</v>
      </c>
      <c r="AC38" s="118"/>
      <c r="AD38" s="119">
        <f t="shared" si="38"/>
        <v>0</v>
      </c>
      <c r="AE38" s="118"/>
      <c r="AF38" s="118"/>
      <c r="AG38" s="118"/>
      <c r="AH38" s="118"/>
      <c r="AI38" s="152">
        <f t="shared" si="39"/>
        <v>0</v>
      </c>
      <c r="AJ38" s="118"/>
      <c r="AK38" s="120">
        <f t="shared" si="40"/>
        <v>0</v>
      </c>
      <c r="AL38" s="121">
        <f t="shared" si="41"/>
        <v>0</v>
      </c>
      <c r="AM38" s="122"/>
      <c r="AN38" s="123">
        <f t="shared" si="42"/>
        <v>0</v>
      </c>
      <c r="AO38" s="124">
        <f t="shared" si="43"/>
        <v>0</v>
      </c>
      <c r="AP38" s="124">
        <f t="shared" si="44"/>
        <v>0</v>
      </c>
      <c r="AQ38" s="124">
        <f t="shared" si="45"/>
        <v>0</v>
      </c>
      <c r="AR38" s="124">
        <f t="shared" si="46"/>
        <v>0</v>
      </c>
      <c r="AS38" s="124">
        <f t="array" ref="AS38">_xlfn.IFS(S38=0,AL38,S38&lt;0,AL38/-S38,S38&gt;0,AL38/S38)</f>
        <v>0</v>
      </c>
      <c r="AT38" s="119">
        <f t="shared" si="47"/>
        <v>0</v>
      </c>
      <c r="AU38" s="119">
        <f t="shared" si="48"/>
        <v>0</v>
      </c>
      <c r="AV38" s="125"/>
      <c r="AW38" s="120">
        <f t="shared" si="49"/>
        <v>0</v>
      </c>
    </row>
    <row r="39" spans="1:49" hidden="1" outlineLevel="1">
      <c r="A39" s="114"/>
      <c r="B39" s="115"/>
      <c r="C39" s="115"/>
      <c r="D39" s="116"/>
      <c r="E39" s="117">
        <f t="shared" si="29"/>
        <v>0</v>
      </c>
      <c r="F39" s="117"/>
      <c r="G39" s="117"/>
      <c r="H39" s="117"/>
      <c r="I39" s="117"/>
      <c r="J39" s="117">
        <f t="shared" si="30"/>
        <v>0</v>
      </c>
      <c r="K39" s="114"/>
      <c r="L39" s="114"/>
      <c r="M39" s="114"/>
      <c r="N39" s="114"/>
      <c r="O39" s="117">
        <f t="shared" si="31"/>
        <v>0</v>
      </c>
      <c r="P39" s="117">
        <f t="shared" si="32"/>
        <v>0</v>
      </c>
      <c r="Q39" s="118"/>
      <c r="R39" s="118"/>
      <c r="S39" s="117">
        <f t="shared" si="33"/>
        <v>0</v>
      </c>
      <c r="T39" s="117"/>
      <c r="U39" s="117"/>
      <c r="V39" s="117">
        <f t="shared" si="34"/>
        <v>0</v>
      </c>
      <c r="W39" s="118"/>
      <c r="X39" s="118"/>
      <c r="Y39" s="117">
        <f t="shared" si="35"/>
        <v>0</v>
      </c>
      <c r="Z39" s="117">
        <f t="shared" si="36"/>
        <v>0</v>
      </c>
      <c r="AA39" s="119">
        <f t="shared" si="50"/>
        <v>0</v>
      </c>
      <c r="AB39" s="117">
        <f t="shared" si="37"/>
        <v>0</v>
      </c>
      <c r="AC39" s="118"/>
      <c r="AD39" s="119">
        <f t="shared" si="38"/>
        <v>0</v>
      </c>
      <c r="AE39" s="118"/>
      <c r="AF39" s="118"/>
      <c r="AG39" s="118"/>
      <c r="AH39" s="118"/>
      <c r="AI39" s="152">
        <f t="shared" si="39"/>
        <v>0</v>
      </c>
      <c r="AJ39" s="118"/>
      <c r="AK39" s="120">
        <f t="shared" si="40"/>
        <v>0</v>
      </c>
      <c r="AL39" s="121">
        <f t="shared" si="41"/>
        <v>0</v>
      </c>
      <c r="AM39" s="122"/>
      <c r="AN39" s="123">
        <f t="shared" si="42"/>
        <v>0</v>
      </c>
      <c r="AO39" s="124">
        <f t="shared" si="43"/>
        <v>0</v>
      </c>
      <c r="AP39" s="124">
        <f t="shared" si="44"/>
        <v>0</v>
      </c>
      <c r="AQ39" s="124">
        <f t="shared" si="45"/>
        <v>0</v>
      </c>
      <c r="AR39" s="124">
        <f t="shared" si="46"/>
        <v>0</v>
      </c>
      <c r="AS39" s="124">
        <f t="array" ref="AS39">_xlfn.IFS(S39=0,AL39,S39&lt;0,AL39/-S39,S39&gt;0,AL39/S39)</f>
        <v>0</v>
      </c>
      <c r="AT39" s="119">
        <f t="shared" si="47"/>
        <v>0</v>
      </c>
      <c r="AU39" s="119">
        <f t="shared" si="48"/>
        <v>0</v>
      </c>
      <c r="AV39" s="125"/>
      <c r="AW39" s="120">
        <f t="shared" si="49"/>
        <v>0</v>
      </c>
    </row>
    <row r="40" spans="1:49" hidden="1" outlineLevel="1">
      <c r="A40" s="114"/>
      <c r="B40" s="115"/>
      <c r="C40" s="115"/>
      <c r="D40" s="116"/>
      <c r="E40" s="117">
        <f t="shared" si="29"/>
        <v>0</v>
      </c>
      <c r="F40" s="117"/>
      <c r="G40" s="117"/>
      <c r="H40" s="117"/>
      <c r="I40" s="117"/>
      <c r="J40" s="117">
        <f t="shared" si="30"/>
        <v>0</v>
      </c>
      <c r="K40" s="114"/>
      <c r="L40" s="114"/>
      <c r="M40" s="114"/>
      <c r="N40" s="114"/>
      <c r="O40" s="117">
        <f t="shared" si="31"/>
        <v>0</v>
      </c>
      <c r="P40" s="117">
        <f t="shared" si="32"/>
        <v>0</v>
      </c>
      <c r="Q40" s="118"/>
      <c r="R40" s="118"/>
      <c r="S40" s="117">
        <f t="shared" si="33"/>
        <v>0</v>
      </c>
      <c r="T40" s="117"/>
      <c r="U40" s="117"/>
      <c r="V40" s="117">
        <f t="shared" si="34"/>
        <v>0</v>
      </c>
      <c r="W40" s="118"/>
      <c r="X40" s="118"/>
      <c r="Y40" s="117">
        <f t="shared" si="35"/>
        <v>0</v>
      </c>
      <c r="Z40" s="117">
        <f t="shared" si="36"/>
        <v>0</v>
      </c>
      <c r="AA40" s="119">
        <f t="shared" si="50"/>
        <v>0</v>
      </c>
      <c r="AB40" s="117">
        <f t="shared" si="37"/>
        <v>0</v>
      </c>
      <c r="AC40" s="118"/>
      <c r="AD40" s="119">
        <f t="shared" si="38"/>
        <v>0</v>
      </c>
      <c r="AE40" s="118"/>
      <c r="AF40" s="118"/>
      <c r="AG40" s="118"/>
      <c r="AH40" s="118"/>
      <c r="AI40" s="152">
        <f t="shared" si="39"/>
        <v>0</v>
      </c>
      <c r="AJ40" s="118"/>
      <c r="AK40" s="120">
        <f t="shared" si="40"/>
        <v>0</v>
      </c>
      <c r="AL40" s="121">
        <f t="shared" si="41"/>
        <v>0</v>
      </c>
      <c r="AM40" s="122"/>
      <c r="AN40" s="123">
        <f t="shared" si="42"/>
        <v>0</v>
      </c>
      <c r="AO40" s="124">
        <f t="shared" si="43"/>
        <v>0</v>
      </c>
      <c r="AP40" s="124">
        <f t="shared" si="44"/>
        <v>0</v>
      </c>
      <c r="AQ40" s="124">
        <f t="shared" si="45"/>
        <v>0</v>
      </c>
      <c r="AR40" s="124">
        <f t="shared" si="46"/>
        <v>0</v>
      </c>
      <c r="AS40" s="124">
        <f t="array" ref="AS40">_xlfn.IFS(S40=0,AL40,S40&lt;0,AL40/-S40,S40&gt;0,AL40/S40)</f>
        <v>0</v>
      </c>
      <c r="AT40" s="119">
        <f t="shared" si="47"/>
        <v>0</v>
      </c>
      <c r="AU40" s="119">
        <f t="shared" si="48"/>
        <v>0</v>
      </c>
      <c r="AV40" s="125"/>
      <c r="AW40" s="120">
        <f t="shared" si="49"/>
        <v>0</v>
      </c>
    </row>
    <row r="41" spans="1:49" hidden="1" outlineLevel="1">
      <c r="A41" s="114"/>
      <c r="B41" s="115"/>
      <c r="C41" s="115"/>
      <c r="D41" s="116"/>
      <c r="E41" s="117">
        <f t="shared" si="29"/>
        <v>0</v>
      </c>
      <c r="F41" s="117"/>
      <c r="G41" s="117"/>
      <c r="H41" s="117"/>
      <c r="I41" s="117"/>
      <c r="J41" s="117">
        <f t="shared" si="30"/>
        <v>0</v>
      </c>
      <c r="K41" s="114"/>
      <c r="L41" s="114"/>
      <c r="M41" s="114"/>
      <c r="N41" s="114"/>
      <c r="O41" s="117">
        <f t="shared" si="31"/>
        <v>0</v>
      </c>
      <c r="P41" s="117">
        <f t="shared" si="32"/>
        <v>0</v>
      </c>
      <c r="Q41" s="118"/>
      <c r="R41" s="118"/>
      <c r="S41" s="117">
        <f t="shared" si="33"/>
        <v>0</v>
      </c>
      <c r="T41" s="117"/>
      <c r="U41" s="117"/>
      <c r="V41" s="117">
        <f t="shared" si="34"/>
        <v>0</v>
      </c>
      <c r="W41" s="118"/>
      <c r="X41" s="118"/>
      <c r="Y41" s="117">
        <f t="shared" si="35"/>
        <v>0</v>
      </c>
      <c r="Z41" s="117">
        <f t="shared" si="36"/>
        <v>0</v>
      </c>
      <c r="AA41" s="119">
        <f t="shared" si="50"/>
        <v>0</v>
      </c>
      <c r="AB41" s="117">
        <f t="shared" si="37"/>
        <v>0</v>
      </c>
      <c r="AC41" s="118"/>
      <c r="AD41" s="119">
        <f t="shared" si="38"/>
        <v>0</v>
      </c>
      <c r="AE41" s="118"/>
      <c r="AF41" s="118"/>
      <c r="AG41" s="118"/>
      <c r="AH41" s="118"/>
      <c r="AI41" s="152">
        <f t="shared" si="39"/>
        <v>0</v>
      </c>
      <c r="AJ41" s="118"/>
      <c r="AK41" s="120">
        <f t="shared" si="40"/>
        <v>0</v>
      </c>
      <c r="AL41" s="121">
        <f t="shared" si="41"/>
        <v>0</v>
      </c>
      <c r="AM41" s="122"/>
      <c r="AN41" s="123">
        <f t="shared" si="42"/>
        <v>0</v>
      </c>
      <c r="AO41" s="124">
        <f t="shared" si="43"/>
        <v>0</v>
      </c>
      <c r="AP41" s="124">
        <f t="shared" si="44"/>
        <v>0</v>
      </c>
      <c r="AQ41" s="124">
        <f t="shared" si="45"/>
        <v>0</v>
      </c>
      <c r="AR41" s="124">
        <f t="shared" si="46"/>
        <v>0</v>
      </c>
      <c r="AS41" s="124">
        <f t="array" ref="AS41">_xlfn.IFS(S41=0,AL41,S41&lt;0,AL41/-S41,S41&gt;0,AL41/S41)</f>
        <v>0</v>
      </c>
      <c r="AT41" s="119">
        <f t="shared" si="47"/>
        <v>0</v>
      </c>
      <c r="AU41" s="119">
        <f t="shared" si="48"/>
        <v>0</v>
      </c>
      <c r="AV41" s="125"/>
      <c r="AW41" s="120">
        <f t="shared" si="49"/>
        <v>0</v>
      </c>
    </row>
    <row r="42" spans="1:49" hidden="1" outlineLevel="1">
      <c r="A42" s="114"/>
      <c r="B42" s="115"/>
      <c r="C42" s="115"/>
      <c r="D42" s="116"/>
      <c r="E42" s="117">
        <f t="shared" si="29"/>
        <v>0</v>
      </c>
      <c r="F42" s="117"/>
      <c r="G42" s="117"/>
      <c r="H42" s="117"/>
      <c r="I42" s="117"/>
      <c r="J42" s="117">
        <f t="shared" si="30"/>
        <v>0</v>
      </c>
      <c r="K42" s="114"/>
      <c r="L42" s="114"/>
      <c r="M42" s="114"/>
      <c r="N42" s="114"/>
      <c r="O42" s="117">
        <f t="shared" si="31"/>
        <v>0</v>
      </c>
      <c r="P42" s="117">
        <f t="shared" si="32"/>
        <v>0</v>
      </c>
      <c r="Q42" s="118"/>
      <c r="R42" s="118"/>
      <c r="S42" s="117">
        <f t="shared" si="33"/>
        <v>0</v>
      </c>
      <c r="T42" s="117"/>
      <c r="U42" s="117"/>
      <c r="V42" s="117">
        <f t="shared" si="34"/>
        <v>0</v>
      </c>
      <c r="W42" s="118"/>
      <c r="X42" s="118"/>
      <c r="Y42" s="117">
        <f t="shared" si="35"/>
        <v>0</v>
      </c>
      <c r="Z42" s="117">
        <f t="shared" si="36"/>
        <v>0</v>
      </c>
      <c r="AA42" s="119">
        <f t="shared" si="50"/>
        <v>0</v>
      </c>
      <c r="AB42" s="117">
        <f t="shared" si="37"/>
        <v>0</v>
      </c>
      <c r="AC42" s="118"/>
      <c r="AD42" s="119">
        <f t="shared" si="38"/>
        <v>0</v>
      </c>
      <c r="AE42" s="118"/>
      <c r="AF42" s="118"/>
      <c r="AG42" s="118"/>
      <c r="AH42" s="118"/>
      <c r="AI42" s="152">
        <f t="shared" si="39"/>
        <v>0</v>
      </c>
      <c r="AJ42" s="118"/>
      <c r="AK42" s="120">
        <f t="shared" si="40"/>
        <v>0</v>
      </c>
      <c r="AL42" s="121">
        <f t="shared" si="41"/>
        <v>0</v>
      </c>
      <c r="AM42" s="122"/>
      <c r="AN42" s="123">
        <f t="shared" si="42"/>
        <v>0</v>
      </c>
      <c r="AO42" s="124">
        <f t="shared" si="43"/>
        <v>0</v>
      </c>
      <c r="AP42" s="124">
        <f t="shared" si="44"/>
        <v>0</v>
      </c>
      <c r="AQ42" s="124">
        <f t="shared" si="45"/>
        <v>0</v>
      </c>
      <c r="AR42" s="124">
        <f t="shared" si="46"/>
        <v>0</v>
      </c>
      <c r="AS42" s="124">
        <f t="array" ref="AS42">_xlfn.IFS(S42=0,AL42,S42&lt;0,AL42/-S42,S42&gt;0,AL42/S42)</f>
        <v>0</v>
      </c>
      <c r="AT42" s="119">
        <f t="shared" si="47"/>
        <v>0</v>
      </c>
      <c r="AU42" s="119">
        <f t="shared" si="48"/>
        <v>0</v>
      </c>
      <c r="AV42" s="125"/>
      <c r="AW42" s="120">
        <f t="shared" si="49"/>
        <v>0</v>
      </c>
    </row>
    <row r="43" spans="1:49" hidden="1" outlineLevel="1">
      <c r="A43" s="114"/>
      <c r="B43" s="115"/>
      <c r="C43" s="115"/>
      <c r="D43" s="116"/>
      <c r="E43" s="117">
        <f t="shared" si="29"/>
        <v>0</v>
      </c>
      <c r="F43" s="117"/>
      <c r="G43" s="117"/>
      <c r="H43" s="117"/>
      <c r="I43" s="117"/>
      <c r="J43" s="117">
        <f t="shared" si="30"/>
        <v>0</v>
      </c>
      <c r="K43" s="114"/>
      <c r="L43" s="114"/>
      <c r="M43" s="114"/>
      <c r="N43" s="114"/>
      <c r="O43" s="117">
        <f t="shared" si="31"/>
        <v>0</v>
      </c>
      <c r="P43" s="117">
        <f t="shared" si="32"/>
        <v>0</v>
      </c>
      <c r="Q43" s="118"/>
      <c r="R43" s="118"/>
      <c r="S43" s="117">
        <f t="shared" si="33"/>
        <v>0</v>
      </c>
      <c r="T43" s="117"/>
      <c r="U43" s="117"/>
      <c r="V43" s="117">
        <f t="shared" si="34"/>
        <v>0</v>
      </c>
      <c r="W43" s="118"/>
      <c r="X43" s="118"/>
      <c r="Y43" s="117">
        <f t="shared" si="35"/>
        <v>0</v>
      </c>
      <c r="Z43" s="117">
        <f t="shared" si="36"/>
        <v>0</v>
      </c>
      <c r="AA43" s="119">
        <f t="shared" si="50"/>
        <v>0</v>
      </c>
      <c r="AB43" s="117">
        <f t="shared" si="37"/>
        <v>0</v>
      </c>
      <c r="AC43" s="118"/>
      <c r="AD43" s="119">
        <f t="shared" si="38"/>
        <v>0</v>
      </c>
      <c r="AE43" s="118"/>
      <c r="AF43" s="118"/>
      <c r="AG43" s="118"/>
      <c r="AH43" s="118"/>
      <c r="AI43" s="152">
        <f t="shared" si="39"/>
        <v>0</v>
      </c>
      <c r="AJ43" s="118"/>
      <c r="AK43" s="120">
        <f t="shared" si="40"/>
        <v>0</v>
      </c>
      <c r="AL43" s="121">
        <f t="shared" si="41"/>
        <v>0</v>
      </c>
      <c r="AM43" s="122"/>
      <c r="AN43" s="123">
        <f t="shared" si="42"/>
        <v>0</v>
      </c>
      <c r="AO43" s="124">
        <f t="shared" si="43"/>
        <v>0</v>
      </c>
      <c r="AP43" s="124">
        <f t="shared" si="44"/>
        <v>0</v>
      </c>
      <c r="AQ43" s="124">
        <f t="shared" si="45"/>
        <v>0</v>
      </c>
      <c r="AR43" s="124">
        <f t="shared" si="46"/>
        <v>0</v>
      </c>
      <c r="AS43" s="124">
        <f t="array" ref="AS43">_xlfn.IFS(S43=0,AL43,S43&lt;0,AL43/-S43,S43&gt;0,AL43/S43)</f>
        <v>0</v>
      </c>
      <c r="AT43" s="119">
        <f t="shared" si="47"/>
        <v>0</v>
      </c>
      <c r="AU43" s="119">
        <f t="shared" si="48"/>
        <v>0</v>
      </c>
      <c r="AV43" s="125"/>
      <c r="AW43" s="120">
        <f t="shared" si="49"/>
        <v>0</v>
      </c>
    </row>
    <row r="44" spans="1:49" hidden="1" outlineLevel="1">
      <c r="A44" s="114"/>
      <c r="B44" s="115"/>
      <c r="C44" s="115"/>
      <c r="D44" s="149"/>
      <c r="E44" s="118">
        <f t="shared" si="29"/>
        <v>0</v>
      </c>
      <c r="F44" s="117"/>
      <c r="G44" s="117"/>
      <c r="H44" s="117"/>
      <c r="I44" s="117"/>
      <c r="J44" s="117">
        <f t="shared" si="30"/>
        <v>0</v>
      </c>
      <c r="K44" s="114"/>
      <c r="L44" s="114"/>
      <c r="M44" s="114"/>
      <c r="N44" s="114"/>
      <c r="O44" s="117">
        <f t="shared" si="31"/>
        <v>0</v>
      </c>
      <c r="P44" s="117">
        <f t="shared" si="32"/>
        <v>0</v>
      </c>
      <c r="Q44" s="118"/>
      <c r="R44" s="118"/>
      <c r="S44" s="117">
        <f t="shared" si="33"/>
        <v>0</v>
      </c>
      <c r="T44" s="117"/>
      <c r="U44" s="117"/>
      <c r="V44" s="117">
        <f t="shared" si="34"/>
        <v>0</v>
      </c>
      <c r="W44" s="118"/>
      <c r="X44" s="118"/>
      <c r="Y44" s="117">
        <f t="shared" si="35"/>
        <v>0</v>
      </c>
      <c r="Z44" s="117">
        <f t="shared" si="36"/>
        <v>0</v>
      </c>
      <c r="AA44" s="119">
        <f t="shared" si="50"/>
        <v>0</v>
      </c>
      <c r="AB44" s="117">
        <f t="shared" si="37"/>
        <v>0</v>
      </c>
      <c r="AC44" s="118"/>
      <c r="AD44" s="119">
        <f t="shared" si="38"/>
        <v>0</v>
      </c>
      <c r="AE44" s="118"/>
      <c r="AF44" s="118"/>
      <c r="AG44" s="118"/>
      <c r="AH44" s="118"/>
      <c r="AI44" s="152">
        <f t="shared" si="39"/>
        <v>0</v>
      </c>
      <c r="AJ44" s="118"/>
      <c r="AK44" s="120">
        <f t="shared" si="40"/>
        <v>0</v>
      </c>
      <c r="AL44" s="121">
        <f t="shared" si="41"/>
        <v>0</v>
      </c>
      <c r="AM44" s="122"/>
      <c r="AN44" s="123">
        <f t="shared" si="42"/>
        <v>0</v>
      </c>
      <c r="AO44" s="124">
        <f t="shared" si="43"/>
        <v>0</v>
      </c>
      <c r="AP44" s="124">
        <f t="shared" si="44"/>
        <v>0</v>
      </c>
      <c r="AQ44" s="124">
        <f t="shared" si="45"/>
        <v>0</v>
      </c>
      <c r="AR44" s="124">
        <f t="shared" si="46"/>
        <v>0</v>
      </c>
      <c r="AS44" s="124">
        <f t="array" ref="AS44">_xlfn.IFS(S44=0,AL44,S44&lt;0,AL44/-S44,S44&gt;0,AL44/S44)</f>
        <v>0</v>
      </c>
      <c r="AT44" s="119">
        <f t="shared" si="47"/>
        <v>0</v>
      </c>
      <c r="AU44" s="119">
        <f t="shared" si="48"/>
        <v>0</v>
      </c>
      <c r="AV44" s="125"/>
      <c r="AW44" s="120">
        <f t="shared" si="49"/>
        <v>0</v>
      </c>
    </row>
    <row r="45" spans="1:49" hidden="1" outlineLevel="1">
      <c r="A45" s="114"/>
      <c r="B45" s="115"/>
      <c r="C45" s="115"/>
      <c r="D45" s="149"/>
      <c r="E45" s="118">
        <f t="shared" si="29"/>
        <v>0</v>
      </c>
      <c r="F45" s="117"/>
      <c r="G45" s="117"/>
      <c r="H45" s="117"/>
      <c r="I45" s="117"/>
      <c r="J45" s="117">
        <f t="shared" si="30"/>
        <v>0</v>
      </c>
      <c r="K45" s="114"/>
      <c r="L45" s="114"/>
      <c r="M45" s="114"/>
      <c r="N45" s="114"/>
      <c r="O45" s="117">
        <f t="shared" si="31"/>
        <v>0</v>
      </c>
      <c r="P45" s="117">
        <f t="shared" si="32"/>
        <v>0</v>
      </c>
      <c r="Q45" s="118"/>
      <c r="R45" s="118"/>
      <c r="S45" s="117">
        <f t="shared" si="33"/>
        <v>0</v>
      </c>
      <c r="T45" s="117"/>
      <c r="U45" s="117"/>
      <c r="V45" s="117">
        <f t="shared" si="34"/>
        <v>0</v>
      </c>
      <c r="W45" s="118"/>
      <c r="X45" s="118"/>
      <c r="Y45" s="117">
        <f t="shared" si="35"/>
        <v>0</v>
      </c>
      <c r="Z45" s="117">
        <f t="shared" si="36"/>
        <v>0</v>
      </c>
      <c r="AA45" s="119">
        <f t="shared" si="50"/>
        <v>0</v>
      </c>
      <c r="AB45" s="117">
        <f t="shared" si="37"/>
        <v>0</v>
      </c>
      <c r="AC45" s="118"/>
      <c r="AD45" s="119">
        <f t="shared" si="38"/>
        <v>0</v>
      </c>
      <c r="AE45" s="118"/>
      <c r="AF45" s="118"/>
      <c r="AG45" s="118"/>
      <c r="AH45" s="118"/>
      <c r="AI45" s="152">
        <f t="shared" si="39"/>
        <v>0</v>
      </c>
      <c r="AJ45" s="118"/>
      <c r="AK45" s="120">
        <f t="shared" si="40"/>
        <v>0</v>
      </c>
      <c r="AL45" s="121">
        <f t="shared" si="41"/>
        <v>0</v>
      </c>
      <c r="AM45" s="122"/>
      <c r="AN45" s="123">
        <f t="shared" si="42"/>
        <v>0</v>
      </c>
      <c r="AO45" s="124">
        <f t="shared" si="43"/>
        <v>0</v>
      </c>
      <c r="AP45" s="124">
        <f t="shared" si="44"/>
        <v>0</v>
      </c>
      <c r="AQ45" s="124">
        <f t="shared" si="45"/>
        <v>0</v>
      </c>
      <c r="AR45" s="124">
        <f t="shared" si="46"/>
        <v>0</v>
      </c>
      <c r="AS45" s="124">
        <f t="array" ref="AS45">_xlfn.IFS(S45=0,AL45,S45&lt;0,AL45/-S45,S45&gt;0,AL45/S45)</f>
        <v>0</v>
      </c>
      <c r="AT45" s="119">
        <f t="shared" si="47"/>
        <v>0</v>
      </c>
      <c r="AU45" s="119">
        <f t="shared" si="48"/>
        <v>0</v>
      </c>
      <c r="AV45" s="125"/>
      <c r="AW45" s="120">
        <f t="shared" si="49"/>
        <v>0</v>
      </c>
    </row>
    <row r="46" spans="1:49" hidden="1" outlineLevel="1">
      <c r="A46" s="114"/>
      <c r="B46" s="115"/>
      <c r="C46" s="115"/>
      <c r="D46" s="149"/>
      <c r="E46" s="118">
        <f t="shared" si="29"/>
        <v>0</v>
      </c>
      <c r="F46" s="117"/>
      <c r="G46" s="117"/>
      <c r="H46" s="117"/>
      <c r="I46" s="117"/>
      <c r="J46" s="117">
        <f t="shared" si="30"/>
        <v>0</v>
      </c>
      <c r="K46" s="114"/>
      <c r="L46" s="114"/>
      <c r="M46" s="114"/>
      <c r="N46" s="114"/>
      <c r="O46" s="117">
        <f t="shared" si="31"/>
        <v>0</v>
      </c>
      <c r="P46" s="117">
        <f t="shared" si="32"/>
        <v>0</v>
      </c>
      <c r="Q46" s="118"/>
      <c r="R46" s="118"/>
      <c r="S46" s="117">
        <f t="shared" si="33"/>
        <v>0</v>
      </c>
      <c r="T46" s="117"/>
      <c r="U46" s="117"/>
      <c r="V46" s="117">
        <f t="shared" si="34"/>
        <v>0</v>
      </c>
      <c r="W46" s="118"/>
      <c r="X46" s="118"/>
      <c r="Y46" s="117">
        <f t="shared" si="35"/>
        <v>0</v>
      </c>
      <c r="Z46" s="117">
        <f t="shared" si="36"/>
        <v>0</v>
      </c>
      <c r="AA46" s="119">
        <f t="shared" si="50"/>
        <v>0</v>
      </c>
      <c r="AB46" s="117">
        <f t="shared" si="37"/>
        <v>0</v>
      </c>
      <c r="AC46" s="118"/>
      <c r="AD46" s="119">
        <f t="shared" si="38"/>
        <v>0</v>
      </c>
      <c r="AE46" s="118"/>
      <c r="AF46" s="118"/>
      <c r="AG46" s="118"/>
      <c r="AH46" s="118"/>
      <c r="AI46" s="152">
        <f t="shared" si="39"/>
        <v>0</v>
      </c>
      <c r="AJ46" s="118"/>
      <c r="AK46" s="120">
        <f t="shared" si="40"/>
        <v>0</v>
      </c>
      <c r="AL46" s="121">
        <f t="shared" si="41"/>
        <v>0</v>
      </c>
      <c r="AM46" s="122"/>
      <c r="AN46" s="123">
        <f t="shared" si="42"/>
        <v>0</v>
      </c>
      <c r="AO46" s="124">
        <f t="shared" si="43"/>
        <v>0</v>
      </c>
      <c r="AP46" s="124">
        <f t="shared" si="44"/>
        <v>0</v>
      </c>
      <c r="AQ46" s="124">
        <f t="shared" si="45"/>
        <v>0</v>
      </c>
      <c r="AR46" s="124">
        <f t="shared" si="46"/>
        <v>0</v>
      </c>
      <c r="AS46" s="124">
        <f t="array" ref="AS46">_xlfn.IFS(S46=0,AL46,S46&lt;0,AL46/-S46,S46&gt;0,AL46/S46)</f>
        <v>0</v>
      </c>
      <c r="AT46" s="119">
        <f t="shared" si="47"/>
        <v>0</v>
      </c>
      <c r="AU46" s="119">
        <f t="shared" si="48"/>
        <v>0</v>
      </c>
      <c r="AV46" s="125"/>
      <c r="AW46" s="120">
        <f t="shared" si="49"/>
        <v>0</v>
      </c>
    </row>
    <row r="47" spans="1:49" hidden="1" outlineLevel="1">
      <c r="A47" s="114"/>
      <c r="B47" s="115"/>
      <c r="C47" s="115"/>
      <c r="D47" s="116"/>
      <c r="E47" s="117">
        <f t="shared" si="29"/>
        <v>0</v>
      </c>
      <c r="F47" s="117"/>
      <c r="G47" s="117"/>
      <c r="H47" s="117"/>
      <c r="I47" s="117"/>
      <c r="J47" s="117">
        <f t="shared" si="30"/>
        <v>0</v>
      </c>
      <c r="K47" s="114"/>
      <c r="L47" s="114"/>
      <c r="M47" s="114"/>
      <c r="N47" s="114"/>
      <c r="O47" s="117">
        <f t="shared" si="31"/>
        <v>0</v>
      </c>
      <c r="P47" s="117">
        <f t="shared" si="32"/>
        <v>0</v>
      </c>
      <c r="Q47" s="118"/>
      <c r="R47" s="118"/>
      <c r="S47" s="117">
        <f t="shared" si="33"/>
        <v>0</v>
      </c>
      <c r="T47" s="117"/>
      <c r="U47" s="117"/>
      <c r="V47" s="117">
        <f t="shared" si="34"/>
        <v>0</v>
      </c>
      <c r="W47" s="118"/>
      <c r="X47" s="118"/>
      <c r="Y47" s="117">
        <f t="shared" si="35"/>
        <v>0</v>
      </c>
      <c r="Z47" s="117">
        <f t="shared" si="36"/>
        <v>0</v>
      </c>
      <c r="AA47" s="119">
        <f t="shared" si="50"/>
        <v>0</v>
      </c>
      <c r="AB47" s="117">
        <f t="shared" si="37"/>
        <v>0</v>
      </c>
      <c r="AC47" s="118"/>
      <c r="AD47" s="119">
        <f t="shared" si="38"/>
        <v>0</v>
      </c>
      <c r="AE47" s="118"/>
      <c r="AF47" s="118"/>
      <c r="AG47" s="118"/>
      <c r="AH47" s="118"/>
      <c r="AI47" s="152">
        <f t="shared" si="39"/>
        <v>0</v>
      </c>
      <c r="AJ47" s="118"/>
      <c r="AK47" s="120">
        <f t="shared" si="40"/>
        <v>0</v>
      </c>
      <c r="AL47" s="121">
        <f t="shared" si="41"/>
        <v>0</v>
      </c>
      <c r="AM47" s="122"/>
      <c r="AN47" s="123">
        <f t="shared" si="42"/>
        <v>0</v>
      </c>
      <c r="AO47" s="124">
        <f t="shared" si="43"/>
        <v>0</v>
      </c>
      <c r="AP47" s="124">
        <f t="shared" si="44"/>
        <v>0</v>
      </c>
      <c r="AQ47" s="124">
        <f t="shared" si="45"/>
        <v>0</v>
      </c>
      <c r="AR47" s="124">
        <f t="shared" si="46"/>
        <v>0</v>
      </c>
      <c r="AS47" s="124">
        <f t="array" ref="AS47">_xlfn.IFS(S47=0,AL47,S47&lt;0,AL47/-S47,S47&gt;0,AL47/S47)</f>
        <v>0</v>
      </c>
      <c r="AT47" s="119">
        <f t="shared" si="47"/>
        <v>0</v>
      </c>
      <c r="AU47" s="119">
        <f t="shared" si="48"/>
        <v>0</v>
      </c>
      <c r="AV47" s="125"/>
      <c r="AW47" s="120">
        <f t="shared" si="49"/>
        <v>0</v>
      </c>
    </row>
    <row r="48" spans="1:49" hidden="1" outlineLevel="1">
      <c r="A48" s="114"/>
      <c r="B48" s="115"/>
      <c r="C48" s="115"/>
      <c r="D48" s="116"/>
      <c r="E48" s="117">
        <f t="shared" si="29"/>
        <v>0</v>
      </c>
      <c r="F48" s="117"/>
      <c r="G48" s="117"/>
      <c r="H48" s="117"/>
      <c r="I48" s="117"/>
      <c r="J48" s="117">
        <f t="shared" si="30"/>
        <v>0</v>
      </c>
      <c r="K48" s="114"/>
      <c r="L48" s="114"/>
      <c r="M48" s="114"/>
      <c r="N48" s="114"/>
      <c r="O48" s="117">
        <f t="shared" si="31"/>
        <v>0</v>
      </c>
      <c r="P48" s="117">
        <f t="shared" si="32"/>
        <v>0</v>
      </c>
      <c r="Q48" s="118"/>
      <c r="R48" s="118"/>
      <c r="S48" s="117">
        <f t="shared" si="33"/>
        <v>0</v>
      </c>
      <c r="T48" s="117"/>
      <c r="U48" s="117"/>
      <c r="V48" s="117">
        <f t="shared" si="34"/>
        <v>0</v>
      </c>
      <c r="W48" s="118"/>
      <c r="X48" s="118"/>
      <c r="Y48" s="117">
        <f t="shared" si="35"/>
        <v>0</v>
      </c>
      <c r="Z48" s="117">
        <f t="shared" si="36"/>
        <v>0</v>
      </c>
      <c r="AA48" s="119">
        <f t="shared" si="50"/>
        <v>0</v>
      </c>
      <c r="AB48" s="117">
        <f t="shared" si="37"/>
        <v>0</v>
      </c>
      <c r="AC48" s="118"/>
      <c r="AD48" s="119">
        <f t="shared" si="38"/>
        <v>0</v>
      </c>
      <c r="AE48" s="118"/>
      <c r="AF48" s="118"/>
      <c r="AG48" s="118"/>
      <c r="AH48" s="118"/>
      <c r="AI48" s="152">
        <f t="shared" si="39"/>
        <v>0</v>
      </c>
      <c r="AJ48" s="118"/>
      <c r="AK48" s="120">
        <f t="shared" si="40"/>
        <v>0</v>
      </c>
      <c r="AL48" s="121">
        <f t="shared" si="41"/>
        <v>0</v>
      </c>
      <c r="AM48" s="122"/>
      <c r="AN48" s="123">
        <f t="shared" si="42"/>
        <v>0</v>
      </c>
      <c r="AO48" s="124">
        <f t="shared" si="43"/>
        <v>0</v>
      </c>
      <c r="AP48" s="124">
        <f t="shared" si="44"/>
        <v>0</v>
      </c>
      <c r="AQ48" s="124">
        <f t="shared" si="45"/>
        <v>0</v>
      </c>
      <c r="AR48" s="124">
        <f t="shared" si="46"/>
        <v>0</v>
      </c>
      <c r="AS48" s="124">
        <f t="array" ref="AS48">_xlfn.IFS(S48=0,AL48,S48&lt;0,AL48/-S48,S48&gt;0,AL48/S48)</f>
        <v>0</v>
      </c>
      <c r="AT48" s="119">
        <f t="shared" si="47"/>
        <v>0</v>
      </c>
      <c r="AU48" s="119">
        <f t="shared" si="48"/>
        <v>0</v>
      </c>
      <c r="AV48" s="125"/>
      <c r="AW48" s="120">
        <f t="shared" si="49"/>
        <v>0</v>
      </c>
    </row>
    <row r="49" spans="1:49" hidden="1" outlineLevel="1">
      <c r="A49" s="114"/>
      <c r="B49" s="115"/>
      <c r="C49" s="115"/>
      <c r="D49" s="116"/>
      <c r="E49" s="117">
        <f t="shared" si="29"/>
        <v>0</v>
      </c>
      <c r="F49" s="117"/>
      <c r="G49" s="117"/>
      <c r="H49" s="117"/>
      <c r="I49" s="117"/>
      <c r="J49" s="117">
        <f t="shared" si="30"/>
        <v>0</v>
      </c>
      <c r="K49" s="114"/>
      <c r="L49" s="114"/>
      <c r="M49" s="114"/>
      <c r="N49" s="114"/>
      <c r="O49" s="117">
        <f t="shared" si="31"/>
        <v>0</v>
      </c>
      <c r="P49" s="117">
        <f t="shared" si="32"/>
        <v>0</v>
      </c>
      <c r="Q49" s="118"/>
      <c r="R49" s="118"/>
      <c r="S49" s="117">
        <f t="shared" si="33"/>
        <v>0</v>
      </c>
      <c r="T49" s="117"/>
      <c r="U49" s="117"/>
      <c r="V49" s="117">
        <f t="shared" si="34"/>
        <v>0</v>
      </c>
      <c r="W49" s="118"/>
      <c r="X49" s="118"/>
      <c r="Y49" s="117">
        <f t="shared" si="35"/>
        <v>0</v>
      </c>
      <c r="Z49" s="117">
        <f t="shared" si="36"/>
        <v>0</v>
      </c>
      <c r="AA49" s="119">
        <f t="shared" si="50"/>
        <v>0</v>
      </c>
      <c r="AB49" s="117">
        <f t="shared" si="37"/>
        <v>0</v>
      </c>
      <c r="AC49" s="118"/>
      <c r="AD49" s="119">
        <f t="shared" si="38"/>
        <v>0</v>
      </c>
      <c r="AE49" s="118"/>
      <c r="AF49" s="118"/>
      <c r="AG49" s="118"/>
      <c r="AH49" s="118"/>
      <c r="AI49" s="152">
        <f t="shared" si="39"/>
        <v>0</v>
      </c>
      <c r="AJ49" s="118"/>
      <c r="AK49" s="120">
        <f t="shared" si="40"/>
        <v>0</v>
      </c>
      <c r="AL49" s="121">
        <f t="shared" si="41"/>
        <v>0</v>
      </c>
      <c r="AM49" s="122"/>
      <c r="AN49" s="123">
        <f t="shared" si="42"/>
        <v>0</v>
      </c>
      <c r="AO49" s="124">
        <f t="shared" si="43"/>
        <v>0</v>
      </c>
      <c r="AP49" s="124">
        <f t="shared" si="44"/>
        <v>0</v>
      </c>
      <c r="AQ49" s="124">
        <f t="shared" si="45"/>
        <v>0</v>
      </c>
      <c r="AR49" s="124">
        <f t="shared" si="46"/>
        <v>0</v>
      </c>
      <c r="AS49" s="124">
        <f t="array" ref="AS49">_xlfn.IFS(S49=0,AL49,S49&lt;0,AL49/-S49,S49&gt;0,AL49/S49)</f>
        <v>0</v>
      </c>
      <c r="AT49" s="119">
        <f t="shared" si="47"/>
        <v>0</v>
      </c>
      <c r="AU49" s="119">
        <f t="shared" si="48"/>
        <v>0</v>
      </c>
      <c r="AV49" s="125"/>
      <c r="AW49" s="120">
        <f t="shared" si="49"/>
        <v>0</v>
      </c>
    </row>
    <row r="50" spans="1:49" hidden="1" outlineLevel="1">
      <c r="A50" s="114"/>
      <c r="B50" s="115"/>
      <c r="C50" s="115"/>
      <c r="D50" s="116"/>
      <c r="E50" s="117">
        <f t="shared" si="29"/>
        <v>0</v>
      </c>
      <c r="F50" s="117"/>
      <c r="G50" s="117"/>
      <c r="H50" s="117"/>
      <c r="I50" s="117"/>
      <c r="J50" s="117">
        <f t="shared" si="30"/>
        <v>0</v>
      </c>
      <c r="K50" s="114"/>
      <c r="L50" s="114"/>
      <c r="M50" s="114"/>
      <c r="N50" s="114"/>
      <c r="O50" s="117">
        <f t="shared" si="31"/>
        <v>0</v>
      </c>
      <c r="P50" s="117">
        <f t="shared" si="32"/>
        <v>0</v>
      </c>
      <c r="Q50" s="118"/>
      <c r="R50" s="118"/>
      <c r="S50" s="117">
        <f t="shared" si="33"/>
        <v>0</v>
      </c>
      <c r="T50" s="117"/>
      <c r="U50" s="117"/>
      <c r="V50" s="117">
        <f t="shared" si="34"/>
        <v>0</v>
      </c>
      <c r="W50" s="118"/>
      <c r="X50" s="118"/>
      <c r="Y50" s="117">
        <f t="shared" si="35"/>
        <v>0</v>
      </c>
      <c r="Z50" s="117">
        <f t="shared" si="36"/>
        <v>0</v>
      </c>
      <c r="AA50" s="119">
        <f t="shared" si="50"/>
        <v>0</v>
      </c>
      <c r="AB50" s="117">
        <f t="shared" si="37"/>
        <v>0</v>
      </c>
      <c r="AC50" s="118"/>
      <c r="AD50" s="119">
        <f t="shared" si="38"/>
        <v>0</v>
      </c>
      <c r="AE50" s="118"/>
      <c r="AF50" s="118"/>
      <c r="AG50" s="118"/>
      <c r="AH50" s="118"/>
      <c r="AI50" s="152">
        <f t="shared" si="39"/>
        <v>0</v>
      </c>
      <c r="AJ50" s="118"/>
      <c r="AK50" s="120">
        <f t="shared" si="40"/>
        <v>0</v>
      </c>
      <c r="AL50" s="121">
        <f t="shared" si="41"/>
        <v>0</v>
      </c>
      <c r="AM50" s="122"/>
      <c r="AN50" s="123">
        <f t="shared" si="42"/>
        <v>0</v>
      </c>
      <c r="AO50" s="124">
        <f t="shared" si="43"/>
        <v>0</v>
      </c>
      <c r="AP50" s="124">
        <f t="shared" si="44"/>
        <v>0</v>
      </c>
      <c r="AQ50" s="124">
        <f t="shared" si="45"/>
        <v>0</v>
      </c>
      <c r="AR50" s="124">
        <f t="shared" si="46"/>
        <v>0</v>
      </c>
      <c r="AS50" s="124">
        <f t="array" ref="AS50">_xlfn.IFS(S50=0,AL50,S50&lt;0,AL50/-S50,S50&gt;0,AL50/S50)</f>
        <v>0</v>
      </c>
      <c r="AT50" s="119">
        <f t="shared" si="47"/>
        <v>0</v>
      </c>
      <c r="AU50" s="119">
        <f t="shared" si="48"/>
        <v>0</v>
      </c>
      <c r="AV50" s="125"/>
      <c r="AW50" s="120">
        <f t="shared" si="49"/>
        <v>0</v>
      </c>
    </row>
    <row r="51" spans="1:49" hidden="1" outlineLevel="1">
      <c r="A51" s="114"/>
      <c r="B51" s="115"/>
      <c r="C51" s="115"/>
      <c r="D51" s="116"/>
      <c r="E51" s="117">
        <f t="shared" ref="E51:E70" si="51">SUM(F51:H51)</f>
        <v>0</v>
      </c>
      <c r="F51" s="117"/>
      <c r="G51" s="117"/>
      <c r="H51" s="117"/>
      <c r="I51" s="117"/>
      <c r="J51" s="117">
        <f t="shared" ref="J51:J70" si="52">E51*I51</f>
        <v>0</v>
      </c>
      <c r="K51" s="114"/>
      <c r="L51" s="114"/>
      <c r="M51" s="114"/>
      <c r="N51" s="114"/>
      <c r="O51" s="117">
        <f t="shared" si="31"/>
        <v>0</v>
      </c>
      <c r="P51" s="117">
        <f t="shared" si="32"/>
        <v>0</v>
      </c>
      <c r="Q51" s="118"/>
      <c r="R51" s="118"/>
      <c r="S51" s="117">
        <f t="shared" si="33"/>
        <v>0</v>
      </c>
      <c r="T51" s="117"/>
      <c r="U51" s="117"/>
      <c r="V51" s="117">
        <f t="shared" si="34"/>
        <v>0</v>
      </c>
      <c r="W51" s="118"/>
      <c r="X51" s="118"/>
      <c r="Y51" s="117">
        <f t="shared" si="35"/>
        <v>0</v>
      </c>
      <c r="Z51" s="117">
        <f t="shared" si="36"/>
        <v>0</v>
      </c>
      <c r="AA51" s="119">
        <f t="shared" si="50"/>
        <v>0</v>
      </c>
      <c r="AB51" s="117">
        <f t="shared" si="37"/>
        <v>0</v>
      </c>
      <c r="AC51" s="118"/>
      <c r="AD51" s="119">
        <f t="shared" si="38"/>
        <v>0</v>
      </c>
      <c r="AE51" s="118"/>
      <c r="AF51" s="118"/>
      <c r="AG51" s="118"/>
      <c r="AH51" s="118"/>
      <c r="AI51" s="152">
        <f t="shared" ref="AI51:AI70" si="53">$AI$74*H51/$H$74</f>
        <v>0</v>
      </c>
      <c r="AJ51" s="118"/>
      <c r="AK51" s="120">
        <f t="shared" si="40"/>
        <v>0</v>
      </c>
      <c r="AL51" s="121">
        <f t="shared" si="41"/>
        <v>0</v>
      </c>
      <c r="AM51" s="122"/>
      <c r="AN51" s="123">
        <f t="shared" si="42"/>
        <v>0</v>
      </c>
      <c r="AO51" s="124">
        <f t="shared" si="43"/>
        <v>0</v>
      </c>
      <c r="AP51" s="124">
        <f t="shared" si="44"/>
        <v>0</v>
      </c>
      <c r="AQ51" s="124">
        <f t="shared" si="45"/>
        <v>0</v>
      </c>
      <c r="AR51" s="124">
        <f t="shared" si="46"/>
        <v>0</v>
      </c>
      <c r="AS51" s="124">
        <f t="array" ref="AS51">_xlfn.IFS(S51=0,AL51,S51&lt;0,AL51/-S51,S51&gt;0,AL51/S51)</f>
        <v>0</v>
      </c>
      <c r="AT51" s="119">
        <f t="shared" si="47"/>
        <v>0</v>
      </c>
      <c r="AU51" s="119">
        <f t="shared" si="48"/>
        <v>0</v>
      </c>
      <c r="AV51" s="125"/>
      <c r="AW51" s="120">
        <f t="shared" ref="AW51:AW70" si="54">AS51*E51</f>
        <v>0</v>
      </c>
    </row>
    <row r="52" spans="1:49" hidden="1" outlineLevel="1">
      <c r="A52" s="114"/>
      <c r="B52" s="115"/>
      <c r="C52" s="115"/>
      <c r="D52" s="116"/>
      <c r="E52" s="117">
        <f t="shared" si="51"/>
        <v>0</v>
      </c>
      <c r="F52" s="117"/>
      <c r="G52" s="117"/>
      <c r="H52" s="117"/>
      <c r="I52" s="117"/>
      <c r="J52" s="117">
        <f t="shared" si="52"/>
        <v>0</v>
      </c>
      <c r="K52" s="114"/>
      <c r="L52" s="114"/>
      <c r="M52" s="114"/>
      <c r="N52" s="114"/>
      <c r="O52" s="117">
        <f t="shared" si="31"/>
        <v>0</v>
      </c>
      <c r="P52" s="117">
        <f t="shared" si="32"/>
        <v>0</v>
      </c>
      <c r="Q52" s="118"/>
      <c r="R52" s="118"/>
      <c r="S52" s="117">
        <f t="shared" si="33"/>
        <v>0</v>
      </c>
      <c r="T52" s="117"/>
      <c r="U52" s="117"/>
      <c r="V52" s="117">
        <f t="shared" si="34"/>
        <v>0</v>
      </c>
      <c r="W52" s="118"/>
      <c r="X52" s="118"/>
      <c r="Y52" s="117">
        <f t="shared" si="35"/>
        <v>0</v>
      </c>
      <c r="Z52" s="117">
        <f t="shared" si="36"/>
        <v>0</v>
      </c>
      <c r="AA52" s="119">
        <f t="shared" si="50"/>
        <v>0</v>
      </c>
      <c r="AB52" s="117">
        <f t="shared" si="37"/>
        <v>0</v>
      </c>
      <c r="AC52" s="118"/>
      <c r="AD52" s="119">
        <f t="shared" si="38"/>
        <v>0</v>
      </c>
      <c r="AE52" s="118"/>
      <c r="AF52" s="118"/>
      <c r="AG52" s="118"/>
      <c r="AH52" s="118"/>
      <c r="AI52" s="152">
        <f t="shared" si="53"/>
        <v>0</v>
      </c>
      <c r="AJ52" s="118"/>
      <c r="AK52" s="120">
        <f t="shared" si="40"/>
        <v>0</v>
      </c>
      <c r="AL52" s="121">
        <f t="shared" si="41"/>
        <v>0</v>
      </c>
      <c r="AM52" s="122"/>
      <c r="AN52" s="123">
        <f t="shared" si="42"/>
        <v>0</v>
      </c>
      <c r="AO52" s="124">
        <f t="shared" si="43"/>
        <v>0</v>
      </c>
      <c r="AP52" s="124">
        <f t="shared" si="44"/>
        <v>0</v>
      </c>
      <c r="AQ52" s="124">
        <f t="shared" si="45"/>
        <v>0</v>
      </c>
      <c r="AR52" s="124">
        <f t="shared" si="46"/>
        <v>0</v>
      </c>
      <c r="AS52" s="124">
        <f t="array" ref="AS52">_xlfn.IFS(S52=0,AL52,S52&lt;0,AL52/-S52,S52&gt;0,AL52/S52)</f>
        <v>0</v>
      </c>
      <c r="AT52" s="119">
        <f t="shared" si="47"/>
        <v>0</v>
      </c>
      <c r="AU52" s="119">
        <f t="shared" si="48"/>
        <v>0</v>
      </c>
      <c r="AV52" s="125"/>
      <c r="AW52" s="120">
        <f t="shared" si="54"/>
        <v>0</v>
      </c>
    </row>
    <row r="53" spans="1:49" hidden="1" outlineLevel="1">
      <c r="A53" s="114"/>
      <c r="B53" s="115"/>
      <c r="C53" s="115"/>
      <c r="D53" s="116"/>
      <c r="E53" s="117">
        <f t="shared" si="51"/>
        <v>0</v>
      </c>
      <c r="F53" s="117"/>
      <c r="G53" s="117"/>
      <c r="H53" s="117"/>
      <c r="I53" s="117"/>
      <c r="J53" s="117">
        <f t="shared" si="52"/>
        <v>0</v>
      </c>
      <c r="K53" s="114"/>
      <c r="L53" s="114"/>
      <c r="M53" s="114"/>
      <c r="N53" s="114"/>
      <c r="O53" s="117">
        <f t="shared" si="31"/>
        <v>0</v>
      </c>
      <c r="P53" s="117">
        <f t="shared" si="32"/>
        <v>0</v>
      </c>
      <c r="Q53" s="118"/>
      <c r="R53" s="118"/>
      <c r="S53" s="117">
        <f t="shared" si="33"/>
        <v>0</v>
      </c>
      <c r="T53" s="117"/>
      <c r="U53" s="117"/>
      <c r="V53" s="117">
        <f t="shared" si="34"/>
        <v>0</v>
      </c>
      <c r="W53" s="118"/>
      <c r="X53" s="118"/>
      <c r="Y53" s="117">
        <f t="shared" si="35"/>
        <v>0</v>
      </c>
      <c r="Z53" s="117">
        <f t="shared" si="36"/>
        <v>0</v>
      </c>
      <c r="AA53" s="119">
        <f t="shared" si="50"/>
        <v>0</v>
      </c>
      <c r="AB53" s="117">
        <f t="shared" si="37"/>
        <v>0</v>
      </c>
      <c r="AC53" s="118"/>
      <c r="AD53" s="119">
        <f t="shared" si="38"/>
        <v>0</v>
      </c>
      <c r="AE53" s="118"/>
      <c r="AF53" s="118"/>
      <c r="AG53" s="118"/>
      <c r="AH53" s="118"/>
      <c r="AI53" s="152">
        <f t="shared" si="53"/>
        <v>0</v>
      </c>
      <c r="AJ53" s="118"/>
      <c r="AK53" s="120">
        <f t="shared" si="40"/>
        <v>0</v>
      </c>
      <c r="AL53" s="121">
        <f t="shared" si="41"/>
        <v>0</v>
      </c>
      <c r="AM53" s="122"/>
      <c r="AN53" s="123">
        <f t="shared" si="42"/>
        <v>0</v>
      </c>
      <c r="AO53" s="124">
        <f t="shared" si="43"/>
        <v>0</v>
      </c>
      <c r="AP53" s="124">
        <f t="shared" si="44"/>
        <v>0</v>
      </c>
      <c r="AQ53" s="124">
        <f t="shared" si="45"/>
        <v>0</v>
      </c>
      <c r="AR53" s="124">
        <f t="shared" si="46"/>
        <v>0</v>
      </c>
      <c r="AS53" s="124">
        <f t="array" ref="AS53">_xlfn.IFS(S53=0,AL53,S53&lt;0,AL53/-S53,S53&gt;0,AL53/S53)</f>
        <v>0</v>
      </c>
      <c r="AT53" s="119">
        <f t="shared" si="47"/>
        <v>0</v>
      </c>
      <c r="AU53" s="119">
        <f t="shared" si="48"/>
        <v>0</v>
      </c>
      <c r="AV53" s="125"/>
      <c r="AW53" s="120">
        <f t="shared" si="54"/>
        <v>0</v>
      </c>
    </row>
    <row r="54" spans="1:49" hidden="1" outlineLevel="1">
      <c r="A54" s="114"/>
      <c r="B54" s="115"/>
      <c r="C54" s="115"/>
      <c r="D54" s="116"/>
      <c r="E54" s="117">
        <f t="shared" si="51"/>
        <v>0</v>
      </c>
      <c r="F54" s="117"/>
      <c r="G54" s="117"/>
      <c r="H54" s="117"/>
      <c r="I54" s="117"/>
      <c r="J54" s="117">
        <f t="shared" si="52"/>
        <v>0</v>
      </c>
      <c r="K54" s="114"/>
      <c r="L54" s="114"/>
      <c r="M54" s="114"/>
      <c r="N54" s="114"/>
      <c r="O54" s="117">
        <f t="shared" si="31"/>
        <v>0</v>
      </c>
      <c r="P54" s="117">
        <f t="shared" si="32"/>
        <v>0</v>
      </c>
      <c r="Q54" s="118"/>
      <c r="R54" s="118"/>
      <c r="S54" s="117">
        <f t="shared" si="33"/>
        <v>0</v>
      </c>
      <c r="T54" s="117"/>
      <c r="U54" s="117"/>
      <c r="V54" s="117">
        <f t="shared" si="34"/>
        <v>0</v>
      </c>
      <c r="W54" s="118"/>
      <c r="X54" s="118"/>
      <c r="Y54" s="117">
        <f t="shared" si="35"/>
        <v>0</v>
      </c>
      <c r="Z54" s="117">
        <f t="shared" si="36"/>
        <v>0</v>
      </c>
      <c r="AA54" s="119">
        <f t="shared" si="50"/>
        <v>0</v>
      </c>
      <c r="AB54" s="117">
        <f t="shared" si="37"/>
        <v>0</v>
      </c>
      <c r="AC54" s="118"/>
      <c r="AD54" s="119">
        <f t="shared" si="38"/>
        <v>0</v>
      </c>
      <c r="AE54" s="118"/>
      <c r="AF54" s="118"/>
      <c r="AG54" s="118"/>
      <c r="AH54" s="118"/>
      <c r="AI54" s="152">
        <f t="shared" si="53"/>
        <v>0</v>
      </c>
      <c r="AJ54" s="118"/>
      <c r="AK54" s="120">
        <f t="shared" si="40"/>
        <v>0</v>
      </c>
      <c r="AL54" s="121">
        <f t="shared" si="41"/>
        <v>0</v>
      </c>
      <c r="AM54" s="122"/>
      <c r="AN54" s="123">
        <f t="shared" si="42"/>
        <v>0</v>
      </c>
      <c r="AO54" s="124">
        <f t="shared" si="43"/>
        <v>0</v>
      </c>
      <c r="AP54" s="124">
        <f t="shared" si="44"/>
        <v>0</v>
      </c>
      <c r="AQ54" s="124">
        <f t="shared" si="45"/>
        <v>0</v>
      </c>
      <c r="AR54" s="124">
        <f t="shared" si="46"/>
        <v>0</v>
      </c>
      <c r="AS54" s="124">
        <f t="array" ref="AS54">_xlfn.IFS(S54=0,AL54,S54&lt;0,AL54/-S54,S54&gt;0,AL54/S54)</f>
        <v>0</v>
      </c>
      <c r="AT54" s="119">
        <f t="shared" si="47"/>
        <v>0</v>
      </c>
      <c r="AU54" s="119">
        <f t="shared" si="48"/>
        <v>0</v>
      </c>
      <c r="AV54" s="125"/>
      <c r="AW54" s="120">
        <f t="shared" si="54"/>
        <v>0</v>
      </c>
    </row>
    <row r="55" spans="1:49" hidden="1" outlineLevel="1">
      <c r="A55" s="114"/>
      <c r="B55" s="115"/>
      <c r="C55" s="115"/>
      <c r="D55" s="116"/>
      <c r="E55" s="117">
        <f t="shared" si="51"/>
        <v>0</v>
      </c>
      <c r="F55" s="117"/>
      <c r="G55" s="117"/>
      <c r="H55" s="117"/>
      <c r="I55" s="117"/>
      <c r="J55" s="117">
        <f t="shared" si="52"/>
        <v>0</v>
      </c>
      <c r="K55" s="114"/>
      <c r="L55" s="114"/>
      <c r="M55" s="114"/>
      <c r="N55" s="114"/>
      <c r="O55" s="117">
        <f t="shared" si="31"/>
        <v>0</v>
      </c>
      <c r="P55" s="117">
        <f t="shared" si="32"/>
        <v>0</v>
      </c>
      <c r="Q55" s="118"/>
      <c r="R55" s="118"/>
      <c r="S55" s="117">
        <f t="shared" si="33"/>
        <v>0</v>
      </c>
      <c r="T55" s="117"/>
      <c r="U55" s="117"/>
      <c r="V55" s="117">
        <f t="shared" si="34"/>
        <v>0</v>
      </c>
      <c r="W55" s="118"/>
      <c r="X55" s="118"/>
      <c r="Y55" s="117">
        <f t="shared" si="35"/>
        <v>0</v>
      </c>
      <c r="Z55" s="117">
        <f t="shared" si="36"/>
        <v>0</v>
      </c>
      <c r="AA55" s="119">
        <f t="shared" si="50"/>
        <v>0</v>
      </c>
      <c r="AB55" s="117">
        <f t="shared" si="37"/>
        <v>0</v>
      </c>
      <c r="AC55" s="118"/>
      <c r="AD55" s="119">
        <f t="shared" si="38"/>
        <v>0</v>
      </c>
      <c r="AE55" s="118"/>
      <c r="AF55" s="118"/>
      <c r="AG55" s="118"/>
      <c r="AH55" s="118"/>
      <c r="AI55" s="152">
        <f t="shared" si="53"/>
        <v>0</v>
      </c>
      <c r="AJ55" s="118"/>
      <c r="AK55" s="120">
        <f t="shared" si="40"/>
        <v>0</v>
      </c>
      <c r="AL55" s="121">
        <f t="shared" si="41"/>
        <v>0</v>
      </c>
      <c r="AM55" s="122"/>
      <c r="AN55" s="123">
        <f t="shared" si="42"/>
        <v>0</v>
      </c>
      <c r="AO55" s="124">
        <f t="shared" si="43"/>
        <v>0</v>
      </c>
      <c r="AP55" s="124">
        <f t="shared" si="44"/>
        <v>0</v>
      </c>
      <c r="AQ55" s="124">
        <f t="shared" si="45"/>
        <v>0</v>
      </c>
      <c r="AR55" s="124">
        <f t="shared" si="46"/>
        <v>0</v>
      </c>
      <c r="AS55" s="124">
        <f t="array" ref="AS55">_xlfn.IFS(S55=0,AL55,S55&lt;0,AL55/-S55,S55&gt;0,AL55/S55)</f>
        <v>0</v>
      </c>
      <c r="AT55" s="119">
        <f t="shared" si="47"/>
        <v>0</v>
      </c>
      <c r="AU55" s="119">
        <f t="shared" si="48"/>
        <v>0</v>
      </c>
      <c r="AV55" s="125"/>
      <c r="AW55" s="120">
        <f t="shared" si="54"/>
        <v>0</v>
      </c>
    </row>
    <row r="56" spans="1:49" hidden="1" outlineLevel="1">
      <c r="A56" s="114"/>
      <c r="B56" s="115"/>
      <c r="C56" s="115"/>
      <c r="D56" s="116"/>
      <c r="E56" s="117">
        <f t="shared" si="51"/>
        <v>0</v>
      </c>
      <c r="F56" s="117"/>
      <c r="G56" s="117"/>
      <c r="H56" s="117"/>
      <c r="I56" s="117"/>
      <c r="J56" s="117">
        <f t="shared" si="52"/>
        <v>0</v>
      </c>
      <c r="K56" s="114"/>
      <c r="L56" s="114"/>
      <c r="M56" s="114"/>
      <c r="N56" s="114"/>
      <c r="O56" s="117">
        <f t="shared" si="31"/>
        <v>0</v>
      </c>
      <c r="P56" s="117">
        <f t="shared" si="32"/>
        <v>0</v>
      </c>
      <c r="Q56" s="118"/>
      <c r="R56" s="118"/>
      <c r="S56" s="117">
        <f t="shared" si="33"/>
        <v>0</v>
      </c>
      <c r="T56" s="117"/>
      <c r="U56" s="117"/>
      <c r="V56" s="117">
        <f t="shared" si="34"/>
        <v>0</v>
      </c>
      <c r="W56" s="118"/>
      <c r="X56" s="118"/>
      <c r="Y56" s="117">
        <f t="shared" si="35"/>
        <v>0</v>
      </c>
      <c r="Z56" s="117">
        <f t="shared" si="36"/>
        <v>0</v>
      </c>
      <c r="AA56" s="119">
        <f t="shared" si="50"/>
        <v>0</v>
      </c>
      <c r="AB56" s="117">
        <f t="shared" si="37"/>
        <v>0</v>
      </c>
      <c r="AC56" s="118"/>
      <c r="AD56" s="119">
        <f t="shared" si="38"/>
        <v>0</v>
      </c>
      <c r="AE56" s="118"/>
      <c r="AF56" s="118"/>
      <c r="AG56" s="118"/>
      <c r="AH56" s="118"/>
      <c r="AI56" s="152">
        <f t="shared" si="53"/>
        <v>0</v>
      </c>
      <c r="AJ56" s="118"/>
      <c r="AK56" s="120">
        <f t="shared" si="40"/>
        <v>0</v>
      </c>
      <c r="AL56" s="121">
        <f t="shared" si="41"/>
        <v>0</v>
      </c>
      <c r="AM56" s="122"/>
      <c r="AN56" s="123">
        <f t="shared" si="42"/>
        <v>0</v>
      </c>
      <c r="AO56" s="124">
        <f t="shared" si="43"/>
        <v>0</v>
      </c>
      <c r="AP56" s="124">
        <f t="shared" si="44"/>
        <v>0</v>
      </c>
      <c r="AQ56" s="124">
        <f t="shared" si="45"/>
        <v>0</v>
      </c>
      <c r="AR56" s="124">
        <f t="shared" si="46"/>
        <v>0</v>
      </c>
      <c r="AS56" s="124">
        <f t="array" ref="AS56">_xlfn.IFS(S56=0,AL56,S56&lt;0,AL56/-S56,S56&gt;0,AL56/S56)</f>
        <v>0</v>
      </c>
      <c r="AT56" s="119">
        <f t="shared" si="47"/>
        <v>0</v>
      </c>
      <c r="AU56" s="119">
        <f t="shared" si="48"/>
        <v>0</v>
      </c>
      <c r="AV56" s="125"/>
      <c r="AW56" s="120">
        <f t="shared" si="54"/>
        <v>0</v>
      </c>
    </row>
    <row r="57" spans="1:49" hidden="1" outlineLevel="1">
      <c r="A57" s="114"/>
      <c r="B57" s="115"/>
      <c r="C57" s="115"/>
      <c r="D57" s="116"/>
      <c r="E57" s="117">
        <f t="shared" si="51"/>
        <v>0</v>
      </c>
      <c r="F57" s="117"/>
      <c r="G57" s="117"/>
      <c r="H57" s="117"/>
      <c r="I57" s="117"/>
      <c r="J57" s="117">
        <f t="shared" si="52"/>
        <v>0</v>
      </c>
      <c r="K57" s="114"/>
      <c r="L57" s="114"/>
      <c r="M57" s="114"/>
      <c r="N57" s="114"/>
      <c r="O57" s="117">
        <f t="shared" si="31"/>
        <v>0</v>
      </c>
      <c r="P57" s="117">
        <f t="shared" si="32"/>
        <v>0</v>
      </c>
      <c r="Q57" s="118"/>
      <c r="R57" s="118"/>
      <c r="S57" s="117">
        <f t="shared" si="33"/>
        <v>0</v>
      </c>
      <c r="T57" s="117"/>
      <c r="U57" s="117"/>
      <c r="V57" s="117">
        <f t="shared" si="34"/>
        <v>0</v>
      </c>
      <c r="W57" s="118"/>
      <c r="X57" s="118"/>
      <c r="Y57" s="117">
        <f t="shared" si="35"/>
        <v>0</v>
      </c>
      <c r="Z57" s="117">
        <f t="shared" si="36"/>
        <v>0</v>
      </c>
      <c r="AA57" s="119">
        <f t="shared" si="50"/>
        <v>0</v>
      </c>
      <c r="AB57" s="117">
        <f t="shared" si="37"/>
        <v>0</v>
      </c>
      <c r="AC57" s="118"/>
      <c r="AD57" s="119">
        <f t="shared" si="38"/>
        <v>0</v>
      </c>
      <c r="AE57" s="118"/>
      <c r="AF57" s="118"/>
      <c r="AG57" s="118"/>
      <c r="AH57" s="118"/>
      <c r="AI57" s="152">
        <f t="shared" si="53"/>
        <v>0</v>
      </c>
      <c r="AJ57" s="118"/>
      <c r="AK57" s="120">
        <f t="shared" si="40"/>
        <v>0</v>
      </c>
      <c r="AL57" s="121">
        <f t="shared" si="41"/>
        <v>0</v>
      </c>
      <c r="AM57" s="122"/>
      <c r="AN57" s="123">
        <f t="shared" si="42"/>
        <v>0</v>
      </c>
      <c r="AO57" s="124">
        <f t="shared" si="43"/>
        <v>0</v>
      </c>
      <c r="AP57" s="124">
        <f t="shared" si="44"/>
        <v>0</v>
      </c>
      <c r="AQ57" s="124">
        <f t="shared" si="45"/>
        <v>0</v>
      </c>
      <c r="AR57" s="124">
        <f t="shared" si="46"/>
        <v>0</v>
      </c>
      <c r="AS57" s="124">
        <f t="array" ref="AS57">_xlfn.IFS(S57=0,AL57,S57&lt;0,AL57/-S57,S57&gt;0,AL57/S57)</f>
        <v>0</v>
      </c>
      <c r="AT57" s="119">
        <f t="shared" si="47"/>
        <v>0</v>
      </c>
      <c r="AU57" s="119">
        <f t="shared" si="48"/>
        <v>0</v>
      </c>
      <c r="AV57" s="125"/>
      <c r="AW57" s="120">
        <f t="shared" si="54"/>
        <v>0</v>
      </c>
    </row>
    <row r="58" spans="1:49" hidden="1" outlineLevel="1">
      <c r="A58" s="114"/>
      <c r="B58" s="115"/>
      <c r="C58" s="115"/>
      <c r="D58" s="116"/>
      <c r="E58" s="117">
        <f t="shared" si="51"/>
        <v>0</v>
      </c>
      <c r="F58" s="117"/>
      <c r="G58" s="117"/>
      <c r="H58" s="117"/>
      <c r="I58" s="117"/>
      <c r="J58" s="117">
        <f t="shared" si="52"/>
        <v>0</v>
      </c>
      <c r="K58" s="114"/>
      <c r="L58" s="114"/>
      <c r="M58" s="114"/>
      <c r="N58" s="114"/>
      <c r="O58" s="117">
        <f t="shared" si="31"/>
        <v>0</v>
      </c>
      <c r="P58" s="117">
        <f t="shared" si="32"/>
        <v>0</v>
      </c>
      <c r="Q58" s="118"/>
      <c r="R58" s="118"/>
      <c r="S58" s="117">
        <f t="shared" si="33"/>
        <v>0</v>
      </c>
      <c r="T58" s="117"/>
      <c r="U58" s="117"/>
      <c r="V58" s="117">
        <f t="shared" si="34"/>
        <v>0</v>
      </c>
      <c r="W58" s="118"/>
      <c r="X58" s="118"/>
      <c r="Y58" s="117">
        <f t="shared" si="35"/>
        <v>0</v>
      </c>
      <c r="Z58" s="117">
        <f t="shared" si="36"/>
        <v>0</v>
      </c>
      <c r="AA58" s="119">
        <f t="shared" si="50"/>
        <v>0</v>
      </c>
      <c r="AB58" s="117">
        <f t="shared" si="37"/>
        <v>0</v>
      </c>
      <c r="AC58" s="118"/>
      <c r="AD58" s="119">
        <f t="shared" si="38"/>
        <v>0</v>
      </c>
      <c r="AE58" s="118"/>
      <c r="AF58" s="118"/>
      <c r="AG58" s="118"/>
      <c r="AH58" s="118"/>
      <c r="AI58" s="152">
        <f t="shared" si="53"/>
        <v>0</v>
      </c>
      <c r="AJ58" s="118"/>
      <c r="AK58" s="120">
        <f t="shared" si="40"/>
        <v>0</v>
      </c>
      <c r="AL58" s="121">
        <f t="shared" si="41"/>
        <v>0</v>
      </c>
      <c r="AM58" s="122"/>
      <c r="AN58" s="123">
        <f t="shared" si="42"/>
        <v>0</v>
      </c>
      <c r="AO58" s="124">
        <f t="shared" si="43"/>
        <v>0</v>
      </c>
      <c r="AP58" s="124">
        <f t="shared" si="44"/>
        <v>0</v>
      </c>
      <c r="AQ58" s="124">
        <f t="shared" si="45"/>
        <v>0</v>
      </c>
      <c r="AR58" s="124">
        <f t="shared" si="46"/>
        <v>0</v>
      </c>
      <c r="AS58" s="124">
        <f t="array" ref="AS58">_xlfn.IFS(S58=0,AL58,S58&lt;0,AL58/-S58,S58&gt;0,AL58/S58)</f>
        <v>0</v>
      </c>
      <c r="AT58" s="119">
        <f t="shared" si="47"/>
        <v>0</v>
      </c>
      <c r="AU58" s="119">
        <f t="shared" si="48"/>
        <v>0</v>
      </c>
      <c r="AV58" s="125"/>
      <c r="AW58" s="120">
        <f t="shared" si="54"/>
        <v>0</v>
      </c>
    </row>
    <row r="59" spans="1:49" hidden="1" outlineLevel="1">
      <c r="A59" s="114"/>
      <c r="B59" s="115"/>
      <c r="C59" s="115"/>
      <c r="D59" s="116"/>
      <c r="E59" s="117">
        <f t="shared" si="51"/>
        <v>0</v>
      </c>
      <c r="F59" s="117"/>
      <c r="G59" s="117"/>
      <c r="H59" s="117"/>
      <c r="I59" s="117"/>
      <c r="J59" s="117">
        <f t="shared" si="52"/>
        <v>0</v>
      </c>
      <c r="K59" s="114"/>
      <c r="L59" s="114"/>
      <c r="M59" s="114"/>
      <c r="N59" s="114"/>
      <c r="O59" s="117">
        <f t="shared" si="31"/>
        <v>0</v>
      </c>
      <c r="P59" s="117">
        <f t="shared" si="32"/>
        <v>0</v>
      </c>
      <c r="Q59" s="118"/>
      <c r="R59" s="118"/>
      <c r="S59" s="117">
        <f t="shared" si="33"/>
        <v>0</v>
      </c>
      <c r="T59" s="117"/>
      <c r="U59" s="117"/>
      <c r="V59" s="117">
        <f t="shared" si="34"/>
        <v>0</v>
      </c>
      <c r="W59" s="118"/>
      <c r="X59" s="118"/>
      <c r="Y59" s="117">
        <f t="shared" si="35"/>
        <v>0</v>
      </c>
      <c r="Z59" s="117">
        <f t="shared" si="36"/>
        <v>0</v>
      </c>
      <c r="AA59" s="119">
        <f t="shared" si="50"/>
        <v>0</v>
      </c>
      <c r="AB59" s="117">
        <f t="shared" si="37"/>
        <v>0</v>
      </c>
      <c r="AC59" s="118"/>
      <c r="AD59" s="119">
        <f t="shared" si="38"/>
        <v>0</v>
      </c>
      <c r="AE59" s="118"/>
      <c r="AF59" s="118"/>
      <c r="AG59" s="118"/>
      <c r="AH59" s="118"/>
      <c r="AI59" s="152">
        <f t="shared" si="53"/>
        <v>0</v>
      </c>
      <c r="AJ59" s="118"/>
      <c r="AK59" s="120">
        <f t="shared" si="40"/>
        <v>0</v>
      </c>
      <c r="AL59" s="121">
        <f t="shared" si="41"/>
        <v>0</v>
      </c>
      <c r="AM59" s="122"/>
      <c r="AN59" s="123">
        <f t="shared" si="42"/>
        <v>0</v>
      </c>
      <c r="AO59" s="124">
        <f t="shared" si="43"/>
        <v>0</v>
      </c>
      <c r="AP59" s="124">
        <f t="shared" si="44"/>
        <v>0</v>
      </c>
      <c r="AQ59" s="124">
        <f t="shared" si="45"/>
        <v>0</v>
      </c>
      <c r="AR59" s="124">
        <f t="shared" si="46"/>
        <v>0</v>
      </c>
      <c r="AS59" s="124">
        <f t="array" ref="AS59">_xlfn.IFS(S59=0,AL59,S59&lt;0,AL59/-S59,S59&gt;0,AL59/S59)</f>
        <v>0</v>
      </c>
      <c r="AT59" s="119">
        <f t="shared" si="47"/>
        <v>0</v>
      </c>
      <c r="AU59" s="119">
        <f t="shared" si="48"/>
        <v>0</v>
      </c>
      <c r="AV59" s="125"/>
      <c r="AW59" s="120">
        <f t="shared" si="54"/>
        <v>0</v>
      </c>
    </row>
    <row r="60" spans="1:49" hidden="1" outlineLevel="1">
      <c r="A60" s="114"/>
      <c r="B60" s="115"/>
      <c r="C60" s="115"/>
      <c r="D60" s="116"/>
      <c r="E60" s="117">
        <f t="shared" si="51"/>
        <v>0</v>
      </c>
      <c r="F60" s="117"/>
      <c r="G60" s="117"/>
      <c r="H60" s="117"/>
      <c r="I60" s="117"/>
      <c r="J60" s="117">
        <f t="shared" si="52"/>
        <v>0</v>
      </c>
      <c r="K60" s="114"/>
      <c r="L60" s="114"/>
      <c r="M60" s="114"/>
      <c r="N60" s="114"/>
      <c r="O60" s="117">
        <f t="shared" si="31"/>
        <v>0</v>
      </c>
      <c r="P60" s="117">
        <f t="shared" si="32"/>
        <v>0</v>
      </c>
      <c r="Q60" s="118"/>
      <c r="R60" s="118"/>
      <c r="S60" s="117">
        <f t="shared" si="33"/>
        <v>0</v>
      </c>
      <c r="T60" s="117"/>
      <c r="U60" s="117"/>
      <c r="V60" s="117">
        <f t="shared" si="34"/>
        <v>0</v>
      </c>
      <c r="W60" s="118"/>
      <c r="X60" s="118"/>
      <c r="Y60" s="117">
        <f t="shared" si="35"/>
        <v>0</v>
      </c>
      <c r="Z60" s="117">
        <f t="shared" si="36"/>
        <v>0</v>
      </c>
      <c r="AA60" s="119">
        <f t="shared" si="50"/>
        <v>0</v>
      </c>
      <c r="AB60" s="117">
        <f t="shared" si="37"/>
        <v>0</v>
      </c>
      <c r="AC60" s="118"/>
      <c r="AD60" s="119">
        <f t="shared" si="38"/>
        <v>0</v>
      </c>
      <c r="AE60" s="118"/>
      <c r="AF60" s="118"/>
      <c r="AG60" s="118"/>
      <c r="AH60" s="118"/>
      <c r="AI60" s="152">
        <f t="shared" si="53"/>
        <v>0</v>
      </c>
      <c r="AJ60" s="118"/>
      <c r="AK60" s="120">
        <f t="shared" si="40"/>
        <v>0</v>
      </c>
      <c r="AL60" s="121">
        <f t="shared" si="41"/>
        <v>0</v>
      </c>
      <c r="AM60" s="122"/>
      <c r="AN60" s="123">
        <f t="shared" si="42"/>
        <v>0</v>
      </c>
      <c r="AO60" s="124">
        <f t="shared" si="43"/>
        <v>0</v>
      </c>
      <c r="AP60" s="124">
        <f t="shared" si="44"/>
        <v>0</v>
      </c>
      <c r="AQ60" s="124">
        <f t="shared" si="45"/>
        <v>0</v>
      </c>
      <c r="AR60" s="124">
        <f t="shared" si="46"/>
        <v>0</v>
      </c>
      <c r="AS60" s="124">
        <f t="array" ref="AS60">_xlfn.IFS(S60=0,AL60,S60&lt;0,AL60/-S60,S60&gt;0,AL60/S60)</f>
        <v>0</v>
      </c>
      <c r="AT60" s="119">
        <f t="shared" si="47"/>
        <v>0</v>
      </c>
      <c r="AU60" s="119">
        <f t="shared" si="48"/>
        <v>0</v>
      </c>
      <c r="AV60" s="125"/>
      <c r="AW60" s="120">
        <f t="shared" si="54"/>
        <v>0</v>
      </c>
    </row>
    <row r="61" spans="1:49" hidden="1" outlineLevel="1">
      <c r="A61" s="114"/>
      <c r="B61" s="115"/>
      <c r="C61" s="115"/>
      <c r="D61" s="116"/>
      <c r="E61" s="117">
        <f t="shared" si="51"/>
        <v>0</v>
      </c>
      <c r="F61" s="117"/>
      <c r="G61" s="117"/>
      <c r="H61" s="117"/>
      <c r="I61" s="117"/>
      <c r="J61" s="117">
        <f t="shared" si="52"/>
        <v>0</v>
      </c>
      <c r="K61" s="114"/>
      <c r="L61" s="114"/>
      <c r="M61" s="114"/>
      <c r="N61" s="114"/>
      <c r="O61" s="117">
        <f t="shared" si="31"/>
        <v>0</v>
      </c>
      <c r="P61" s="117">
        <f t="shared" si="32"/>
        <v>0</v>
      </c>
      <c r="Q61" s="118"/>
      <c r="R61" s="118"/>
      <c r="S61" s="117">
        <f t="shared" si="33"/>
        <v>0</v>
      </c>
      <c r="T61" s="117"/>
      <c r="U61" s="117"/>
      <c r="V61" s="117">
        <f t="shared" si="34"/>
        <v>0</v>
      </c>
      <c r="W61" s="118"/>
      <c r="X61" s="118"/>
      <c r="Y61" s="117">
        <f t="shared" si="35"/>
        <v>0</v>
      </c>
      <c r="Z61" s="117">
        <f t="shared" si="36"/>
        <v>0</v>
      </c>
      <c r="AA61" s="119">
        <f t="shared" si="50"/>
        <v>0</v>
      </c>
      <c r="AB61" s="117">
        <f t="shared" si="37"/>
        <v>0</v>
      </c>
      <c r="AC61" s="118"/>
      <c r="AD61" s="119">
        <f t="shared" si="38"/>
        <v>0</v>
      </c>
      <c r="AE61" s="118"/>
      <c r="AF61" s="118"/>
      <c r="AG61" s="118"/>
      <c r="AH61" s="118"/>
      <c r="AI61" s="152">
        <f t="shared" si="53"/>
        <v>0</v>
      </c>
      <c r="AJ61" s="118"/>
      <c r="AK61" s="120">
        <f t="shared" si="40"/>
        <v>0</v>
      </c>
      <c r="AL61" s="121">
        <f t="shared" si="41"/>
        <v>0</v>
      </c>
      <c r="AM61" s="122"/>
      <c r="AN61" s="123">
        <f t="shared" si="42"/>
        <v>0</v>
      </c>
      <c r="AO61" s="124">
        <f t="shared" si="43"/>
        <v>0</v>
      </c>
      <c r="AP61" s="124">
        <f t="shared" si="44"/>
        <v>0</v>
      </c>
      <c r="AQ61" s="124">
        <f t="shared" si="45"/>
        <v>0</v>
      </c>
      <c r="AR61" s="124">
        <f t="shared" si="46"/>
        <v>0</v>
      </c>
      <c r="AS61" s="124">
        <f t="array" ref="AS61">_xlfn.IFS(S61=0,AL61,S61&lt;0,AL61/-S61,S61&gt;0,AL61/S61)</f>
        <v>0</v>
      </c>
      <c r="AT61" s="119">
        <f t="shared" si="47"/>
        <v>0</v>
      </c>
      <c r="AU61" s="119">
        <f t="shared" si="48"/>
        <v>0</v>
      </c>
      <c r="AV61" s="125"/>
      <c r="AW61" s="120">
        <f t="shared" si="54"/>
        <v>0</v>
      </c>
    </row>
    <row r="62" spans="1:49" hidden="1" outlineLevel="1">
      <c r="A62" s="114"/>
      <c r="B62" s="115"/>
      <c r="C62" s="115"/>
      <c r="D62" s="116"/>
      <c r="E62" s="117">
        <f t="shared" si="51"/>
        <v>0</v>
      </c>
      <c r="F62" s="117"/>
      <c r="G62" s="117"/>
      <c r="H62" s="117"/>
      <c r="I62" s="117"/>
      <c r="J62" s="117">
        <f t="shared" si="52"/>
        <v>0</v>
      </c>
      <c r="K62" s="114"/>
      <c r="L62" s="114"/>
      <c r="M62" s="114"/>
      <c r="N62" s="114"/>
      <c r="O62" s="117">
        <f t="shared" si="31"/>
        <v>0</v>
      </c>
      <c r="P62" s="117">
        <f t="shared" si="32"/>
        <v>0</v>
      </c>
      <c r="Q62" s="118"/>
      <c r="R62" s="118"/>
      <c r="S62" s="117">
        <f t="shared" si="33"/>
        <v>0</v>
      </c>
      <c r="T62" s="117"/>
      <c r="U62" s="117"/>
      <c r="V62" s="117">
        <f t="shared" si="34"/>
        <v>0</v>
      </c>
      <c r="W62" s="118"/>
      <c r="X62" s="118"/>
      <c r="Y62" s="117">
        <f t="shared" si="35"/>
        <v>0</v>
      </c>
      <c r="Z62" s="117">
        <f t="shared" si="36"/>
        <v>0</v>
      </c>
      <c r="AA62" s="119">
        <f t="shared" si="50"/>
        <v>0</v>
      </c>
      <c r="AB62" s="117">
        <f t="shared" si="37"/>
        <v>0</v>
      </c>
      <c r="AC62" s="118"/>
      <c r="AD62" s="119">
        <f t="shared" si="38"/>
        <v>0</v>
      </c>
      <c r="AE62" s="118"/>
      <c r="AF62" s="118"/>
      <c r="AG62" s="118"/>
      <c r="AH62" s="118"/>
      <c r="AI62" s="152">
        <f t="shared" si="53"/>
        <v>0</v>
      </c>
      <c r="AJ62" s="118"/>
      <c r="AK62" s="120">
        <f t="shared" si="40"/>
        <v>0</v>
      </c>
      <c r="AL62" s="121">
        <f t="shared" si="41"/>
        <v>0</v>
      </c>
      <c r="AM62" s="122"/>
      <c r="AN62" s="123">
        <f t="shared" si="42"/>
        <v>0</v>
      </c>
      <c r="AO62" s="124">
        <f t="shared" si="43"/>
        <v>0</v>
      </c>
      <c r="AP62" s="124">
        <f t="shared" si="44"/>
        <v>0</v>
      </c>
      <c r="AQ62" s="124">
        <f t="shared" si="45"/>
        <v>0</v>
      </c>
      <c r="AR62" s="124">
        <f t="shared" si="46"/>
        <v>0</v>
      </c>
      <c r="AS62" s="124">
        <f t="array" ref="AS62">_xlfn.IFS(S62=0,AL62,S62&lt;0,AL62/-S62,S62&gt;0,AL62/S62)</f>
        <v>0</v>
      </c>
      <c r="AT62" s="119">
        <f t="shared" si="47"/>
        <v>0</v>
      </c>
      <c r="AU62" s="119">
        <f t="shared" si="48"/>
        <v>0</v>
      </c>
      <c r="AV62" s="125"/>
      <c r="AW62" s="120">
        <f t="shared" si="54"/>
        <v>0</v>
      </c>
    </row>
    <row r="63" spans="1:49" hidden="1" outlineLevel="1">
      <c r="A63" s="114"/>
      <c r="B63" s="115"/>
      <c r="C63" s="115"/>
      <c r="D63" s="149"/>
      <c r="E63" s="118">
        <f t="shared" si="51"/>
        <v>0</v>
      </c>
      <c r="F63" s="117"/>
      <c r="G63" s="117"/>
      <c r="H63" s="117"/>
      <c r="I63" s="117"/>
      <c r="J63" s="117">
        <f t="shared" si="52"/>
        <v>0</v>
      </c>
      <c r="K63" s="114"/>
      <c r="L63" s="114"/>
      <c r="M63" s="114"/>
      <c r="N63" s="114"/>
      <c r="O63" s="117">
        <f t="shared" si="31"/>
        <v>0</v>
      </c>
      <c r="P63" s="117">
        <f t="shared" si="32"/>
        <v>0</v>
      </c>
      <c r="Q63" s="118"/>
      <c r="R63" s="118"/>
      <c r="S63" s="117">
        <f t="shared" si="33"/>
        <v>0</v>
      </c>
      <c r="T63" s="117"/>
      <c r="U63" s="117"/>
      <c r="V63" s="117">
        <f t="shared" si="34"/>
        <v>0</v>
      </c>
      <c r="W63" s="118"/>
      <c r="X63" s="118"/>
      <c r="Y63" s="117">
        <f t="shared" si="35"/>
        <v>0</v>
      </c>
      <c r="Z63" s="117">
        <f t="shared" si="36"/>
        <v>0</v>
      </c>
      <c r="AA63" s="119">
        <f t="shared" si="50"/>
        <v>0</v>
      </c>
      <c r="AB63" s="117">
        <f t="shared" si="37"/>
        <v>0</v>
      </c>
      <c r="AC63" s="118"/>
      <c r="AD63" s="119">
        <f t="shared" si="38"/>
        <v>0</v>
      </c>
      <c r="AE63" s="118"/>
      <c r="AF63" s="118"/>
      <c r="AG63" s="118"/>
      <c r="AH63" s="118"/>
      <c r="AI63" s="152">
        <f t="shared" si="53"/>
        <v>0</v>
      </c>
      <c r="AJ63" s="118"/>
      <c r="AK63" s="120">
        <f t="shared" si="40"/>
        <v>0</v>
      </c>
      <c r="AL63" s="121">
        <f t="shared" si="41"/>
        <v>0</v>
      </c>
      <c r="AM63" s="122"/>
      <c r="AN63" s="123">
        <f t="shared" si="42"/>
        <v>0</v>
      </c>
      <c r="AO63" s="124">
        <f t="shared" si="43"/>
        <v>0</v>
      </c>
      <c r="AP63" s="124">
        <f t="shared" si="44"/>
        <v>0</v>
      </c>
      <c r="AQ63" s="124">
        <f t="shared" si="45"/>
        <v>0</v>
      </c>
      <c r="AR63" s="124">
        <f t="shared" si="46"/>
        <v>0</v>
      </c>
      <c r="AS63" s="124">
        <f t="array" ref="AS63">_xlfn.IFS(S63=0,AL63,S63&lt;0,AL63/-S63,S63&gt;0,AL63/S63)</f>
        <v>0</v>
      </c>
      <c r="AT63" s="119">
        <f t="shared" si="47"/>
        <v>0</v>
      </c>
      <c r="AU63" s="119">
        <f t="shared" si="48"/>
        <v>0</v>
      </c>
      <c r="AV63" s="125"/>
      <c r="AW63" s="120">
        <f t="shared" si="54"/>
        <v>0</v>
      </c>
    </row>
    <row r="64" spans="1:49" hidden="1" outlineLevel="1">
      <c r="A64" s="114"/>
      <c r="B64" s="115"/>
      <c r="C64" s="115"/>
      <c r="D64" s="149"/>
      <c r="E64" s="118">
        <f t="shared" si="51"/>
        <v>0</v>
      </c>
      <c r="F64" s="117"/>
      <c r="G64" s="117"/>
      <c r="H64" s="117"/>
      <c r="I64" s="117"/>
      <c r="J64" s="117">
        <f t="shared" si="52"/>
        <v>0</v>
      </c>
      <c r="K64" s="114"/>
      <c r="L64" s="114"/>
      <c r="M64" s="114"/>
      <c r="N64" s="114"/>
      <c r="O64" s="117">
        <f t="shared" si="31"/>
        <v>0</v>
      </c>
      <c r="P64" s="117">
        <f t="shared" si="32"/>
        <v>0</v>
      </c>
      <c r="Q64" s="118"/>
      <c r="R64" s="118"/>
      <c r="S64" s="117">
        <f t="shared" si="33"/>
        <v>0</v>
      </c>
      <c r="T64" s="117"/>
      <c r="U64" s="117"/>
      <c r="V64" s="117">
        <f t="shared" si="34"/>
        <v>0</v>
      </c>
      <c r="W64" s="118"/>
      <c r="X64" s="118"/>
      <c r="Y64" s="117">
        <f t="shared" si="35"/>
        <v>0</v>
      </c>
      <c r="Z64" s="117">
        <f t="shared" si="36"/>
        <v>0</v>
      </c>
      <c r="AA64" s="119">
        <f t="shared" si="50"/>
        <v>0</v>
      </c>
      <c r="AB64" s="117">
        <f t="shared" si="37"/>
        <v>0</v>
      </c>
      <c r="AC64" s="118"/>
      <c r="AD64" s="119">
        <f t="shared" si="38"/>
        <v>0</v>
      </c>
      <c r="AE64" s="118"/>
      <c r="AF64" s="118"/>
      <c r="AG64" s="118"/>
      <c r="AH64" s="118"/>
      <c r="AI64" s="152">
        <f t="shared" si="53"/>
        <v>0</v>
      </c>
      <c r="AJ64" s="118"/>
      <c r="AK64" s="120">
        <f t="shared" si="40"/>
        <v>0</v>
      </c>
      <c r="AL64" s="121">
        <f t="shared" si="41"/>
        <v>0</v>
      </c>
      <c r="AM64" s="122"/>
      <c r="AN64" s="123">
        <f t="shared" si="42"/>
        <v>0</v>
      </c>
      <c r="AO64" s="124">
        <f t="shared" si="43"/>
        <v>0</v>
      </c>
      <c r="AP64" s="124">
        <f t="shared" si="44"/>
        <v>0</v>
      </c>
      <c r="AQ64" s="124">
        <f t="shared" si="45"/>
        <v>0</v>
      </c>
      <c r="AR64" s="124">
        <f t="shared" si="46"/>
        <v>0</v>
      </c>
      <c r="AS64" s="124">
        <f t="array" ref="AS64">_xlfn.IFS(S64=0,AL64,S64&lt;0,AL64/-S64,S64&gt;0,AL64/S64)</f>
        <v>0</v>
      </c>
      <c r="AT64" s="119">
        <f t="shared" si="47"/>
        <v>0</v>
      </c>
      <c r="AU64" s="119">
        <f t="shared" si="48"/>
        <v>0</v>
      </c>
      <c r="AV64" s="125"/>
      <c r="AW64" s="120">
        <f t="shared" si="54"/>
        <v>0</v>
      </c>
    </row>
    <row r="65" spans="1:49" hidden="1" outlineLevel="1">
      <c r="A65" s="114"/>
      <c r="B65" s="115"/>
      <c r="C65" s="115"/>
      <c r="D65" s="149"/>
      <c r="E65" s="118">
        <f t="shared" si="51"/>
        <v>0</v>
      </c>
      <c r="F65" s="117"/>
      <c r="G65" s="117"/>
      <c r="H65" s="117"/>
      <c r="I65" s="117"/>
      <c r="J65" s="117">
        <f t="shared" si="52"/>
        <v>0</v>
      </c>
      <c r="K65" s="114"/>
      <c r="L65" s="114"/>
      <c r="M65" s="114"/>
      <c r="N65" s="114"/>
      <c r="O65" s="117">
        <f t="shared" si="31"/>
        <v>0</v>
      </c>
      <c r="P65" s="117">
        <f t="shared" si="32"/>
        <v>0</v>
      </c>
      <c r="Q65" s="118"/>
      <c r="R65" s="118"/>
      <c r="S65" s="117">
        <f t="shared" si="33"/>
        <v>0</v>
      </c>
      <c r="T65" s="117"/>
      <c r="U65" s="117"/>
      <c r="V65" s="117">
        <f t="shared" si="34"/>
        <v>0</v>
      </c>
      <c r="W65" s="118"/>
      <c r="X65" s="118"/>
      <c r="Y65" s="117">
        <f t="shared" si="35"/>
        <v>0</v>
      </c>
      <c r="Z65" s="117">
        <f t="shared" si="36"/>
        <v>0</v>
      </c>
      <c r="AA65" s="119">
        <f t="shared" si="50"/>
        <v>0</v>
      </c>
      <c r="AB65" s="117">
        <f t="shared" si="37"/>
        <v>0</v>
      </c>
      <c r="AC65" s="118"/>
      <c r="AD65" s="119">
        <f t="shared" si="38"/>
        <v>0</v>
      </c>
      <c r="AE65" s="118"/>
      <c r="AF65" s="118"/>
      <c r="AG65" s="118"/>
      <c r="AH65" s="118"/>
      <c r="AI65" s="152">
        <f t="shared" si="53"/>
        <v>0</v>
      </c>
      <c r="AJ65" s="118"/>
      <c r="AK65" s="120">
        <f t="shared" si="40"/>
        <v>0</v>
      </c>
      <c r="AL65" s="121">
        <f t="shared" si="41"/>
        <v>0</v>
      </c>
      <c r="AM65" s="122"/>
      <c r="AN65" s="123">
        <f t="shared" si="42"/>
        <v>0</v>
      </c>
      <c r="AO65" s="124">
        <f t="shared" si="43"/>
        <v>0</v>
      </c>
      <c r="AP65" s="124">
        <f t="shared" si="44"/>
        <v>0</v>
      </c>
      <c r="AQ65" s="124">
        <f t="shared" si="45"/>
        <v>0</v>
      </c>
      <c r="AR65" s="124">
        <f t="shared" si="46"/>
        <v>0</v>
      </c>
      <c r="AS65" s="124">
        <f t="array" ref="AS65">_xlfn.IFS(S65=0,AL65,S65&lt;0,AL65/-S65,S65&gt;0,AL65/S65)</f>
        <v>0</v>
      </c>
      <c r="AT65" s="119">
        <f t="shared" si="47"/>
        <v>0</v>
      </c>
      <c r="AU65" s="119">
        <f t="shared" si="48"/>
        <v>0</v>
      </c>
      <c r="AV65" s="125"/>
      <c r="AW65" s="120">
        <f t="shared" si="54"/>
        <v>0</v>
      </c>
    </row>
    <row r="66" spans="1:49" hidden="1" outlineLevel="1">
      <c r="A66" s="114"/>
      <c r="B66" s="115"/>
      <c r="C66" s="115"/>
      <c r="D66" s="149"/>
      <c r="E66" s="118">
        <f t="shared" si="51"/>
        <v>0</v>
      </c>
      <c r="F66" s="117"/>
      <c r="G66" s="117"/>
      <c r="H66" s="117"/>
      <c r="I66" s="117"/>
      <c r="J66" s="117">
        <f t="shared" si="52"/>
        <v>0</v>
      </c>
      <c r="K66" s="114"/>
      <c r="L66" s="114"/>
      <c r="M66" s="114"/>
      <c r="N66" s="114"/>
      <c r="O66" s="117">
        <f t="shared" si="31"/>
        <v>0</v>
      </c>
      <c r="P66" s="117">
        <f t="shared" si="32"/>
        <v>0</v>
      </c>
      <c r="Q66" s="118"/>
      <c r="R66" s="118"/>
      <c r="S66" s="117">
        <f t="shared" si="33"/>
        <v>0</v>
      </c>
      <c r="T66" s="117"/>
      <c r="U66" s="117"/>
      <c r="V66" s="117">
        <f t="shared" si="34"/>
        <v>0</v>
      </c>
      <c r="W66" s="118"/>
      <c r="X66" s="118"/>
      <c r="Y66" s="117">
        <f t="shared" si="35"/>
        <v>0</v>
      </c>
      <c r="Z66" s="117">
        <f>L66*M66*N66/100</f>
        <v>0</v>
      </c>
      <c r="AA66" s="119">
        <f t="shared" si="50"/>
        <v>0</v>
      </c>
      <c r="AB66" s="117">
        <f t="shared" si="37"/>
        <v>0</v>
      </c>
      <c r="AC66" s="118"/>
      <c r="AD66" s="119">
        <f t="shared" si="38"/>
        <v>0</v>
      </c>
      <c r="AE66" s="118"/>
      <c r="AF66" s="118"/>
      <c r="AG66" s="118"/>
      <c r="AH66" s="118"/>
      <c r="AI66" s="152">
        <f t="shared" si="53"/>
        <v>0</v>
      </c>
      <c r="AJ66" s="118"/>
      <c r="AK66" s="120">
        <f t="shared" si="40"/>
        <v>0</v>
      </c>
      <c r="AL66" s="121">
        <f t="shared" si="41"/>
        <v>0</v>
      </c>
      <c r="AM66" s="122"/>
      <c r="AN66" s="123">
        <f t="shared" si="42"/>
        <v>0</v>
      </c>
      <c r="AO66" s="124">
        <f t="shared" si="43"/>
        <v>0</v>
      </c>
      <c r="AP66" s="124">
        <f t="shared" si="44"/>
        <v>0</v>
      </c>
      <c r="AQ66" s="124">
        <f t="shared" si="45"/>
        <v>0</v>
      </c>
      <c r="AR66" s="124">
        <f t="shared" si="46"/>
        <v>0</v>
      </c>
      <c r="AS66" s="124">
        <f t="array" ref="AS66">_xlfn.IFS(S66=0,AL66,S66&lt;0,AL66/-S66,S66&gt;0,AL66/S66)</f>
        <v>0</v>
      </c>
      <c r="AT66" s="119">
        <f t="shared" si="47"/>
        <v>0</v>
      </c>
      <c r="AU66" s="119">
        <f t="shared" si="48"/>
        <v>0</v>
      </c>
      <c r="AV66" s="125"/>
      <c r="AW66" s="120">
        <f t="shared" si="54"/>
        <v>0</v>
      </c>
    </row>
    <row r="67" spans="1:49" hidden="1" outlineLevel="1">
      <c r="A67" s="114"/>
      <c r="B67" s="115"/>
      <c r="C67" s="115"/>
      <c r="D67" s="149"/>
      <c r="E67" s="118">
        <f t="shared" si="51"/>
        <v>0</v>
      </c>
      <c r="F67" s="117"/>
      <c r="G67" s="117"/>
      <c r="H67" s="117"/>
      <c r="I67" s="117"/>
      <c r="J67" s="117">
        <f t="shared" si="52"/>
        <v>0</v>
      </c>
      <c r="K67" s="114"/>
      <c r="L67" s="114"/>
      <c r="M67" s="114"/>
      <c r="N67" s="114"/>
      <c r="O67" s="117">
        <f t="shared" si="31"/>
        <v>0</v>
      </c>
      <c r="P67" s="117">
        <f t="shared" si="32"/>
        <v>0</v>
      </c>
      <c r="Q67" s="118"/>
      <c r="R67" s="118"/>
      <c r="S67" s="117">
        <f t="shared" si="33"/>
        <v>0</v>
      </c>
      <c r="T67" s="117"/>
      <c r="U67" s="117"/>
      <c r="V67" s="117">
        <f t="shared" si="34"/>
        <v>0</v>
      </c>
      <c r="W67" s="118"/>
      <c r="X67" s="118"/>
      <c r="Y67" s="117">
        <f t="shared" si="35"/>
        <v>0</v>
      </c>
      <c r="Z67" s="117">
        <f t="shared" ref="Z67:Z70" si="55">L67*M67*N67/100</f>
        <v>0</v>
      </c>
      <c r="AA67" s="119">
        <f t="shared" si="50"/>
        <v>0</v>
      </c>
      <c r="AB67" s="117">
        <f t="shared" si="37"/>
        <v>0</v>
      </c>
      <c r="AC67" s="118"/>
      <c r="AD67" s="119">
        <f t="shared" si="38"/>
        <v>0</v>
      </c>
      <c r="AE67" s="118"/>
      <c r="AF67" s="118"/>
      <c r="AG67" s="118"/>
      <c r="AH67" s="118"/>
      <c r="AI67" s="152">
        <f t="shared" si="53"/>
        <v>0</v>
      </c>
      <c r="AJ67" s="118"/>
      <c r="AK67" s="120">
        <f t="shared" si="40"/>
        <v>0</v>
      </c>
      <c r="AL67" s="121">
        <f t="shared" si="41"/>
        <v>0</v>
      </c>
      <c r="AM67" s="122"/>
      <c r="AN67" s="123">
        <f t="shared" si="42"/>
        <v>0</v>
      </c>
      <c r="AO67" s="124">
        <f t="shared" si="43"/>
        <v>0</v>
      </c>
      <c r="AP67" s="124">
        <f t="shared" si="44"/>
        <v>0</v>
      </c>
      <c r="AQ67" s="124">
        <f t="shared" si="45"/>
        <v>0</v>
      </c>
      <c r="AR67" s="124">
        <f t="shared" si="46"/>
        <v>0</v>
      </c>
      <c r="AS67" s="124">
        <f t="array" ref="AS67">_xlfn.IFS(S67=0,AL67,S67&lt;0,AL67/-S67,S67&gt;0,AL67/S67)</f>
        <v>0</v>
      </c>
      <c r="AT67" s="119">
        <f t="shared" si="47"/>
        <v>0</v>
      </c>
      <c r="AU67" s="119">
        <f t="shared" si="48"/>
        <v>0</v>
      </c>
      <c r="AV67" s="125"/>
      <c r="AW67" s="120">
        <f t="shared" si="54"/>
        <v>0</v>
      </c>
    </row>
    <row r="68" spans="1:49" hidden="1" outlineLevel="1">
      <c r="A68" s="114"/>
      <c r="B68" s="115"/>
      <c r="C68" s="115"/>
      <c r="D68" s="116"/>
      <c r="E68" s="117">
        <f t="shared" si="51"/>
        <v>0</v>
      </c>
      <c r="F68" s="117"/>
      <c r="G68" s="117"/>
      <c r="H68" s="117"/>
      <c r="I68" s="117"/>
      <c r="J68" s="117">
        <f t="shared" si="52"/>
        <v>0</v>
      </c>
      <c r="K68" s="114"/>
      <c r="L68" s="114"/>
      <c r="M68" s="114"/>
      <c r="N68" s="114"/>
      <c r="O68" s="117">
        <f t="shared" si="31"/>
        <v>0</v>
      </c>
      <c r="P68" s="117">
        <f t="shared" si="32"/>
        <v>0</v>
      </c>
      <c r="Q68" s="118"/>
      <c r="R68" s="118"/>
      <c r="S68" s="117">
        <f t="shared" si="33"/>
        <v>0</v>
      </c>
      <c r="T68" s="117"/>
      <c r="U68" s="117"/>
      <c r="V68" s="117">
        <f t="shared" si="34"/>
        <v>0</v>
      </c>
      <c r="W68" s="118"/>
      <c r="X68" s="118"/>
      <c r="Y68" s="117">
        <f t="shared" si="35"/>
        <v>0</v>
      </c>
      <c r="Z68" s="117">
        <f t="shared" si="55"/>
        <v>0</v>
      </c>
      <c r="AA68" s="119">
        <f t="shared" si="50"/>
        <v>0</v>
      </c>
      <c r="AB68" s="117">
        <f t="shared" si="37"/>
        <v>0</v>
      </c>
      <c r="AC68" s="118"/>
      <c r="AD68" s="119">
        <f t="shared" si="38"/>
        <v>0</v>
      </c>
      <c r="AE68" s="118"/>
      <c r="AF68" s="118"/>
      <c r="AG68" s="118"/>
      <c r="AH68" s="118"/>
      <c r="AI68" s="152">
        <f t="shared" si="53"/>
        <v>0</v>
      </c>
      <c r="AJ68" s="118"/>
      <c r="AK68" s="120">
        <f t="shared" si="40"/>
        <v>0</v>
      </c>
      <c r="AL68" s="121">
        <f t="shared" si="41"/>
        <v>0</v>
      </c>
      <c r="AM68" s="122"/>
      <c r="AN68" s="123">
        <f t="shared" si="42"/>
        <v>0</v>
      </c>
      <c r="AO68" s="124">
        <f t="shared" si="43"/>
        <v>0</v>
      </c>
      <c r="AP68" s="124">
        <f t="shared" si="44"/>
        <v>0</v>
      </c>
      <c r="AQ68" s="124">
        <f t="shared" si="45"/>
        <v>0</v>
      </c>
      <c r="AR68" s="124">
        <f t="shared" si="46"/>
        <v>0</v>
      </c>
      <c r="AS68" s="124">
        <f t="array" ref="AS68">_xlfn.IFS(S68=0,AL68,S68&lt;0,AL68/-S68,S68&gt;0,AL68/S68)</f>
        <v>0</v>
      </c>
      <c r="AT68" s="119">
        <f t="shared" si="47"/>
        <v>0</v>
      </c>
      <c r="AU68" s="119">
        <f t="shared" si="48"/>
        <v>0</v>
      </c>
      <c r="AV68" s="125"/>
      <c r="AW68" s="120">
        <f t="shared" si="54"/>
        <v>0</v>
      </c>
    </row>
    <row r="69" spans="1:49" hidden="1" outlineLevel="1">
      <c r="A69" s="114"/>
      <c r="B69" s="115"/>
      <c r="C69" s="115"/>
      <c r="D69" s="116"/>
      <c r="E69" s="117">
        <f t="shared" si="51"/>
        <v>0</v>
      </c>
      <c r="F69" s="117"/>
      <c r="G69" s="117"/>
      <c r="H69" s="117"/>
      <c r="I69" s="117"/>
      <c r="J69" s="117">
        <f t="shared" si="52"/>
        <v>0</v>
      </c>
      <c r="K69" s="114"/>
      <c r="L69" s="114"/>
      <c r="M69" s="114"/>
      <c r="N69" s="114"/>
      <c r="O69" s="117">
        <f t="shared" si="31"/>
        <v>0</v>
      </c>
      <c r="P69" s="117">
        <f t="shared" si="32"/>
        <v>0</v>
      </c>
      <c r="Q69" s="118"/>
      <c r="R69" s="118"/>
      <c r="S69" s="117">
        <f t="shared" si="33"/>
        <v>0</v>
      </c>
      <c r="T69" s="117"/>
      <c r="U69" s="117"/>
      <c r="V69" s="117">
        <f t="shared" si="34"/>
        <v>0</v>
      </c>
      <c r="W69" s="118"/>
      <c r="X69" s="118"/>
      <c r="Y69" s="117">
        <f t="shared" si="35"/>
        <v>0</v>
      </c>
      <c r="Z69" s="117">
        <f t="shared" si="55"/>
        <v>0</v>
      </c>
      <c r="AA69" s="119">
        <f t="shared" si="50"/>
        <v>0</v>
      </c>
      <c r="AB69" s="117">
        <f t="shared" si="37"/>
        <v>0</v>
      </c>
      <c r="AC69" s="118"/>
      <c r="AD69" s="119">
        <f t="shared" si="38"/>
        <v>0</v>
      </c>
      <c r="AE69" s="118"/>
      <c r="AF69" s="118"/>
      <c r="AG69" s="118"/>
      <c r="AH69" s="118"/>
      <c r="AI69" s="152">
        <f t="shared" si="53"/>
        <v>0</v>
      </c>
      <c r="AJ69" s="118"/>
      <c r="AK69" s="120">
        <f t="shared" si="40"/>
        <v>0</v>
      </c>
      <c r="AL69" s="121">
        <f t="shared" si="41"/>
        <v>0</v>
      </c>
      <c r="AM69" s="122"/>
      <c r="AN69" s="123">
        <f t="shared" si="42"/>
        <v>0</v>
      </c>
      <c r="AO69" s="124">
        <f t="shared" si="43"/>
        <v>0</v>
      </c>
      <c r="AP69" s="124">
        <f t="shared" si="44"/>
        <v>0</v>
      </c>
      <c r="AQ69" s="124">
        <f t="shared" si="45"/>
        <v>0</v>
      </c>
      <c r="AR69" s="124">
        <f t="shared" si="46"/>
        <v>0</v>
      </c>
      <c r="AS69" s="124">
        <f t="array" ref="AS69">_xlfn.IFS(S69=0,AL69,S69&lt;0,AL69/-S69,S69&gt;0,AL69/S69)</f>
        <v>0</v>
      </c>
      <c r="AT69" s="119">
        <f t="shared" si="47"/>
        <v>0</v>
      </c>
      <c r="AU69" s="119">
        <f t="shared" si="48"/>
        <v>0</v>
      </c>
      <c r="AV69" s="125"/>
      <c r="AW69" s="120">
        <f t="shared" si="54"/>
        <v>0</v>
      </c>
    </row>
    <row r="70" spans="1:49" hidden="1" outlineLevel="1">
      <c r="A70" s="114"/>
      <c r="B70" s="115"/>
      <c r="C70" s="115"/>
      <c r="D70" s="116"/>
      <c r="E70" s="117">
        <f t="shared" si="51"/>
        <v>0</v>
      </c>
      <c r="F70" s="117"/>
      <c r="G70" s="117"/>
      <c r="H70" s="117"/>
      <c r="I70" s="117"/>
      <c r="J70" s="117">
        <f t="shared" si="52"/>
        <v>0</v>
      </c>
      <c r="K70" s="114"/>
      <c r="L70" s="114"/>
      <c r="M70" s="114"/>
      <c r="N70" s="114"/>
      <c r="O70" s="117">
        <f t="shared" si="31"/>
        <v>0</v>
      </c>
      <c r="P70" s="117">
        <f t="shared" si="32"/>
        <v>0</v>
      </c>
      <c r="Q70" s="118"/>
      <c r="R70" s="118"/>
      <c r="S70" s="117">
        <f t="shared" si="33"/>
        <v>0</v>
      </c>
      <c r="T70" s="117"/>
      <c r="U70" s="117"/>
      <c r="V70" s="117">
        <f t="shared" si="34"/>
        <v>0</v>
      </c>
      <c r="W70" s="118"/>
      <c r="X70" s="118"/>
      <c r="Y70" s="117">
        <f t="shared" si="35"/>
        <v>0</v>
      </c>
      <c r="Z70" s="117">
        <f t="shared" si="55"/>
        <v>0</v>
      </c>
      <c r="AA70" s="119">
        <f t="shared" si="50"/>
        <v>0</v>
      </c>
      <c r="AB70" s="117">
        <f t="shared" si="37"/>
        <v>0</v>
      </c>
      <c r="AC70" s="118"/>
      <c r="AD70" s="119">
        <f t="shared" si="38"/>
        <v>0</v>
      </c>
      <c r="AE70" s="118"/>
      <c r="AF70" s="118"/>
      <c r="AG70" s="118"/>
      <c r="AH70" s="118"/>
      <c r="AI70" s="152">
        <f t="shared" si="53"/>
        <v>0</v>
      </c>
      <c r="AJ70" s="118"/>
      <c r="AK70" s="120">
        <f t="shared" si="40"/>
        <v>0</v>
      </c>
      <c r="AL70" s="121">
        <f t="shared" si="41"/>
        <v>0</v>
      </c>
      <c r="AM70" s="122"/>
      <c r="AN70" s="123">
        <f t="shared" si="42"/>
        <v>0</v>
      </c>
      <c r="AO70" s="124">
        <f t="shared" si="43"/>
        <v>0</v>
      </c>
      <c r="AP70" s="124">
        <f t="shared" si="44"/>
        <v>0</v>
      </c>
      <c r="AQ70" s="124">
        <f t="shared" si="45"/>
        <v>0</v>
      </c>
      <c r="AR70" s="124">
        <f t="shared" si="46"/>
        <v>0</v>
      </c>
      <c r="AS70" s="124">
        <f t="array" ref="AS70">_xlfn.IFS(S70=0,AL70,S70&lt;0,AL70/-S70,S70&gt;0,AL70/S70)</f>
        <v>0</v>
      </c>
      <c r="AT70" s="119">
        <f t="shared" si="47"/>
        <v>0</v>
      </c>
      <c r="AU70" s="119">
        <f t="shared" si="48"/>
        <v>0</v>
      </c>
      <c r="AV70" s="125"/>
      <c r="AW70" s="120">
        <f t="shared" si="54"/>
        <v>0</v>
      </c>
    </row>
    <row r="71" spans="1:49" collapsed="1">
      <c r="A71" s="158"/>
      <c r="B71" s="126"/>
      <c r="C71" s="114"/>
      <c r="D71" s="158"/>
      <c r="E71" s="117"/>
      <c r="F71" s="117"/>
      <c r="G71" s="117"/>
      <c r="H71" s="117"/>
      <c r="I71" s="117"/>
      <c r="J71" s="117"/>
      <c r="K71" s="159"/>
      <c r="L71" s="160"/>
      <c r="M71" s="160"/>
      <c r="N71" s="160"/>
      <c r="O71" s="159"/>
      <c r="P71" s="159"/>
      <c r="Q71" s="117"/>
      <c r="R71" s="117"/>
      <c r="S71" s="117"/>
      <c r="T71" s="117"/>
      <c r="U71" s="117"/>
      <c r="V71" s="117"/>
      <c r="W71" s="117"/>
      <c r="X71" s="117"/>
      <c r="Y71" s="117"/>
      <c r="Z71" s="117"/>
      <c r="AA71" s="119"/>
      <c r="AB71" s="117"/>
      <c r="AC71" s="117"/>
      <c r="AD71" s="119"/>
      <c r="AE71" s="117"/>
      <c r="AF71" s="118"/>
      <c r="AG71" s="118"/>
      <c r="AH71" s="118"/>
      <c r="AI71" s="152"/>
      <c r="AJ71" s="118"/>
      <c r="AK71" s="120"/>
      <c r="AL71" s="121"/>
      <c r="AM71" s="122"/>
      <c r="AN71" s="161">
        <f>AVERAGE(AN19:AN70)</f>
        <v>0</v>
      </c>
      <c r="AO71" s="161">
        <f t="shared" ref="AO71:AU71" si="56">AVERAGE(AO19:AO70)</f>
        <v>0</v>
      </c>
      <c r="AP71" s="161">
        <f t="shared" si="56"/>
        <v>0</v>
      </c>
      <c r="AQ71" s="161">
        <f t="shared" si="56"/>
        <v>0</v>
      </c>
      <c r="AR71" s="161">
        <f t="shared" si="56"/>
        <v>0</v>
      </c>
      <c r="AS71" s="161">
        <f t="shared" si="56"/>
        <v>0</v>
      </c>
      <c r="AT71" s="162">
        <f t="shared" si="56"/>
        <v>0</v>
      </c>
      <c r="AU71" s="162">
        <f t="shared" si="56"/>
        <v>0</v>
      </c>
      <c r="AV71" s="125"/>
      <c r="AW71" s="120"/>
    </row>
    <row r="72" spans="1:49" s="171" customFormat="1" ht="15" customHeight="1">
      <c r="A72" s="163" t="s">
        <v>107</v>
      </c>
      <c r="B72" s="164"/>
      <c r="C72" s="165"/>
      <c r="D72" s="165"/>
      <c r="E72" s="165">
        <f>SUM(E19:E70)</f>
        <v>0</v>
      </c>
      <c r="F72" s="165">
        <f>SUM(F19:F70)</f>
        <v>0</v>
      </c>
      <c r="G72" s="165">
        <f>SUM(G19:G70)</f>
        <v>0</v>
      </c>
      <c r="H72" s="165">
        <f>SUM(H19:H70)</f>
        <v>0</v>
      </c>
      <c r="I72" s="165"/>
      <c r="J72" s="165">
        <f>SUM(J19:J70)</f>
        <v>0</v>
      </c>
      <c r="K72" s="165"/>
      <c r="L72" s="165">
        <f>SUM(L19:L70)</f>
        <v>0</v>
      </c>
      <c r="M72" s="165"/>
      <c r="N72" s="165"/>
      <c r="O72" s="165"/>
      <c r="P72" s="165"/>
      <c r="Q72" s="165">
        <f t="shared" ref="Q72:AC72" si="57">SUM(Q19:Q70)</f>
        <v>0</v>
      </c>
      <c r="R72" s="165">
        <f t="shared" si="57"/>
        <v>0</v>
      </c>
      <c r="S72" s="165">
        <f t="shared" si="57"/>
        <v>0</v>
      </c>
      <c r="T72" s="165">
        <f t="shared" si="57"/>
        <v>0</v>
      </c>
      <c r="U72" s="165">
        <f t="shared" si="57"/>
        <v>0</v>
      </c>
      <c r="V72" s="165">
        <f t="shared" si="57"/>
        <v>0</v>
      </c>
      <c r="W72" s="165">
        <f t="shared" si="57"/>
        <v>0</v>
      </c>
      <c r="X72" s="165">
        <f t="shared" si="57"/>
        <v>0</v>
      </c>
      <c r="Y72" s="165">
        <f t="shared" si="57"/>
        <v>0</v>
      </c>
      <c r="Z72" s="165">
        <f t="shared" si="57"/>
        <v>0</v>
      </c>
      <c r="AA72" s="166">
        <f t="shared" si="57"/>
        <v>0</v>
      </c>
      <c r="AB72" s="167">
        <f t="shared" si="57"/>
        <v>0</v>
      </c>
      <c r="AC72" s="165">
        <f t="shared" si="57"/>
        <v>0</v>
      </c>
      <c r="AD72" s="166" t="e">
        <f>AC72/Y72</f>
        <v>#DIV/0!</v>
      </c>
      <c r="AE72" s="165">
        <f t="shared" ref="AE72:AK72" si="58">SUM(AE19:AE70)</f>
        <v>0</v>
      </c>
      <c r="AF72" s="165">
        <f t="shared" si="58"/>
        <v>0</v>
      </c>
      <c r="AG72" s="165">
        <f>SUM(AG19:AG70)</f>
        <v>0</v>
      </c>
      <c r="AH72" s="165">
        <f>SUM(AH19:AH70)</f>
        <v>0</v>
      </c>
      <c r="AI72" s="168">
        <f>SUM(AI19:AI70)</f>
        <v>0</v>
      </c>
      <c r="AJ72" s="165">
        <f t="shared" si="58"/>
        <v>0</v>
      </c>
      <c r="AK72" s="165">
        <f t="shared" si="58"/>
        <v>0</v>
      </c>
      <c r="AL72" s="165">
        <f>SUM(AL19:AL70)</f>
        <v>0</v>
      </c>
      <c r="AM72" s="169"/>
      <c r="AN72" s="165"/>
      <c r="AO72" s="165"/>
      <c r="AP72" s="165"/>
      <c r="AQ72" s="165"/>
      <c r="AR72" s="165" t="e">
        <f>(AF72+AG72)/Q72</f>
        <v>#DIV/0!</v>
      </c>
      <c r="AS72" s="165"/>
      <c r="AT72" s="165"/>
      <c r="AU72" s="165"/>
      <c r="AV72" s="170"/>
      <c r="AW72" s="165">
        <f>SUM(AW19:AW70)</f>
        <v>0</v>
      </c>
    </row>
    <row r="73" spans="1:49" s="175" customFormat="1">
      <c r="A73" s="172"/>
      <c r="B73" s="173"/>
      <c r="C73" s="174"/>
      <c r="D73" s="174"/>
      <c r="L73" s="176"/>
      <c r="M73" s="176"/>
      <c r="N73" s="176"/>
      <c r="P73" s="177"/>
      <c r="Q73" s="178"/>
      <c r="R73" s="178"/>
      <c r="S73" s="179"/>
      <c r="T73" s="179"/>
      <c r="U73" s="179"/>
      <c r="V73" s="179"/>
      <c r="W73" s="178"/>
      <c r="X73" s="179"/>
      <c r="Y73" s="179"/>
      <c r="Z73" s="179"/>
      <c r="AC73" s="180"/>
      <c r="AE73" s="178"/>
      <c r="AF73" s="215"/>
      <c r="AG73" s="215"/>
      <c r="AH73" s="181"/>
      <c r="AI73" s="182"/>
      <c r="AJ73" s="183"/>
      <c r="AM73" s="184"/>
      <c r="AN73" s="176"/>
      <c r="AO73" s="176"/>
      <c r="AP73" s="176"/>
      <c r="AQ73" s="176"/>
      <c r="AR73" s="176"/>
      <c r="AS73" s="176"/>
      <c r="AT73" s="176"/>
      <c r="AU73" s="176"/>
      <c r="AV73" s="185"/>
    </row>
    <row r="74" spans="1:49" s="194" customFormat="1">
      <c r="A74" s="186" t="s">
        <v>7</v>
      </c>
      <c r="B74" s="187"/>
      <c r="C74" s="188"/>
      <c r="D74" s="188"/>
      <c r="E74" s="188">
        <f t="shared" ref="E74:AC74" si="59">E17+E72</f>
        <v>2362</v>
      </c>
      <c r="F74" s="188">
        <f t="shared" si="59"/>
        <v>51</v>
      </c>
      <c r="G74" s="188">
        <f t="shared" si="59"/>
        <v>17</v>
      </c>
      <c r="H74" s="188">
        <f t="shared" si="59"/>
        <v>2294</v>
      </c>
      <c r="I74" s="188">
        <f t="shared" si="59"/>
        <v>0</v>
      </c>
      <c r="J74" s="188">
        <f t="shared" si="59"/>
        <v>322784.88</v>
      </c>
      <c r="K74" s="188">
        <f t="shared" si="59"/>
        <v>0</v>
      </c>
      <c r="L74" s="188">
        <f t="shared" si="59"/>
        <v>62</v>
      </c>
      <c r="M74" s="188">
        <f t="shared" si="59"/>
        <v>0</v>
      </c>
      <c r="N74" s="188">
        <f t="shared" si="59"/>
        <v>0</v>
      </c>
      <c r="O74" s="188">
        <f t="shared" si="59"/>
        <v>0</v>
      </c>
      <c r="P74" s="188">
        <f t="shared" si="59"/>
        <v>0</v>
      </c>
      <c r="Q74" s="188">
        <f t="shared" si="59"/>
        <v>49</v>
      </c>
      <c r="R74" s="188">
        <f t="shared" si="59"/>
        <v>-1</v>
      </c>
      <c r="S74" s="188">
        <f t="shared" si="59"/>
        <v>48</v>
      </c>
      <c r="T74" s="188">
        <f t="shared" si="59"/>
        <v>45785.47</v>
      </c>
      <c r="U74" s="188">
        <f t="shared" si="59"/>
        <v>-948</v>
      </c>
      <c r="V74" s="188">
        <f t="shared" si="59"/>
        <v>44837.47</v>
      </c>
      <c r="W74" s="188">
        <f t="shared" si="59"/>
        <v>56919.740000000005</v>
      </c>
      <c r="X74" s="188">
        <f t="shared" si="59"/>
        <v>-1174</v>
      </c>
      <c r="Y74" s="188">
        <f t="shared" si="59"/>
        <v>55745.740000000005</v>
      </c>
      <c r="Z74" s="188">
        <f t="shared" si="59"/>
        <v>56225.68</v>
      </c>
      <c r="AA74" s="189">
        <f t="shared" si="59"/>
        <v>0.99999999999999989</v>
      </c>
      <c r="AB74" s="190">
        <f t="shared" si="59"/>
        <v>6528.420000000001</v>
      </c>
      <c r="AC74" s="188">
        <f t="shared" si="59"/>
        <v>19306.860000000004</v>
      </c>
      <c r="AD74" s="189">
        <f>AC74/Y74</f>
        <v>0.34633785469526462</v>
      </c>
      <c r="AE74" s="190">
        <f>AE17+AE72</f>
        <v>6055.25</v>
      </c>
      <c r="AF74" s="191">
        <f>AF17+AF72</f>
        <v>2922</v>
      </c>
      <c r="AG74" s="191">
        <f>AG17+AG72</f>
        <v>3464</v>
      </c>
      <c r="AH74" s="191">
        <f>AH17+AH72</f>
        <v>0</v>
      </c>
      <c r="AI74" s="192">
        <v>1361.68</v>
      </c>
      <c r="AJ74" s="188">
        <f>AJ17+AJ72</f>
        <v>0</v>
      </c>
      <c r="AK74" s="188">
        <f>AK17+AK72</f>
        <v>448.37469999999996</v>
      </c>
      <c r="AL74" s="188">
        <f>AL17+AL72</f>
        <v>15659.155299999999</v>
      </c>
      <c r="AM74" s="188"/>
      <c r="AN74" s="188"/>
      <c r="AO74" s="188"/>
      <c r="AP74" s="188"/>
      <c r="AQ74" s="188"/>
      <c r="AR74" s="188">
        <f>(AF74+AG74)/Q74</f>
        <v>130.32653061224491</v>
      </c>
      <c r="AS74" s="188"/>
      <c r="AT74" s="188"/>
      <c r="AU74" s="188"/>
      <c r="AV74" s="193"/>
      <c r="AW74" s="188">
        <f>AW17+AW72</f>
        <v>354775.89467117121</v>
      </c>
    </row>
    <row r="75" spans="1:49" s="175" customFormat="1">
      <c r="A75" s="174"/>
      <c r="B75" s="173"/>
      <c r="C75" s="195"/>
      <c r="D75" s="174"/>
      <c r="L75" s="176"/>
      <c r="M75" s="176"/>
      <c r="N75" s="176"/>
      <c r="P75" s="177"/>
      <c r="Q75" s="178"/>
      <c r="R75" s="178"/>
      <c r="S75" s="179"/>
      <c r="T75" s="179"/>
      <c r="U75" s="179"/>
      <c r="V75" s="179"/>
      <c r="W75" s="178"/>
      <c r="X75" s="179"/>
      <c r="Y75" s="179"/>
      <c r="Z75" s="179"/>
      <c r="AC75" s="180"/>
      <c r="AE75" s="196"/>
      <c r="AF75" s="215"/>
      <c r="AG75" s="215"/>
      <c r="AH75" s="181"/>
      <c r="AI75" s="182"/>
      <c r="AJ75" s="183"/>
      <c r="AM75" s="184"/>
      <c r="AN75" s="184"/>
      <c r="AO75" s="184"/>
      <c r="AP75" s="184"/>
      <c r="AQ75" s="184"/>
      <c r="AR75" s="184"/>
      <c r="AS75" s="184"/>
      <c r="AT75" s="184"/>
      <c r="AU75" s="184"/>
      <c r="AV75" s="185"/>
    </row>
    <row r="76" spans="1:49">
      <c r="C76" s="198"/>
      <c r="D76" s="198"/>
    </row>
    <row r="77" spans="1:49">
      <c r="C77" s="198"/>
      <c r="D77" s="198"/>
    </row>
  </sheetData>
  <mergeCells count="7">
    <mergeCell ref="AF1:AG1"/>
    <mergeCell ref="AN1:AU1"/>
    <mergeCell ref="F1:H1"/>
    <mergeCell ref="L1:N1"/>
    <mergeCell ref="Q1:R1"/>
    <mergeCell ref="T1:U1"/>
    <mergeCell ref="W1:X1"/>
  </mergeCells>
  <conditionalFormatting sqref="K71:M71 K18:K70 K3:K16">
    <cfRule type="cellIs" dxfId="10" priority="4" operator="greaterThan">
      <formula>120</formula>
    </cfRule>
  </conditionalFormatting>
  <conditionalFormatting sqref="O71">
    <cfRule type="cellIs" dxfId="9" priority="3" operator="between">
      <formula>0.000001</formula>
      <formula>25</formula>
    </cfRule>
  </conditionalFormatting>
  <conditionalFormatting sqref="AA73 AA75:AA1048576">
    <cfRule type="cellIs" dxfId="8" priority="5" operator="greaterThan">
      <formula>0.23</formula>
    </cfRule>
  </conditionalFormatting>
  <conditionalFormatting sqref="Y18:AA71 Y3:AA16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{7D26BA38-B552-4035-A04A-7C722E38F4E6}</x14:id>
        </ext>
      </extLst>
    </cfRule>
  </conditionalFormatting>
  <conditionalFormatting sqref="AS18:AS70 AS3:AS15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{94A47C00-4D09-4AB9-8FCE-A95DAC2C312F}</x14:id>
        </ext>
      </extLst>
    </cfRule>
  </conditionalFormatting>
  <conditionalFormatting sqref="AT18:AU70 AT3:AU15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{834CD61E-E511-40A7-B864-F98B19779313}</x14:id>
        </ext>
      </extLst>
    </cfRule>
  </conditionalFormatting>
  <conditionalFormatting sqref="AW18:AW71 AW3:AW16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{AB2314BD-4D59-48F3-8BFD-4699C4511057}</x14:id>
        </ext>
      </extLst>
    </cfRule>
  </conditionalFormatting>
  <conditionalFormatting sqref="AA18:AA70 AA3:AA16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{DD462BF9-2750-4824-8931-C5EBEBF54B45}</x14:id>
        </ext>
      </extLst>
    </cfRule>
  </conditionalFormatting>
  <conditionalFormatting sqref="AW18:AW70 AW3:AW16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{374BFDA8-4FB8-4502-865F-798F710DFF87}</x14:id>
        </ext>
      </extLst>
    </cfRule>
  </conditionalFormatting>
  <conditionalFormatting sqref="AL18:AL71 AL3:AL16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{4669039D-1BCE-4336-97AF-1B53F1A6D925}</x14:id>
        </ext>
      </extLst>
    </cfRule>
  </conditionalFormatting>
  <conditionalFormatting sqref="AL18:AL70 AL3:AL16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{387CD5DC-0F83-40E7-A23A-9694D991571C}</x14:id>
        </ext>
      </extLst>
    </cfRule>
  </conditionalFormatting>
  <conditionalFormatting sqref="AA1">
    <cfRule type="cellIs" dxfId="7" priority="1" operator="greaterThan">
      <formula>0.23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D26BA38-B552-4035-A04A-7C722E38F4E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Y18:AA71 Y3:AA16</xm:sqref>
        </x14:conditionalFormatting>
        <x14:conditionalFormatting xmlns:xm="http://schemas.microsoft.com/office/excel/2006/main">
          <x14:cfRule type="dataBar" id="{94A47C00-4D09-4AB9-8FCE-A95DAC2C312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AS18:AS70 AS3:AS15</xm:sqref>
        </x14:conditionalFormatting>
        <x14:conditionalFormatting xmlns:xm="http://schemas.microsoft.com/office/excel/2006/main">
          <x14:cfRule type="dataBar" id="{834CD61E-E511-40A7-B864-F98B1977931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AT18:AU70 AT3:AU15</xm:sqref>
        </x14:conditionalFormatting>
        <x14:conditionalFormatting xmlns:xm="http://schemas.microsoft.com/office/excel/2006/main">
          <x14:cfRule type="dataBar" id="{AB2314BD-4D59-48F3-8BFD-4699C451105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AW18:AW71 AW3:AW16</xm:sqref>
        </x14:conditionalFormatting>
        <x14:conditionalFormatting xmlns:xm="http://schemas.microsoft.com/office/excel/2006/main">
          <x14:cfRule type="dataBar" id="{DD462BF9-2750-4824-8931-C5EBEBF54B4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AA18:AA70 AA3:AA16</xm:sqref>
        </x14:conditionalFormatting>
        <x14:conditionalFormatting xmlns:xm="http://schemas.microsoft.com/office/excel/2006/main">
          <x14:cfRule type="dataBar" id="{374BFDA8-4FB8-4502-865F-798F710DFF8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AW18:AW70 AW3:AW16</xm:sqref>
        </x14:conditionalFormatting>
        <x14:conditionalFormatting xmlns:xm="http://schemas.microsoft.com/office/excel/2006/main">
          <x14:cfRule type="dataBar" id="{4669039D-1BCE-4336-97AF-1B53F1A6D9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AL18:AL71 AL3:AL16</xm:sqref>
        </x14:conditionalFormatting>
        <x14:conditionalFormatting xmlns:xm="http://schemas.microsoft.com/office/excel/2006/main">
          <x14:cfRule type="dataBar" id="{387CD5DC-0F83-40E7-A23A-9694D991571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AL18:AL70 AL3:AL16</xm:sqref>
        </x14:conditionalFormatting>
      </x14:conditionalFormatting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B5F24-26F8-4E79-AEF8-2A95060E60A5}">
  <dimension ref="A1:AW77"/>
  <sheetViews>
    <sheetView zoomScale="70" zoomScaleNormal="70" workbookViewId="0">
      <pane xSplit="3" ySplit="2" topLeftCell="P3" activePane="bottomRight" state="frozen"/>
      <selection pane="topRight" activeCell="D1" sqref="D1"/>
      <selection pane="bottomLeft" activeCell="A3" sqref="A3"/>
      <selection pane="bottomRight" activeCell="AY3" sqref="AY3"/>
    </sheetView>
  </sheetViews>
  <sheetFormatPr defaultColWidth="12.54296875" defaultRowHeight="14.5" outlineLevelRow="1"/>
  <cols>
    <col min="1" max="1" width="9.08984375" style="197" customWidth="1"/>
    <col min="2" max="2" width="12.54296875" style="202"/>
    <col min="3" max="3" width="19.90625" style="197" customWidth="1"/>
    <col min="4" max="4" width="16.6328125" style="197" customWidth="1"/>
    <col min="5" max="5" width="12.36328125" style="126" customWidth="1"/>
    <col min="6" max="6" width="10.90625" style="126" customWidth="1"/>
    <col min="7" max="8" width="12.36328125" style="126" customWidth="1"/>
    <col min="9" max="9" width="13.36328125" style="126" customWidth="1"/>
    <col min="10" max="10" width="14.1796875" style="126" customWidth="1"/>
    <col min="11" max="11" width="14.26953125" style="126" customWidth="1"/>
    <col min="12" max="12" width="13.6328125" style="126" customWidth="1"/>
    <col min="13" max="13" width="15.08984375" style="126" customWidth="1"/>
    <col min="14" max="14" width="14.54296875" style="126" customWidth="1"/>
    <col min="15" max="16" width="11" style="126" customWidth="1"/>
    <col min="17" max="17" width="11.1796875" style="126" customWidth="1"/>
    <col min="18" max="18" width="12.08984375" style="126" customWidth="1"/>
    <col min="19" max="22" width="11.26953125" style="199" customWidth="1"/>
    <col min="23" max="23" width="13.1796875" style="199" customWidth="1"/>
    <col min="24" max="24" width="12.36328125" style="199" customWidth="1"/>
    <col min="25" max="25" width="20.7265625" style="199" customWidth="1"/>
    <col min="26" max="26" width="15.90625" style="199" customWidth="1"/>
    <col min="27" max="27" width="13.36328125" style="200" customWidth="1"/>
    <col min="28" max="28" width="14.453125" style="126" customWidth="1"/>
    <col min="29" max="29" width="17.81640625" style="126" customWidth="1"/>
    <col min="30" max="30" width="14.26953125" style="126" customWidth="1"/>
    <col min="31" max="31" width="19.08984375" style="126" customWidth="1"/>
    <col min="32" max="34" width="10.36328125" style="117" customWidth="1"/>
    <col min="35" max="35" width="18.08984375" style="201" customWidth="1"/>
    <col min="36" max="36" width="18.6328125" style="117" customWidth="1"/>
    <col min="37" max="37" width="12.54296875" style="126"/>
    <col min="38" max="38" width="18.90625" style="126" customWidth="1"/>
    <col min="39" max="39" width="3.08984375" style="126" customWidth="1"/>
    <col min="40" max="40" width="19.90625" style="126" customWidth="1"/>
    <col min="41" max="41" width="14.26953125" style="126" customWidth="1"/>
    <col min="42" max="42" width="9.6328125" style="126" customWidth="1"/>
    <col min="43" max="43" width="11.1796875" style="126" customWidth="1"/>
    <col min="44" max="44" width="9.54296875" style="126" customWidth="1"/>
    <col min="45" max="45" width="10.1796875" style="126" customWidth="1"/>
    <col min="46" max="46" width="11.7265625" style="126" customWidth="1"/>
    <col min="47" max="47" width="12.54296875" style="126"/>
    <col min="48" max="48" width="3.36328125" style="140" customWidth="1"/>
    <col min="49" max="16384" width="12.54296875" style="126"/>
  </cols>
  <sheetData>
    <row r="1" spans="1:49" s="95" customFormat="1" ht="16" customHeight="1">
      <c r="A1" s="92" t="s">
        <v>134</v>
      </c>
      <c r="B1" s="93"/>
      <c r="C1" s="92"/>
      <c r="D1" s="92"/>
      <c r="E1" s="94"/>
      <c r="F1" s="348" t="s">
        <v>47</v>
      </c>
      <c r="G1" s="348"/>
      <c r="H1" s="348"/>
      <c r="K1" s="234" t="s">
        <v>48</v>
      </c>
      <c r="L1" s="348" t="s">
        <v>49</v>
      </c>
      <c r="M1" s="348"/>
      <c r="N1" s="348"/>
      <c r="P1" s="96"/>
      <c r="Q1" s="349"/>
      <c r="R1" s="349"/>
      <c r="S1" s="240"/>
      <c r="T1" s="350"/>
      <c r="U1" s="351"/>
      <c r="V1" s="240"/>
      <c r="W1" s="349"/>
      <c r="X1" s="349"/>
      <c r="Y1" s="96"/>
      <c r="Z1" s="96"/>
      <c r="AA1" s="96"/>
      <c r="AB1" s="96"/>
      <c r="AC1" s="239"/>
      <c r="AD1" s="240"/>
      <c r="AE1" s="239"/>
      <c r="AF1" s="352"/>
      <c r="AG1" s="352"/>
      <c r="AH1" s="235"/>
      <c r="AI1" s="97" t="s">
        <v>50</v>
      </c>
      <c r="AJ1" s="239"/>
      <c r="AM1" s="98"/>
      <c r="AN1" s="343" t="s">
        <v>51</v>
      </c>
      <c r="AO1" s="344"/>
      <c r="AP1" s="344"/>
      <c r="AQ1" s="344"/>
      <c r="AR1" s="344"/>
      <c r="AS1" s="344"/>
      <c r="AT1" s="344"/>
      <c r="AU1" s="345"/>
      <c r="AV1" s="99"/>
    </row>
    <row r="2" spans="1:49" s="113" customFormat="1" ht="50.5" customHeight="1">
      <c r="A2" s="100" t="s">
        <v>52</v>
      </c>
      <c r="B2" s="101" t="s">
        <v>53</v>
      </c>
      <c r="C2" s="100" t="s">
        <v>54</v>
      </c>
      <c r="D2" s="100" t="s">
        <v>55</v>
      </c>
      <c r="E2" s="100" t="s">
        <v>56</v>
      </c>
      <c r="F2" s="102" t="s">
        <v>57</v>
      </c>
      <c r="G2" s="102" t="s">
        <v>58</v>
      </c>
      <c r="H2" s="102" t="s">
        <v>59</v>
      </c>
      <c r="I2" s="100" t="s">
        <v>60</v>
      </c>
      <c r="J2" s="100" t="s">
        <v>61</v>
      </c>
      <c r="K2" s="103" t="s">
        <v>62</v>
      </c>
      <c r="L2" s="103" t="s">
        <v>63</v>
      </c>
      <c r="M2" s="103" t="s">
        <v>64</v>
      </c>
      <c r="N2" s="103" t="s">
        <v>65</v>
      </c>
      <c r="O2" s="104" t="s">
        <v>66</v>
      </c>
      <c r="P2" s="104" t="s">
        <v>67</v>
      </c>
      <c r="Q2" s="105" t="s">
        <v>68</v>
      </c>
      <c r="R2" s="105" t="s">
        <v>69</v>
      </c>
      <c r="S2" s="100" t="s">
        <v>70</v>
      </c>
      <c r="T2" s="102" t="s">
        <v>71</v>
      </c>
      <c r="U2" s="102" t="s">
        <v>72</v>
      </c>
      <c r="V2" s="106" t="s">
        <v>73</v>
      </c>
      <c r="W2" s="105" t="s">
        <v>74</v>
      </c>
      <c r="X2" s="105" t="s">
        <v>75</v>
      </c>
      <c r="Y2" s="107" t="s">
        <v>76</v>
      </c>
      <c r="Z2" s="108" t="s">
        <v>77</v>
      </c>
      <c r="AA2" s="107" t="s">
        <v>78</v>
      </c>
      <c r="AB2" s="107" t="s">
        <v>18</v>
      </c>
      <c r="AC2" s="109" t="s">
        <v>79</v>
      </c>
      <c r="AD2" s="110" t="s">
        <v>80</v>
      </c>
      <c r="AE2" s="105" t="s">
        <v>8</v>
      </c>
      <c r="AF2" s="104" t="s">
        <v>25</v>
      </c>
      <c r="AG2" s="104" t="s">
        <v>26</v>
      </c>
      <c r="AH2" s="104" t="s">
        <v>27</v>
      </c>
      <c r="AI2" s="105" t="s">
        <v>9</v>
      </c>
      <c r="AJ2" s="105" t="s">
        <v>81</v>
      </c>
      <c r="AK2" s="100" t="s">
        <v>82</v>
      </c>
      <c r="AL2" s="100" t="s">
        <v>11</v>
      </c>
      <c r="AM2" s="111"/>
      <c r="AN2" s="110" t="s">
        <v>83</v>
      </c>
      <c r="AO2" s="110" t="s">
        <v>84</v>
      </c>
      <c r="AP2" s="110" t="s">
        <v>85</v>
      </c>
      <c r="AQ2" s="110" t="s">
        <v>86</v>
      </c>
      <c r="AR2" s="110" t="s">
        <v>87</v>
      </c>
      <c r="AS2" s="110" t="s">
        <v>88</v>
      </c>
      <c r="AT2" s="110" t="s">
        <v>89</v>
      </c>
      <c r="AU2" s="110" t="s">
        <v>90</v>
      </c>
      <c r="AV2" s="112"/>
      <c r="AW2" s="100" t="s">
        <v>91</v>
      </c>
    </row>
    <row r="3" spans="1:49" outlineLevel="1">
      <c r="A3" s="114"/>
      <c r="B3" s="115">
        <v>341479791</v>
      </c>
      <c r="C3" s="115" t="s">
        <v>92</v>
      </c>
      <c r="D3" s="116" t="s">
        <v>93</v>
      </c>
      <c r="E3" s="117"/>
      <c r="F3" s="117"/>
      <c r="G3" s="117"/>
      <c r="H3" s="238">
        <v>449</v>
      </c>
      <c r="I3" s="117">
        <v>142.97999999999999</v>
      </c>
      <c r="J3" s="117">
        <f t="shared" ref="J3:J15" si="0">E3*I3</f>
        <v>0</v>
      </c>
      <c r="K3" s="114"/>
      <c r="L3" s="114">
        <v>23</v>
      </c>
      <c r="M3" s="114">
        <v>1254</v>
      </c>
      <c r="N3" s="114">
        <v>57</v>
      </c>
      <c r="O3" s="213">
        <f t="shared" ref="O3:O15" si="1">L3/7</f>
        <v>3.2857142857142856</v>
      </c>
      <c r="P3" s="117">
        <f t="shared" ref="P3" si="2">S3/7</f>
        <v>1.1428571428571428</v>
      </c>
      <c r="Q3" s="118">
        <v>8</v>
      </c>
      <c r="R3" s="118">
        <v>0</v>
      </c>
      <c r="S3" s="117">
        <f>Q3+R3</f>
        <v>8</v>
      </c>
      <c r="T3" s="118">
        <v>8429</v>
      </c>
      <c r="U3" s="118">
        <v>0</v>
      </c>
      <c r="V3" s="117">
        <f>T3+U3</f>
        <v>8429</v>
      </c>
      <c r="W3" s="118">
        <v>10152</v>
      </c>
      <c r="X3" s="118">
        <v>0</v>
      </c>
      <c r="Y3" s="117">
        <f t="shared" ref="Y3:Y15" si="3">W3+X3</f>
        <v>10152</v>
      </c>
      <c r="Z3" s="117">
        <f>L3*M3*N3/100</f>
        <v>16439.939999999999</v>
      </c>
      <c r="AA3" s="119">
        <f t="shared" ref="AA3:AA15" si="4">Y3/$Y$74</f>
        <v>0.19906327317904754</v>
      </c>
      <c r="AB3" s="117">
        <f>S3*I3</f>
        <v>1143.8399999999999</v>
      </c>
      <c r="AC3" s="118">
        <v>3685.3399999999992</v>
      </c>
      <c r="AD3" s="119">
        <f t="shared" ref="AD3:AD15" si="5">IF(Y3=0,0,AC3/Y3)</f>
        <v>0.3630161544523246</v>
      </c>
      <c r="AE3" s="118">
        <v>1020.6499999999999</v>
      </c>
      <c r="AF3" s="118"/>
      <c r="AG3" s="118">
        <v>1436</v>
      </c>
      <c r="AH3" s="118">
        <v>0</v>
      </c>
      <c r="AI3" s="152">
        <f t="shared" ref="AI3:AI15" si="6">IFERROR($AI$74*H3/$H$74,0)</f>
        <v>194.52655599999997</v>
      </c>
      <c r="AJ3" s="118">
        <v>0</v>
      </c>
      <c r="AK3" s="120">
        <f>V3*1%</f>
        <v>84.29</v>
      </c>
      <c r="AL3" s="121">
        <f>Y3-AB3-AC3-AE3-AF3-AG3-AH3-AI3-AK3-AJ3</f>
        <v>2587.3534440000012</v>
      </c>
      <c r="AM3" s="122"/>
      <c r="AN3" s="123">
        <f t="shared" ref="AN3:AN15" si="7">IF(S3=0,0,Y3/S3)</f>
        <v>1269</v>
      </c>
      <c r="AO3" s="124">
        <f t="shared" ref="AO3:AO15" si="8">I3</f>
        <v>142.97999999999999</v>
      </c>
      <c r="AP3" s="124">
        <f t="shared" ref="AP3:AP15" si="9">IF(S3=0,0,AC3/S3)</f>
        <v>460.6674999999999</v>
      </c>
      <c r="AQ3" s="124">
        <f>IF(Q3=0,AE3/1,AE3/Q3)</f>
        <v>127.58124999999998</v>
      </c>
      <c r="AR3" s="124">
        <f>IF(Q3=0,0,(AF3+AG3)/Q3)</f>
        <v>179.5</v>
      </c>
      <c r="AS3" s="124">
        <f>_xlfn.IFS(S3=0,AL3,S3&lt;0,AL3/-S3,S3&gt;0,AL3/S3)</f>
        <v>323.41918050000015</v>
      </c>
      <c r="AT3" s="119">
        <f t="shared" ref="AT3" si="10">IF(AN3=0,0,AS3/AN3)</f>
        <v>0.25486145035461005</v>
      </c>
      <c r="AU3" s="119">
        <f t="shared" ref="AU3" si="11">IF(AO3=0,0,AS3/AO3)</f>
        <v>2.2619889530004209</v>
      </c>
      <c r="AV3" s="125"/>
      <c r="AW3" s="120">
        <f t="shared" ref="AW3:AW15" si="12">AS3*E3</f>
        <v>0</v>
      </c>
    </row>
    <row r="4" spans="1:49" outlineLevel="1">
      <c r="A4" s="114"/>
      <c r="B4" s="115">
        <v>340343575</v>
      </c>
      <c r="C4" s="115" t="s">
        <v>94</v>
      </c>
      <c r="D4" s="116" t="s">
        <v>93</v>
      </c>
      <c r="E4" s="117"/>
      <c r="F4" s="117"/>
      <c r="G4" s="117"/>
      <c r="H4" s="238">
        <v>284</v>
      </c>
      <c r="I4" s="117">
        <v>123.09</v>
      </c>
      <c r="J4" s="117">
        <f t="shared" si="0"/>
        <v>0</v>
      </c>
      <c r="K4" s="114"/>
      <c r="L4" s="114">
        <v>1</v>
      </c>
      <c r="M4" s="114">
        <v>1052</v>
      </c>
      <c r="N4" s="114">
        <v>0</v>
      </c>
      <c r="O4" s="213">
        <f t="shared" si="1"/>
        <v>0.14285714285714285</v>
      </c>
      <c r="P4" s="117">
        <f>S4/7</f>
        <v>0</v>
      </c>
      <c r="Q4" s="118">
        <v>0</v>
      </c>
      <c r="R4" s="118">
        <v>0</v>
      </c>
      <c r="S4" s="117">
        <f t="shared" ref="S4:S15" si="13">Q4+R4</f>
        <v>0</v>
      </c>
      <c r="T4" s="118">
        <v>0</v>
      </c>
      <c r="U4" s="118">
        <v>0</v>
      </c>
      <c r="V4" s="117">
        <f t="shared" ref="V4:V15" si="14">T4+U4</f>
        <v>0</v>
      </c>
      <c r="W4" s="118">
        <v>0</v>
      </c>
      <c r="X4" s="118">
        <v>0</v>
      </c>
      <c r="Y4" s="117">
        <f t="shared" si="3"/>
        <v>0</v>
      </c>
      <c r="Z4" s="117">
        <f t="shared" ref="Z4:Z15" si="15">L4*M4*N4/100</f>
        <v>0</v>
      </c>
      <c r="AA4" s="119">
        <f t="shared" si="4"/>
        <v>0</v>
      </c>
      <c r="AB4" s="117">
        <f t="shared" ref="AB4:AB15" si="16">S4*I4</f>
        <v>0</v>
      </c>
      <c r="AC4" s="118">
        <v>0</v>
      </c>
      <c r="AD4" s="119">
        <f t="shared" si="5"/>
        <v>0</v>
      </c>
      <c r="AE4" s="118">
        <v>115.25</v>
      </c>
      <c r="AF4" s="118"/>
      <c r="AG4" s="118"/>
      <c r="AH4" s="118">
        <v>0</v>
      </c>
      <c r="AI4" s="152">
        <f t="shared" si="6"/>
        <v>123.041296</v>
      </c>
      <c r="AJ4" s="118">
        <v>0</v>
      </c>
      <c r="AK4" s="120">
        <f t="shared" ref="AK4:AK15" si="17">V4*1%</f>
        <v>0</v>
      </c>
      <c r="AL4" s="121">
        <f t="shared" ref="AL4:AL15" si="18">Y4-AB4-AC4-AE4-AF4-AG4-AH4-AI4-AK4-AJ4</f>
        <v>-238.29129599999999</v>
      </c>
      <c r="AM4" s="122"/>
      <c r="AN4" s="123">
        <f t="shared" si="7"/>
        <v>0</v>
      </c>
      <c r="AO4" s="124">
        <f t="shared" si="8"/>
        <v>123.09</v>
      </c>
      <c r="AP4" s="124">
        <f t="shared" si="9"/>
        <v>0</v>
      </c>
      <c r="AQ4" s="124">
        <f t="shared" ref="AQ4:AQ15" si="19">IF(Q4=0,AE4/1,AE4/Q4)</f>
        <v>115.25</v>
      </c>
      <c r="AR4" s="124">
        <f t="shared" ref="AR4:AR15" si="20">IF(Q4=0,0,(AF4+AG4)/Q4)</f>
        <v>0</v>
      </c>
      <c r="AS4" s="124">
        <f t="array" ref="AS4">_xlfn.IFS(S4=0,AL4,S4&lt;0,AL4/-S4,S4&gt;0,AL4/S4)</f>
        <v>-238.29129599999999</v>
      </c>
      <c r="AT4" s="119">
        <f>IF(AN4=0,0,AS4/AN4)</f>
        <v>0</v>
      </c>
      <c r="AU4" s="119">
        <f>IF(AO4=0,0,AS4/AO4)</f>
        <v>-1.9359110894467462</v>
      </c>
      <c r="AV4" s="125"/>
      <c r="AW4" s="120">
        <f t="shared" si="12"/>
        <v>0</v>
      </c>
    </row>
    <row r="5" spans="1:49" outlineLevel="1">
      <c r="A5" s="114"/>
      <c r="B5" s="115">
        <v>340332621</v>
      </c>
      <c r="C5" s="115" t="s">
        <v>95</v>
      </c>
      <c r="D5" s="116" t="s">
        <v>93</v>
      </c>
      <c r="E5" s="117"/>
      <c r="F5" s="117"/>
      <c r="G5" s="117"/>
      <c r="H5" s="238">
        <v>379</v>
      </c>
      <c r="I5" s="117">
        <v>123.09</v>
      </c>
      <c r="J5" s="117">
        <f t="shared" si="0"/>
        <v>0</v>
      </c>
      <c r="K5" s="114"/>
      <c r="L5" s="114">
        <v>0</v>
      </c>
      <c r="M5" s="114">
        <v>0</v>
      </c>
      <c r="N5" s="114">
        <v>0</v>
      </c>
      <c r="O5" s="213">
        <f t="shared" si="1"/>
        <v>0</v>
      </c>
      <c r="P5" s="117">
        <f>S5/7</f>
        <v>0</v>
      </c>
      <c r="Q5" s="118">
        <v>0</v>
      </c>
      <c r="R5" s="118">
        <v>0</v>
      </c>
      <c r="S5" s="117">
        <f t="shared" si="13"/>
        <v>0</v>
      </c>
      <c r="T5" s="118">
        <v>0</v>
      </c>
      <c r="U5" s="118">
        <v>0</v>
      </c>
      <c r="V5" s="117">
        <f t="shared" si="14"/>
        <v>0</v>
      </c>
      <c r="W5" s="118">
        <v>0</v>
      </c>
      <c r="X5" s="118">
        <v>0</v>
      </c>
      <c r="Y5" s="117">
        <f t="shared" si="3"/>
        <v>0</v>
      </c>
      <c r="Z5" s="117">
        <f t="shared" si="15"/>
        <v>0</v>
      </c>
      <c r="AA5" s="119">
        <f t="shared" si="4"/>
        <v>0</v>
      </c>
      <c r="AB5" s="117">
        <f t="shared" si="16"/>
        <v>0</v>
      </c>
      <c r="AC5" s="118">
        <v>0</v>
      </c>
      <c r="AD5" s="119">
        <f t="shared" si="5"/>
        <v>0</v>
      </c>
      <c r="AE5" s="118">
        <v>0</v>
      </c>
      <c r="AF5" s="118"/>
      <c r="AG5" s="118"/>
      <c r="AH5" s="118">
        <v>0</v>
      </c>
      <c r="AI5" s="152">
        <f t="shared" si="6"/>
        <v>164.19947599999998</v>
      </c>
      <c r="AJ5" s="118">
        <v>0</v>
      </c>
      <c r="AK5" s="120">
        <f t="shared" si="17"/>
        <v>0</v>
      </c>
      <c r="AL5" s="121">
        <f t="shared" si="18"/>
        <v>-164.19947599999998</v>
      </c>
      <c r="AM5" s="122"/>
      <c r="AN5" s="123">
        <f t="shared" si="7"/>
        <v>0</v>
      </c>
      <c r="AO5" s="124">
        <f t="shared" si="8"/>
        <v>123.09</v>
      </c>
      <c r="AP5" s="124">
        <f t="shared" si="9"/>
        <v>0</v>
      </c>
      <c r="AQ5" s="124">
        <f t="shared" si="19"/>
        <v>0</v>
      </c>
      <c r="AR5" s="124">
        <f t="shared" si="20"/>
        <v>0</v>
      </c>
      <c r="AS5" s="124">
        <f t="array" ref="AS5">_xlfn.IFS(S5=0,AL5,S5&lt;0,AL5/-S5,S5&gt;0,AL5/S5)</f>
        <v>-164.19947599999998</v>
      </c>
      <c r="AT5" s="119">
        <f>IF(AN5=0,0,AS5/AN5)</f>
        <v>0</v>
      </c>
      <c r="AU5" s="119">
        <f>IF(AO5=0,0,AS5/AO5)</f>
        <v>-1.3339790072304816</v>
      </c>
      <c r="AV5" s="125"/>
      <c r="AW5" s="120">
        <f t="shared" si="12"/>
        <v>0</v>
      </c>
    </row>
    <row r="6" spans="1:49" outlineLevel="1">
      <c r="A6" s="114"/>
      <c r="B6" s="115">
        <v>340341838</v>
      </c>
      <c r="C6" s="115" t="s">
        <v>96</v>
      </c>
      <c r="D6" s="116" t="s">
        <v>93</v>
      </c>
      <c r="E6" s="117"/>
      <c r="F6" s="117"/>
      <c r="G6" s="117"/>
      <c r="H6" s="238">
        <v>364</v>
      </c>
      <c r="I6" s="117">
        <v>123.09</v>
      </c>
      <c r="J6" s="117">
        <f t="shared" si="0"/>
        <v>0</v>
      </c>
      <c r="K6" s="114"/>
      <c r="L6" s="114">
        <v>11</v>
      </c>
      <c r="M6" s="114">
        <v>1148</v>
      </c>
      <c r="N6" s="114">
        <v>55</v>
      </c>
      <c r="O6" s="213">
        <f t="shared" si="1"/>
        <v>1.5714285714285714</v>
      </c>
      <c r="P6" s="117">
        <f t="shared" ref="P6:P15" si="21">S6/7</f>
        <v>0.42857142857142855</v>
      </c>
      <c r="Q6" s="118">
        <v>3</v>
      </c>
      <c r="R6" s="118">
        <v>0</v>
      </c>
      <c r="S6" s="117">
        <f t="shared" si="13"/>
        <v>3</v>
      </c>
      <c r="T6" s="118">
        <v>2964</v>
      </c>
      <c r="U6" s="118">
        <v>0</v>
      </c>
      <c r="V6" s="117">
        <f t="shared" si="14"/>
        <v>2964</v>
      </c>
      <c r="W6" s="118">
        <v>3528</v>
      </c>
      <c r="X6" s="118">
        <v>0</v>
      </c>
      <c r="Y6" s="117">
        <f t="shared" si="3"/>
        <v>3528</v>
      </c>
      <c r="Z6" s="117">
        <f t="shared" si="15"/>
        <v>6945.4</v>
      </c>
      <c r="AA6" s="119">
        <f t="shared" si="4"/>
        <v>6.9178016920378213E-2</v>
      </c>
      <c r="AB6" s="117">
        <f t="shared" si="16"/>
        <v>369.27</v>
      </c>
      <c r="AC6" s="118">
        <v>1262.8400000000001</v>
      </c>
      <c r="AD6" s="119">
        <f t="shared" si="5"/>
        <v>0.35794784580498873</v>
      </c>
      <c r="AE6" s="118">
        <v>714</v>
      </c>
      <c r="AF6" s="118"/>
      <c r="AG6" s="118">
        <v>743</v>
      </c>
      <c r="AH6" s="118">
        <v>0</v>
      </c>
      <c r="AI6" s="152">
        <f t="shared" si="6"/>
        <v>157.700816</v>
      </c>
      <c r="AJ6" s="118">
        <v>0</v>
      </c>
      <c r="AK6" s="120">
        <f t="shared" si="17"/>
        <v>29.64</v>
      </c>
      <c r="AL6" s="121">
        <f t="shared" si="18"/>
        <v>251.54918399999985</v>
      </c>
      <c r="AM6" s="122"/>
      <c r="AN6" s="123">
        <f t="shared" si="7"/>
        <v>1176</v>
      </c>
      <c r="AO6" s="124">
        <f t="shared" si="8"/>
        <v>123.09</v>
      </c>
      <c r="AP6" s="124">
        <f t="shared" si="9"/>
        <v>420.94666666666672</v>
      </c>
      <c r="AQ6" s="124">
        <f t="shared" si="19"/>
        <v>238</v>
      </c>
      <c r="AR6" s="124">
        <f t="shared" si="20"/>
        <v>247.66666666666666</v>
      </c>
      <c r="AS6" s="124">
        <f t="array" ref="AS6">_xlfn.IFS(S6=0,AL6,S6&lt;0,AL6/-S6,S6&gt;0,AL6/S6)</f>
        <v>83.849727999999956</v>
      </c>
      <c r="AT6" s="119">
        <f t="shared" ref="AT6:AT15" si="22">IF(AN6=0,0,AS6/AN6)</f>
        <v>7.1300789115646218E-2</v>
      </c>
      <c r="AU6" s="119">
        <f t="shared" ref="AU6:AU15" si="23">IF(AO6=0,0,AS6/AO6)</f>
        <v>0.68120666179218425</v>
      </c>
      <c r="AV6" s="125"/>
      <c r="AW6" s="120">
        <f t="shared" si="12"/>
        <v>0</v>
      </c>
    </row>
    <row r="7" spans="1:49" outlineLevel="1">
      <c r="A7" s="114"/>
      <c r="B7" s="115">
        <v>445291724</v>
      </c>
      <c r="C7" s="115" t="s">
        <v>97</v>
      </c>
      <c r="D7" s="116" t="s">
        <v>93</v>
      </c>
      <c r="E7" s="117"/>
      <c r="F7" s="117"/>
      <c r="G7" s="117"/>
      <c r="H7" s="238">
        <v>284</v>
      </c>
      <c r="I7" s="117">
        <v>123.09</v>
      </c>
      <c r="J7" s="117">
        <f t="shared" si="0"/>
        <v>0</v>
      </c>
      <c r="K7" s="114"/>
      <c r="L7" s="114">
        <v>1</v>
      </c>
      <c r="M7" s="114">
        <v>1079</v>
      </c>
      <c r="N7" s="114">
        <v>0</v>
      </c>
      <c r="O7" s="213">
        <f t="shared" si="1"/>
        <v>0.14285714285714285</v>
      </c>
      <c r="P7" s="117">
        <f t="shared" si="21"/>
        <v>0</v>
      </c>
      <c r="Q7" s="118">
        <v>0</v>
      </c>
      <c r="R7" s="118">
        <v>0</v>
      </c>
      <c r="S7" s="117">
        <f t="shared" si="13"/>
        <v>0</v>
      </c>
      <c r="T7" s="118">
        <v>0</v>
      </c>
      <c r="U7" s="118">
        <v>0</v>
      </c>
      <c r="V7" s="117">
        <f t="shared" si="14"/>
        <v>0</v>
      </c>
      <c r="W7" s="118">
        <v>0</v>
      </c>
      <c r="X7" s="118">
        <v>0</v>
      </c>
      <c r="Y7" s="117">
        <f t="shared" si="3"/>
        <v>0</v>
      </c>
      <c r="Z7" s="117">
        <f t="shared" si="15"/>
        <v>0</v>
      </c>
      <c r="AA7" s="119">
        <f t="shared" si="4"/>
        <v>0</v>
      </c>
      <c r="AB7" s="117">
        <f t="shared" si="16"/>
        <v>0</v>
      </c>
      <c r="AC7" s="118">
        <v>0</v>
      </c>
      <c r="AD7" s="119">
        <f t="shared" si="5"/>
        <v>0</v>
      </c>
      <c r="AE7" s="118">
        <v>106.55</v>
      </c>
      <c r="AF7" s="118"/>
      <c r="AG7" s="118"/>
      <c r="AH7" s="118">
        <v>0</v>
      </c>
      <c r="AI7" s="152">
        <f t="shared" si="6"/>
        <v>123.041296</v>
      </c>
      <c r="AJ7" s="118">
        <v>0</v>
      </c>
      <c r="AK7" s="120">
        <f t="shared" si="17"/>
        <v>0</v>
      </c>
      <c r="AL7" s="121">
        <f t="shared" si="18"/>
        <v>-229.591296</v>
      </c>
      <c r="AM7" s="122"/>
      <c r="AN7" s="123">
        <f t="shared" si="7"/>
        <v>0</v>
      </c>
      <c r="AO7" s="124">
        <f t="shared" si="8"/>
        <v>123.09</v>
      </c>
      <c r="AP7" s="124">
        <f t="shared" si="9"/>
        <v>0</v>
      </c>
      <c r="AQ7" s="124">
        <f t="shared" si="19"/>
        <v>106.55</v>
      </c>
      <c r="AR7" s="124">
        <f t="shared" si="20"/>
        <v>0</v>
      </c>
      <c r="AS7" s="124">
        <f t="array" ref="AS7">_xlfn.IFS(S7=0,AL7,S7&lt;0,AL7/-S7,S7&gt;0,AL7/S7)</f>
        <v>-229.591296</v>
      </c>
      <c r="AT7" s="119">
        <f t="shared" si="22"/>
        <v>0</v>
      </c>
      <c r="AU7" s="119">
        <f t="shared" si="23"/>
        <v>-1.8652310991957104</v>
      </c>
      <c r="AV7" s="125"/>
      <c r="AW7" s="120">
        <f t="shared" si="12"/>
        <v>0</v>
      </c>
    </row>
    <row r="8" spans="1:49" outlineLevel="1">
      <c r="A8" s="114"/>
      <c r="B8" s="115">
        <v>445336740</v>
      </c>
      <c r="C8" s="115" t="s">
        <v>98</v>
      </c>
      <c r="D8" s="116" t="s">
        <v>93</v>
      </c>
      <c r="E8" s="117"/>
      <c r="F8" s="117"/>
      <c r="G8" s="117"/>
      <c r="H8" s="238">
        <v>227</v>
      </c>
      <c r="I8" s="117">
        <v>123.09</v>
      </c>
      <c r="J8" s="117">
        <f t="shared" si="0"/>
        <v>0</v>
      </c>
      <c r="K8" s="114"/>
      <c r="L8" s="114">
        <v>31</v>
      </c>
      <c r="M8" s="114">
        <v>1173</v>
      </c>
      <c r="N8" s="114">
        <v>74</v>
      </c>
      <c r="O8" s="213">
        <f t="shared" si="1"/>
        <v>4.4285714285714288</v>
      </c>
      <c r="P8" s="117">
        <f t="shared" si="21"/>
        <v>3.7142857142857144</v>
      </c>
      <c r="Q8" s="118">
        <v>26</v>
      </c>
      <c r="R8" s="118">
        <v>0</v>
      </c>
      <c r="S8" s="117">
        <f t="shared" si="13"/>
        <v>26</v>
      </c>
      <c r="T8" s="118">
        <v>26029.32</v>
      </c>
      <c r="U8" s="118">
        <v>0</v>
      </c>
      <c r="V8" s="117">
        <f t="shared" si="14"/>
        <v>26029.32</v>
      </c>
      <c r="W8" s="118">
        <v>31340.86</v>
      </c>
      <c r="X8" s="118">
        <v>0</v>
      </c>
      <c r="Y8" s="117">
        <f t="shared" si="3"/>
        <v>31340.86</v>
      </c>
      <c r="Z8" s="117">
        <f t="shared" si="15"/>
        <v>26908.62</v>
      </c>
      <c r="AA8" s="119">
        <f t="shared" si="4"/>
        <v>0.61454040345215555</v>
      </c>
      <c r="AB8" s="117">
        <f t="shared" si="16"/>
        <v>3200.34</v>
      </c>
      <c r="AC8" s="118">
        <v>11351.150000000001</v>
      </c>
      <c r="AD8" s="119">
        <f t="shared" si="5"/>
        <v>0.36218374352203486</v>
      </c>
      <c r="AE8" s="118">
        <v>2964.900000000001</v>
      </c>
      <c r="AF8" s="118"/>
      <c r="AG8" s="118">
        <v>3000</v>
      </c>
      <c r="AH8" s="118">
        <v>0</v>
      </c>
      <c r="AI8" s="152">
        <f t="shared" si="6"/>
        <v>98.34638799999999</v>
      </c>
      <c r="AJ8" s="118">
        <v>0</v>
      </c>
      <c r="AK8" s="120">
        <f t="shared" si="17"/>
        <v>260.29320000000001</v>
      </c>
      <c r="AL8" s="121">
        <f t="shared" si="18"/>
        <v>10465.830411999998</v>
      </c>
      <c r="AM8" s="122"/>
      <c r="AN8" s="123">
        <f t="shared" si="7"/>
        <v>1205.4176923076923</v>
      </c>
      <c r="AO8" s="124">
        <f t="shared" si="8"/>
        <v>123.09</v>
      </c>
      <c r="AP8" s="124">
        <f t="shared" si="9"/>
        <v>436.58269230769235</v>
      </c>
      <c r="AQ8" s="124">
        <f t="shared" si="19"/>
        <v>114.03461538461542</v>
      </c>
      <c r="AR8" s="124">
        <f t="shared" si="20"/>
        <v>115.38461538461539</v>
      </c>
      <c r="AS8" s="124">
        <f t="array" ref="AS8">_xlfn.IFS(S8=0,AL8,S8&lt;0,AL8/-S8,S8&gt;0,AL8/S8)</f>
        <v>402.53193892307684</v>
      </c>
      <c r="AT8" s="119">
        <f t="shared" si="22"/>
        <v>0.33393564860696223</v>
      </c>
      <c r="AU8" s="119">
        <f t="shared" si="23"/>
        <v>3.2702245423923699</v>
      </c>
      <c r="AV8" s="125"/>
      <c r="AW8" s="120">
        <f t="shared" si="12"/>
        <v>0</v>
      </c>
    </row>
    <row r="9" spans="1:49" outlineLevel="1">
      <c r="A9" s="114"/>
      <c r="B9" s="115">
        <v>445341507</v>
      </c>
      <c r="C9" s="115" t="s">
        <v>99</v>
      </c>
      <c r="D9" s="116" t="s">
        <v>93</v>
      </c>
      <c r="E9" s="117"/>
      <c r="F9" s="117"/>
      <c r="G9" s="117"/>
      <c r="H9" s="238">
        <v>270</v>
      </c>
      <c r="I9" s="117">
        <v>169.89</v>
      </c>
      <c r="J9" s="117">
        <f t="shared" si="0"/>
        <v>0</v>
      </c>
      <c r="K9" s="114"/>
      <c r="L9" s="114">
        <v>11</v>
      </c>
      <c r="M9" s="114">
        <v>1184</v>
      </c>
      <c r="N9" s="114">
        <v>36</v>
      </c>
      <c r="O9" s="213">
        <f t="shared" si="1"/>
        <v>1.5714285714285714</v>
      </c>
      <c r="P9" s="117">
        <f t="shared" si="21"/>
        <v>0.2857142857142857</v>
      </c>
      <c r="Q9" s="118">
        <v>2</v>
      </c>
      <c r="R9" s="118">
        <v>0</v>
      </c>
      <c r="S9" s="117">
        <f t="shared" si="13"/>
        <v>2</v>
      </c>
      <c r="T9" s="118">
        <v>1961</v>
      </c>
      <c r="U9" s="118">
        <v>0</v>
      </c>
      <c r="V9" s="117">
        <f t="shared" si="14"/>
        <v>1961</v>
      </c>
      <c r="W9" s="118">
        <v>2404</v>
      </c>
      <c r="X9" s="118">
        <v>0</v>
      </c>
      <c r="Y9" s="117">
        <f t="shared" si="3"/>
        <v>2404</v>
      </c>
      <c r="Z9" s="117">
        <f t="shared" si="15"/>
        <v>4688.6400000000003</v>
      </c>
      <c r="AA9" s="119">
        <f t="shared" si="4"/>
        <v>4.7138308581799668E-2</v>
      </c>
      <c r="AB9" s="117">
        <f t="shared" si="16"/>
        <v>339.78</v>
      </c>
      <c r="AC9" s="118">
        <v>867.67000000000007</v>
      </c>
      <c r="AD9" s="119">
        <f t="shared" si="5"/>
        <v>0.36092762063227957</v>
      </c>
      <c r="AE9" s="118">
        <v>441.45</v>
      </c>
      <c r="AF9" s="118"/>
      <c r="AG9" s="118">
        <v>1356</v>
      </c>
      <c r="AH9" s="118">
        <v>0</v>
      </c>
      <c r="AI9" s="152">
        <f t="shared" si="6"/>
        <v>116.97587999999998</v>
      </c>
      <c r="AJ9" s="118">
        <v>0</v>
      </c>
      <c r="AK9" s="120">
        <f t="shared" si="17"/>
        <v>19.61</v>
      </c>
      <c r="AL9" s="121">
        <f t="shared" si="18"/>
        <v>-737.48587999999984</v>
      </c>
      <c r="AM9" s="122"/>
      <c r="AN9" s="123">
        <f t="shared" si="7"/>
        <v>1202</v>
      </c>
      <c r="AO9" s="124">
        <f t="shared" si="8"/>
        <v>169.89</v>
      </c>
      <c r="AP9" s="124">
        <f t="shared" si="9"/>
        <v>433.83500000000004</v>
      </c>
      <c r="AQ9" s="124">
        <f t="shared" si="19"/>
        <v>220.72499999999999</v>
      </c>
      <c r="AR9" s="124">
        <f t="shared" si="20"/>
        <v>678</v>
      </c>
      <c r="AS9" s="124">
        <f t="array" ref="AS9">_xlfn.IFS(S9=0,AL9,S9&lt;0,AL9/-S9,S9&gt;0,AL9/S9)</f>
        <v>-368.74293999999992</v>
      </c>
      <c r="AT9" s="119">
        <f t="shared" si="22"/>
        <v>-0.30677449251247912</v>
      </c>
      <c r="AU9" s="119">
        <f t="shared" si="23"/>
        <v>-2.1704805462357992</v>
      </c>
      <c r="AV9" s="125"/>
      <c r="AW9" s="120">
        <f t="shared" si="12"/>
        <v>0</v>
      </c>
    </row>
    <row r="10" spans="1:49" outlineLevel="1">
      <c r="A10" s="114"/>
      <c r="B10" s="115">
        <v>497825485</v>
      </c>
      <c r="C10" s="115" t="s">
        <v>100</v>
      </c>
      <c r="D10" s="116" t="s">
        <v>93</v>
      </c>
      <c r="E10" s="117"/>
      <c r="F10" s="117"/>
      <c r="G10" s="117"/>
      <c r="H10" s="238">
        <v>42</v>
      </c>
      <c r="I10" s="117">
        <v>169.89</v>
      </c>
      <c r="J10" s="117">
        <f t="shared" si="0"/>
        <v>0</v>
      </c>
      <c r="K10" s="114"/>
      <c r="L10" s="114">
        <v>1</v>
      </c>
      <c r="M10" s="114">
        <v>1145</v>
      </c>
      <c r="N10" s="114">
        <v>0</v>
      </c>
      <c r="O10" s="213">
        <f t="shared" si="1"/>
        <v>0.14285714285714285</v>
      </c>
      <c r="P10" s="117">
        <f t="shared" si="21"/>
        <v>0</v>
      </c>
      <c r="Q10" s="118">
        <v>1</v>
      </c>
      <c r="R10" s="118">
        <v>-1</v>
      </c>
      <c r="S10" s="117">
        <f t="shared" si="13"/>
        <v>0</v>
      </c>
      <c r="T10" s="118">
        <v>931</v>
      </c>
      <c r="U10" s="118">
        <v>-931</v>
      </c>
      <c r="V10" s="117">
        <f t="shared" si="14"/>
        <v>0</v>
      </c>
      <c r="W10" s="118">
        <v>1199</v>
      </c>
      <c r="X10" s="118">
        <v>-1199</v>
      </c>
      <c r="Y10" s="117">
        <f t="shared" si="3"/>
        <v>0</v>
      </c>
      <c r="Z10" s="117">
        <f t="shared" si="15"/>
        <v>0</v>
      </c>
      <c r="AA10" s="119">
        <f t="shared" si="4"/>
        <v>0</v>
      </c>
      <c r="AB10" s="117">
        <f t="shared" si="16"/>
        <v>0</v>
      </c>
      <c r="AC10" s="118">
        <v>0</v>
      </c>
      <c r="AD10" s="119">
        <f t="shared" si="5"/>
        <v>0</v>
      </c>
      <c r="AE10" s="118">
        <v>96.4</v>
      </c>
      <c r="AF10" s="118"/>
      <c r="AG10" s="118"/>
      <c r="AH10" s="118">
        <v>0</v>
      </c>
      <c r="AI10" s="152">
        <f t="shared" si="6"/>
        <v>18.196247999999997</v>
      </c>
      <c r="AJ10" s="118">
        <v>0</v>
      </c>
      <c r="AK10" s="120">
        <f t="shared" si="17"/>
        <v>0</v>
      </c>
      <c r="AL10" s="121">
        <f t="shared" si="18"/>
        <v>-114.596248</v>
      </c>
      <c r="AM10" s="122"/>
      <c r="AN10" s="123">
        <f t="shared" si="7"/>
        <v>0</v>
      </c>
      <c r="AO10" s="124">
        <f t="shared" si="8"/>
        <v>169.89</v>
      </c>
      <c r="AP10" s="124">
        <f t="shared" si="9"/>
        <v>0</v>
      </c>
      <c r="AQ10" s="124">
        <f t="shared" si="19"/>
        <v>96.4</v>
      </c>
      <c r="AR10" s="124">
        <f t="shared" si="20"/>
        <v>0</v>
      </c>
      <c r="AS10" s="124">
        <f t="array" ref="AS10">_xlfn.IFS(S10=0,AL10,S10&lt;0,AL10/-S10,S10&gt;0,AL10/S10)</f>
        <v>-114.596248</v>
      </c>
      <c r="AT10" s="119">
        <f t="shared" si="22"/>
        <v>0</v>
      </c>
      <c r="AU10" s="119">
        <f t="shared" si="23"/>
        <v>-0.67453203837777398</v>
      </c>
      <c r="AV10" s="125"/>
      <c r="AW10" s="120">
        <f t="shared" si="12"/>
        <v>0</v>
      </c>
    </row>
    <row r="11" spans="1:49" outlineLevel="1">
      <c r="A11" s="114"/>
      <c r="B11" s="115">
        <v>497825962</v>
      </c>
      <c r="C11" s="115" t="s">
        <v>101</v>
      </c>
      <c r="D11" s="116" t="s">
        <v>93</v>
      </c>
      <c r="E11" s="117"/>
      <c r="F11" s="117"/>
      <c r="G11" s="117"/>
      <c r="H11" s="238">
        <v>41</v>
      </c>
      <c r="I11" s="117">
        <v>169.89</v>
      </c>
      <c r="J11" s="117">
        <f t="shared" si="0"/>
        <v>0</v>
      </c>
      <c r="K11" s="114"/>
      <c r="L11" s="114">
        <v>0</v>
      </c>
      <c r="M11" s="114">
        <v>0</v>
      </c>
      <c r="N11" s="114">
        <v>0</v>
      </c>
      <c r="O11" s="213">
        <f t="shared" si="1"/>
        <v>0</v>
      </c>
      <c r="P11" s="117">
        <f t="shared" si="21"/>
        <v>0</v>
      </c>
      <c r="Q11" s="118">
        <v>0</v>
      </c>
      <c r="R11" s="118">
        <v>0</v>
      </c>
      <c r="S11" s="117">
        <f t="shared" si="13"/>
        <v>0</v>
      </c>
      <c r="T11" s="118">
        <v>0</v>
      </c>
      <c r="U11" s="118">
        <v>0</v>
      </c>
      <c r="V11" s="117">
        <f t="shared" si="14"/>
        <v>0</v>
      </c>
      <c r="W11" s="118">
        <v>0</v>
      </c>
      <c r="X11" s="118">
        <v>0</v>
      </c>
      <c r="Y11" s="117">
        <f t="shared" si="3"/>
        <v>0</v>
      </c>
      <c r="Z11" s="117">
        <f t="shared" si="15"/>
        <v>0</v>
      </c>
      <c r="AA11" s="119">
        <f t="shared" si="4"/>
        <v>0</v>
      </c>
      <c r="AB11" s="117">
        <f t="shared" si="16"/>
        <v>0</v>
      </c>
      <c r="AC11" s="118">
        <v>0</v>
      </c>
      <c r="AD11" s="119">
        <f t="shared" si="5"/>
        <v>0</v>
      </c>
      <c r="AE11" s="118">
        <v>0</v>
      </c>
      <c r="AF11" s="118"/>
      <c r="AG11" s="118"/>
      <c r="AH11" s="118">
        <v>0</v>
      </c>
      <c r="AI11" s="152">
        <f t="shared" si="6"/>
        <v>17.763003999999999</v>
      </c>
      <c r="AJ11" s="118">
        <v>0</v>
      </c>
      <c r="AK11" s="120">
        <f t="shared" si="17"/>
        <v>0</v>
      </c>
      <c r="AL11" s="121">
        <f t="shared" si="18"/>
        <v>-17.763003999999999</v>
      </c>
      <c r="AM11" s="122"/>
      <c r="AN11" s="123">
        <f t="shared" si="7"/>
        <v>0</v>
      </c>
      <c r="AO11" s="124">
        <f t="shared" si="8"/>
        <v>169.89</v>
      </c>
      <c r="AP11" s="124">
        <f t="shared" si="9"/>
        <v>0</v>
      </c>
      <c r="AQ11" s="124">
        <f t="shared" si="19"/>
        <v>0</v>
      </c>
      <c r="AR11" s="124">
        <f t="shared" si="20"/>
        <v>0</v>
      </c>
      <c r="AS11" s="124">
        <f t="array" ref="AS11">_xlfn.IFS(S11=0,AL11,S11&lt;0,AL11/-S11,S11&gt;0,AL11/S11)</f>
        <v>-17.763003999999999</v>
      </c>
      <c r="AT11" s="119">
        <f t="shared" si="22"/>
        <v>0</v>
      </c>
      <c r="AU11" s="119">
        <f t="shared" si="23"/>
        <v>-0.10455591264936136</v>
      </c>
      <c r="AV11" s="125"/>
      <c r="AW11" s="120">
        <f t="shared" si="12"/>
        <v>0</v>
      </c>
    </row>
    <row r="12" spans="1:49" outlineLevel="1">
      <c r="A12" s="114"/>
      <c r="B12" s="115">
        <v>497821775</v>
      </c>
      <c r="C12" s="115" t="s">
        <v>102</v>
      </c>
      <c r="D12" s="116" t="s">
        <v>93</v>
      </c>
      <c r="E12" s="117"/>
      <c r="F12" s="117"/>
      <c r="G12" s="117"/>
      <c r="H12" s="238">
        <v>46</v>
      </c>
      <c r="I12" s="117">
        <v>169.89</v>
      </c>
      <c r="J12" s="117">
        <f t="shared" si="0"/>
        <v>0</v>
      </c>
      <c r="K12" s="114"/>
      <c r="L12" s="114">
        <v>2</v>
      </c>
      <c r="M12" s="114">
        <v>1138</v>
      </c>
      <c r="N12" s="114">
        <v>0</v>
      </c>
      <c r="O12" s="213">
        <f t="shared" si="1"/>
        <v>0.2857142857142857</v>
      </c>
      <c r="P12" s="117">
        <f t="shared" si="21"/>
        <v>0</v>
      </c>
      <c r="Q12" s="118">
        <v>0</v>
      </c>
      <c r="R12" s="118">
        <v>0</v>
      </c>
      <c r="S12" s="117">
        <f t="shared" si="13"/>
        <v>0</v>
      </c>
      <c r="T12" s="118">
        <v>0</v>
      </c>
      <c r="U12" s="118">
        <v>0</v>
      </c>
      <c r="V12" s="117">
        <f t="shared" si="14"/>
        <v>0</v>
      </c>
      <c r="W12" s="118">
        <v>0</v>
      </c>
      <c r="X12" s="118">
        <v>0</v>
      </c>
      <c r="Y12" s="117">
        <f t="shared" si="3"/>
        <v>0</v>
      </c>
      <c r="Z12" s="117">
        <f t="shared" si="15"/>
        <v>0</v>
      </c>
      <c r="AA12" s="119">
        <f t="shared" si="4"/>
        <v>0</v>
      </c>
      <c r="AB12" s="117">
        <f t="shared" si="16"/>
        <v>0</v>
      </c>
      <c r="AC12" s="118">
        <v>0</v>
      </c>
      <c r="AD12" s="119">
        <f t="shared" si="5"/>
        <v>0</v>
      </c>
      <c r="AE12" s="118">
        <v>106.55</v>
      </c>
      <c r="AF12" s="118"/>
      <c r="AG12" s="118"/>
      <c r="AH12" s="118">
        <v>0</v>
      </c>
      <c r="AI12" s="152">
        <f t="shared" si="6"/>
        <v>19.929223999999998</v>
      </c>
      <c r="AJ12" s="118">
        <v>0</v>
      </c>
      <c r="AK12" s="120">
        <f t="shared" si="17"/>
        <v>0</v>
      </c>
      <c r="AL12" s="121">
        <f t="shared" si="18"/>
        <v>-126.47922399999999</v>
      </c>
      <c r="AM12" s="122"/>
      <c r="AN12" s="123">
        <f t="shared" si="7"/>
        <v>0</v>
      </c>
      <c r="AO12" s="124">
        <f t="shared" si="8"/>
        <v>169.89</v>
      </c>
      <c r="AP12" s="124">
        <f t="shared" si="9"/>
        <v>0</v>
      </c>
      <c r="AQ12" s="124">
        <f t="shared" si="19"/>
        <v>106.55</v>
      </c>
      <c r="AR12" s="124">
        <f t="shared" si="20"/>
        <v>0</v>
      </c>
      <c r="AS12" s="124">
        <f t="array" ref="AS12">_xlfn.IFS(S12=0,AL12,S12&lt;0,AL12/-S12,S12&gt;0,AL12/S12)</f>
        <v>-126.47922399999999</v>
      </c>
      <c r="AT12" s="119">
        <f t="shared" si="22"/>
        <v>0</v>
      </c>
      <c r="AU12" s="119">
        <f t="shared" si="23"/>
        <v>-0.74447715580669849</v>
      </c>
      <c r="AV12" s="125"/>
      <c r="AW12" s="120">
        <f t="shared" si="12"/>
        <v>0</v>
      </c>
    </row>
    <row r="13" spans="1:49" outlineLevel="1">
      <c r="A13" s="114"/>
      <c r="B13" s="115">
        <v>497823770</v>
      </c>
      <c r="C13" s="115" t="s">
        <v>103</v>
      </c>
      <c r="D13" s="116" t="s">
        <v>93</v>
      </c>
      <c r="E13" s="117"/>
      <c r="F13" s="117"/>
      <c r="G13" s="117"/>
      <c r="H13" s="238">
        <v>12</v>
      </c>
      <c r="I13" s="117">
        <v>169.89</v>
      </c>
      <c r="J13" s="117">
        <f t="shared" si="0"/>
        <v>0</v>
      </c>
      <c r="K13" s="114"/>
      <c r="L13" s="114">
        <v>1</v>
      </c>
      <c r="M13" s="114">
        <v>1166</v>
      </c>
      <c r="N13" s="114">
        <v>100</v>
      </c>
      <c r="O13" s="213">
        <f t="shared" si="1"/>
        <v>0.14285714285714285</v>
      </c>
      <c r="P13" s="117">
        <f t="shared" si="21"/>
        <v>0.14285714285714285</v>
      </c>
      <c r="Q13" s="118">
        <v>1</v>
      </c>
      <c r="R13" s="118">
        <v>0</v>
      </c>
      <c r="S13" s="117">
        <f t="shared" si="13"/>
        <v>1</v>
      </c>
      <c r="T13" s="118">
        <v>1034</v>
      </c>
      <c r="U13" s="118">
        <v>0</v>
      </c>
      <c r="V13" s="117">
        <f t="shared" si="14"/>
        <v>1034</v>
      </c>
      <c r="W13" s="118">
        <v>1166</v>
      </c>
      <c r="X13" s="118">
        <v>0</v>
      </c>
      <c r="Y13" s="117">
        <f t="shared" si="3"/>
        <v>1166</v>
      </c>
      <c r="Z13" s="117">
        <f t="shared" si="15"/>
        <v>1166</v>
      </c>
      <c r="AA13" s="119">
        <f t="shared" si="4"/>
        <v>2.286325615905924E-2</v>
      </c>
      <c r="AB13" s="117">
        <f t="shared" si="16"/>
        <v>169.89</v>
      </c>
      <c r="AC13" s="118">
        <v>424.5</v>
      </c>
      <c r="AD13" s="119">
        <f t="shared" si="5"/>
        <v>0.36406518010291594</v>
      </c>
      <c r="AE13" s="118">
        <v>56.55</v>
      </c>
      <c r="AF13" s="118"/>
      <c r="AG13" s="118"/>
      <c r="AH13" s="118">
        <v>0</v>
      </c>
      <c r="AI13" s="152">
        <f t="shared" si="6"/>
        <v>5.1989279999999995</v>
      </c>
      <c r="AJ13" s="118">
        <v>0</v>
      </c>
      <c r="AK13" s="120">
        <f t="shared" si="17"/>
        <v>10.34</v>
      </c>
      <c r="AL13" s="121">
        <f t="shared" si="18"/>
        <v>499.52107200000006</v>
      </c>
      <c r="AM13" s="122"/>
      <c r="AN13" s="123">
        <f t="shared" si="7"/>
        <v>1166</v>
      </c>
      <c r="AO13" s="124">
        <f t="shared" si="8"/>
        <v>169.89</v>
      </c>
      <c r="AP13" s="124">
        <f t="shared" si="9"/>
        <v>424.5</v>
      </c>
      <c r="AQ13" s="124">
        <f t="shared" si="19"/>
        <v>56.55</v>
      </c>
      <c r="AR13" s="124">
        <f t="shared" si="20"/>
        <v>0</v>
      </c>
      <c r="AS13" s="124">
        <f t="array" ref="AS13">_xlfn.IFS(S13=0,AL13,S13&lt;0,AL13/-S13,S13&gt;0,AL13/S13)</f>
        <v>499.52107200000006</v>
      </c>
      <c r="AT13" s="119">
        <f t="shared" si="22"/>
        <v>0.42840572212692973</v>
      </c>
      <c r="AU13" s="119">
        <f t="shared" si="23"/>
        <v>2.9402617693801876</v>
      </c>
      <c r="AV13" s="125"/>
      <c r="AW13" s="120">
        <f t="shared" si="12"/>
        <v>0</v>
      </c>
    </row>
    <row r="14" spans="1:49" outlineLevel="1">
      <c r="A14" s="114"/>
      <c r="B14" s="115">
        <v>497824253</v>
      </c>
      <c r="C14" s="115" t="s">
        <v>104</v>
      </c>
      <c r="D14" s="116" t="s">
        <v>93</v>
      </c>
      <c r="E14" s="117"/>
      <c r="F14" s="117"/>
      <c r="G14" s="117"/>
      <c r="H14" s="238">
        <v>65</v>
      </c>
      <c r="I14" s="117">
        <v>169.89</v>
      </c>
      <c r="J14" s="117">
        <f t="shared" si="0"/>
        <v>0</v>
      </c>
      <c r="K14" s="114"/>
      <c r="L14" s="114">
        <v>4</v>
      </c>
      <c r="M14" s="114">
        <v>1204</v>
      </c>
      <c r="N14" s="114">
        <v>50</v>
      </c>
      <c r="O14" s="213">
        <f t="shared" si="1"/>
        <v>0.5714285714285714</v>
      </c>
      <c r="P14" s="117">
        <f t="shared" si="21"/>
        <v>0.14285714285714285</v>
      </c>
      <c r="Q14" s="118">
        <v>1</v>
      </c>
      <c r="R14" s="118">
        <v>0</v>
      </c>
      <c r="S14" s="117">
        <f t="shared" si="13"/>
        <v>1</v>
      </c>
      <c r="T14" s="118">
        <v>855</v>
      </c>
      <c r="U14" s="118">
        <v>0</v>
      </c>
      <c r="V14" s="117">
        <f t="shared" si="14"/>
        <v>855</v>
      </c>
      <c r="W14" s="118">
        <v>1176</v>
      </c>
      <c r="X14" s="118">
        <v>0</v>
      </c>
      <c r="Y14" s="117">
        <f t="shared" si="3"/>
        <v>1176</v>
      </c>
      <c r="Z14" s="117">
        <f t="shared" si="15"/>
        <v>2408</v>
      </c>
      <c r="AA14" s="119">
        <f t="shared" si="4"/>
        <v>2.3059338973459406E-2</v>
      </c>
      <c r="AB14" s="117">
        <f t="shared" si="16"/>
        <v>169.89</v>
      </c>
      <c r="AC14" s="118">
        <v>424.1</v>
      </c>
      <c r="AD14" s="119">
        <f t="shared" si="5"/>
        <v>0.36062925170068028</v>
      </c>
      <c r="AE14" s="118">
        <v>65.25</v>
      </c>
      <c r="AF14" s="118"/>
      <c r="AG14" s="118"/>
      <c r="AH14" s="118">
        <v>0</v>
      </c>
      <c r="AI14" s="152">
        <f t="shared" si="6"/>
        <v>28.160859999999996</v>
      </c>
      <c r="AJ14" s="118">
        <v>0</v>
      </c>
      <c r="AK14" s="120">
        <f t="shared" si="17"/>
        <v>8.5500000000000007</v>
      </c>
      <c r="AL14" s="121">
        <f t="shared" si="18"/>
        <v>480.04913999999997</v>
      </c>
      <c r="AM14" s="122"/>
      <c r="AN14" s="123">
        <f t="shared" si="7"/>
        <v>1176</v>
      </c>
      <c r="AO14" s="124">
        <f t="shared" si="8"/>
        <v>169.89</v>
      </c>
      <c r="AP14" s="124">
        <f t="shared" si="9"/>
        <v>424.1</v>
      </c>
      <c r="AQ14" s="124">
        <f t="shared" si="19"/>
        <v>65.25</v>
      </c>
      <c r="AR14" s="124">
        <f t="shared" si="20"/>
        <v>0</v>
      </c>
      <c r="AS14" s="124">
        <f t="array" ref="AS14">_xlfn.IFS(S14=0,AL14,S14&lt;0,AL14/-S14,S14&gt;0,AL14/S14)</f>
        <v>480.04913999999997</v>
      </c>
      <c r="AT14" s="119">
        <f t="shared" si="22"/>
        <v>0.40820505102040816</v>
      </c>
      <c r="AU14" s="119">
        <f t="shared" si="23"/>
        <v>2.82564683030196</v>
      </c>
      <c r="AV14" s="125"/>
      <c r="AW14" s="120">
        <f t="shared" si="12"/>
        <v>0</v>
      </c>
    </row>
    <row r="15" spans="1:49" outlineLevel="1">
      <c r="A15" s="114"/>
      <c r="B15" s="115">
        <v>497824944</v>
      </c>
      <c r="C15" s="115" t="s">
        <v>105</v>
      </c>
      <c r="D15" s="116" t="s">
        <v>93</v>
      </c>
      <c r="E15" s="117"/>
      <c r="F15" s="117"/>
      <c r="G15" s="117"/>
      <c r="H15" s="238">
        <v>37</v>
      </c>
      <c r="I15" s="117">
        <v>169.89</v>
      </c>
      <c r="J15" s="117">
        <f t="shared" si="0"/>
        <v>0</v>
      </c>
      <c r="K15" s="114"/>
      <c r="L15" s="114">
        <v>0</v>
      </c>
      <c r="M15" s="114">
        <v>0</v>
      </c>
      <c r="N15" s="114">
        <v>0</v>
      </c>
      <c r="O15" s="213">
        <f t="shared" si="1"/>
        <v>0</v>
      </c>
      <c r="P15" s="117">
        <f t="shared" si="21"/>
        <v>0.14285714285714285</v>
      </c>
      <c r="Q15" s="118">
        <v>1</v>
      </c>
      <c r="R15" s="118">
        <v>0</v>
      </c>
      <c r="S15" s="117">
        <f t="shared" si="13"/>
        <v>1</v>
      </c>
      <c r="T15" s="118">
        <v>1042</v>
      </c>
      <c r="U15" s="118">
        <v>0</v>
      </c>
      <c r="V15" s="117">
        <f t="shared" si="14"/>
        <v>1042</v>
      </c>
      <c r="W15" s="118">
        <v>1232</v>
      </c>
      <c r="X15" s="118">
        <v>0</v>
      </c>
      <c r="Y15" s="117">
        <f t="shared" si="3"/>
        <v>1232</v>
      </c>
      <c r="Z15" s="117">
        <f t="shared" si="15"/>
        <v>0</v>
      </c>
      <c r="AA15" s="119">
        <f t="shared" si="4"/>
        <v>2.4157402734100331E-2</v>
      </c>
      <c r="AB15" s="117">
        <f t="shared" si="16"/>
        <v>169.89</v>
      </c>
      <c r="AC15" s="118">
        <v>447.44000000000005</v>
      </c>
      <c r="AD15" s="119">
        <f t="shared" si="5"/>
        <v>0.36318181818181822</v>
      </c>
      <c r="AE15" s="118">
        <v>65.25</v>
      </c>
      <c r="AF15" s="118"/>
      <c r="AG15" s="118"/>
      <c r="AH15" s="118">
        <v>0</v>
      </c>
      <c r="AI15" s="152">
        <f t="shared" si="6"/>
        <v>16.030028000000001</v>
      </c>
      <c r="AJ15" s="118">
        <v>0</v>
      </c>
      <c r="AK15" s="120">
        <f t="shared" si="17"/>
        <v>10.42</v>
      </c>
      <c r="AL15" s="121">
        <f t="shared" si="18"/>
        <v>522.9699720000001</v>
      </c>
      <c r="AM15" s="122"/>
      <c r="AN15" s="123">
        <f t="shared" si="7"/>
        <v>1232</v>
      </c>
      <c r="AO15" s="124">
        <f t="shared" si="8"/>
        <v>169.89</v>
      </c>
      <c r="AP15" s="124">
        <f t="shared" si="9"/>
        <v>447.44000000000005</v>
      </c>
      <c r="AQ15" s="124">
        <f t="shared" si="19"/>
        <v>65.25</v>
      </c>
      <c r="AR15" s="124">
        <f t="shared" si="20"/>
        <v>0</v>
      </c>
      <c r="AS15" s="124">
        <f t="array" ref="AS15">_xlfn.IFS(S15=0,AL15,S15&lt;0,AL15/-S15,S15&gt;0,AL15/S15)</f>
        <v>522.9699720000001</v>
      </c>
      <c r="AT15" s="119">
        <f t="shared" si="22"/>
        <v>0.4244886136363637</v>
      </c>
      <c r="AU15" s="119">
        <f t="shared" si="23"/>
        <v>3.0782857849196548</v>
      </c>
      <c r="AV15" s="125"/>
      <c r="AW15" s="120">
        <f t="shared" si="12"/>
        <v>0</v>
      </c>
    </row>
    <row r="16" spans="1:49" s="140" customFormat="1" outlineLevel="1">
      <c r="A16" s="127"/>
      <c r="B16" s="128"/>
      <c r="C16" s="129"/>
      <c r="D16" s="130"/>
      <c r="E16" s="131"/>
      <c r="F16" s="131"/>
      <c r="G16" s="131"/>
      <c r="H16" s="131"/>
      <c r="I16" s="131"/>
      <c r="J16" s="131"/>
      <c r="K16" s="129"/>
      <c r="L16" s="129"/>
      <c r="M16" s="129"/>
      <c r="N16" s="129"/>
      <c r="O16" s="131"/>
      <c r="P16" s="131"/>
      <c r="Q16" s="132"/>
      <c r="R16" s="132"/>
      <c r="S16" s="131"/>
      <c r="T16" s="118"/>
      <c r="U16" s="118"/>
      <c r="V16" s="131"/>
      <c r="W16" s="132"/>
      <c r="X16" s="132"/>
      <c r="Y16" s="131"/>
      <c r="Z16" s="131"/>
      <c r="AA16" s="133"/>
      <c r="AB16" s="131"/>
      <c r="AC16" s="132"/>
      <c r="AD16" s="133"/>
      <c r="AE16" s="132"/>
      <c r="AF16" s="132"/>
      <c r="AG16" s="132"/>
      <c r="AH16" s="132"/>
      <c r="AI16" s="134"/>
      <c r="AJ16" s="132"/>
      <c r="AK16" s="135"/>
      <c r="AL16" s="136"/>
      <c r="AM16" s="137"/>
      <c r="AN16" s="138">
        <f t="shared" ref="AN16:AU16" si="24">AVERAGE(AN3:AN6)</f>
        <v>611.25</v>
      </c>
      <c r="AO16" s="138">
        <f t="shared" si="24"/>
        <v>128.0625</v>
      </c>
      <c r="AP16" s="138">
        <f t="shared" si="24"/>
        <v>220.40354166666665</v>
      </c>
      <c r="AQ16" s="138">
        <f t="shared" si="24"/>
        <v>120.20781249999999</v>
      </c>
      <c r="AR16" s="138">
        <f t="shared" si="24"/>
        <v>106.79166666666666</v>
      </c>
      <c r="AS16" s="138">
        <f t="shared" si="24"/>
        <v>1.1945341250000361</v>
      </c>
      <c r="AT16" s="139">
        <f t="shared" si="24"/>
        <v>8.1540559867564061E-2</v>
      </c>
      <c r="AU16" s="138">
        <f t="shared" si="24"/>
        <v>-8.1673620471155645E-2</v>
      </c>
      <c r="AV16" s="125"/>
      <c r="AW16" s="135"/>
    </row>
    <row r="17" spans="1:49" s="148" customFormat="1">
      <c r="A17" s="141" t="s">
        <v>106</v>
      </c>
      <c r="B17" s="142"/>
      <c r="C17" s="143"/>
      <c r="D17" s="143"/>
      <c r="E17" s="143">
        <f t="shared" ref="E17:G17" si="25">SUM(E3:E15)</f>
        <v>0</v>
      </c>
      <c r="F17" s="143">
        <f t="shared" si="25"/>
        <v>0</v>
      </c>
      <c r="G17" s="143">
        <f t="shared" si="25"/>
        <v>0</v>
      </c>
      <c r="H17" s="143">
        <f>SUM(H3:H15)</f>
        <v>2500</v>
      </c>
      <c r="I17" s="143"/>
      <c r="J17" s="143">
        <f>SUM(J3:J15)</f>
        <v>0</v>
      </c>
      <c r="K17" s="143"/>
      <c r="L17" s="143">
        <f>SUM(L3:L15)</f>
        <v>86</v>
      </c>
      <c r="M17" s="143"/>
      <c r="N17" s="143"/>
      <c r="O17" s="143"/>
      <c r="P17" s="143"/>
      <c r="Q17" s="143">
        <f>SUM(Q3:Q15)</f>
        <v>43</v>
      </c>
      <c r="R17" s="143">
        <f t="shared" ref="R17:Z17" si="26">SUM(R3:R15)</f>
        <v>-1</v>
      </c>
      <c r="S17" s="143">
        <f t="shared" si="26"/>
        <v>42</v>
      </c>
      <c r="T17" s="143">
        <f t="shared" si="26"/>
        <v>43245.32</v>
      </c>
      <c r="U17" s="143">
        <f t="shared" si="26"/>
        <v>-931</v>
      </c>
      <c r="V17" s="143">
        <f t="shared" si="26"/>
        <v>42314.32</v>
      </c>
      <c r="W17" s="143">
        <f t="shared" si="26"/>
        <v>52197.86</v>
      </c>
      <c r="X17" s="143">
        <f t="shared" si="26"/>
        <v>-1199</v>
      </c>
      <c r="Y17" s="143">
        <f t="shared" si="26"/>
        <v>50998.86</v>
      </c>
      <c r="Z17" s="143">
        <f t="shared" si="26"/>
        <v>58556.599999999991</v>
      </c>
      <c r="AA17" s="144">
        <f>SUM(AA3:AA15)</f>
        <v>1</v>
      </c>
      <c r="AB17" s="145">
        <f>SUM(AB3:AB15)</f>
        <v>5562.9000000000005</v>
      </c>
      <c r="AC17" s="145">
        <f>SUM(AC3:AC15)</f>
        <v>18463.039999999997</v>
      </c>
      <c r="AD17" s="144">
        <f>AC17/Y17</f>
        <v>0.36202848455828224</v>
      </c>
      <c r="AE17" s="143">
        <f>SUM(AE3:AE15)</f>
        <v>5752.8</v>
      </c>
      <c r="AF17" s="143">
        <f t="shared" ref="AF17:AL17" si="27">SUM(AF3:AF15)</f>
        <v>0</v>
      </c>
      <c r="AG17" s="143">
        <f t="shared" si="27"/>
        <v>6535</v>
      </c>
      <c r="AH17" s="143">
        <f t="shared" si="27"/>
        <v>0</v>
      </c>
      <c r="AI17" s="143">
        <f>SUM(AI3:AI15)</f>
        <v>1083.1099999999999</v>
      </c>
      <c r="AJ17" s="143">
        <f>SUM(AJ3:AJ15)</f>
        <v>0</v>
      </c>
      <c r="AK17" s="143">
        <f t="shared" si="27"/>
        <v>423.14320000000004</v>
      </c>
      <c r="AL17" s="143">
        <f t="shared" si="27"/>
        <v>13178.866799999998</v>
      </c>
      <c r="AM17" s="146"/>
      <c r="AN17" s="143"/>
      <c r="AO17" s="143"/>
      <c r="AP17" s="143"/>
      <c r="AQ17" s="143"/>
      <c r="AR17" s="143">
        <f>(AF17+AG17)/Q17</f>
        <v>151.97674418604652</v>
      </c>
      <c r="AS17" s="143"/>
      <c r="AT17" s="143"/>
      <c r="AU17" s="143"/>
      <c r="AV17" s="147"/>
      <c r="AW17" s="143">
        <f>SUM(AW3:AW6)</f>
        <v>0</v>
      </c>
    </row>
    <row r="18" spans="1:49">
      <c r="A18" s="114"/>
      <c r="B18" s="115"/>
      <c r="C18" s="115"/>
      <c r="D18" s="149"/>
      <c r="E18" s="118"/>
      <c r="F18" s="118"/>
      <c r="G18" s="118"/>
      <c r="H18" s="118"/>
      <c r="I18" s="118"/>
      <c r="J18" s="118"/>
      <c r="K18" s="114"/>
      <c r="L18" s="114"/>
      <c r="M18" s="114"/>
      <c r="N18" s="114"/>
      <c r="O18" s="118"/>
      <c r="P18" s="118"/>
      <c r="Q18" s="118"/>
      <c r="R18" s="118"/>
      <c r="S18" s="118"/>
      <c r="T18" s="118"/>
      <c r="U18" s="118"/>
      <c r="V18" s="118"/>
      <c r="W18" s="118"/>
      <c r="X18" s="118"/>
      <c r="Y18" s="118"/>
      <c r="Z18" s="118"/>
      <c r="AA18" s="150"/>
      <c r="AB18" s="118"/>
      <c r="AC18" s="118"/>
      <c r="AD18" s="150"/>
      <c r="AE18" s="118"/>
      <c r="AF18" s="346"/>
      <c r="AG18" s="346"/>
      <c r="AH18" s="236"/>
      <c r="AI18" s="152"/>
      <c r="AJ18" s="118"/>
      <c r="AK18" s="153"/>
      <c r="AL18" s="154"/>
      <c r="AM18" s="122"/>
      <c r="AN18" s="155"/>
      <c r="AO18" s="156"/>
      <c r="AP18" s="156"/>
      <c r="AQ18" s="156"/>
      <c r="AR18" s="156"/>
      <c r="AS18" s="156"/>
      <c r="AT18" s="157"/>
      <c r="AU18" s="157"/>
      <c r="AV18" s="125"/>
      <c r="AW18" s="153"/>
    </row>
    <row r="19" spans="1:49" hidden="1" outlineLevel="1">
      <c r="A19" s="114"/>
      <c r="B19" s="115"/>
      <c r="C19" s="115"/>
      <c r="D19" s="116"/>
      <c r="E19" s="117">
        <f t="shared" ref="E19:E50" si="28">SUM(F19:H19)</f>
        <v>0</v>
      </c>
      <c r="F19" s="117"/>
      <c r="G19" s="117"/>
      <c r="H19" s="117"/>
      <c r="I19" s="117"/>
      <c r="J19" s="117">
        <f t="shared" ref="J19:J70" si="29">E19*I19</f>
        <v>0</v>
      </c>
      <c r="K19" s="114"/>
      <c r="L19" s="114"/>
      <c r="M19" s="114"/>
      <c r="N19" s="114"/>
      <c r="O19" s="117">
        <f t="shared" ref="O19:O70" si="30">L19/7</f>
        <v>0</v>
      </c>
      <c r="P19" s="117">
        <f t="shared" ref="P19:P70" si="31">S19/7</f>
        <v>0</v>
      </c>
      <c r="Q19" s="118"/>
      <c r="R19" s="118"/>
      <c r="S19" s="117">
        <f t="shared" ref="S19:S70" si="32">Q19+R19</f>
        <v>0</v>
      </c>
      <c r="T19" s="117"/>
      <c r="U19" s="117"/>
      <c r="V19" s="117">
        <f t="shared" ref="V19:V70" si="33">T19+U19</f>
        <v>0</v>
      </c>
      <c r="W19" s="118"/>
      <c r="X19" s="118"/>
      <c r="Y19" s="117">
        <f t="shared" ref="Y19:Y70" si="34">W19+X19</f>
        <v>0</v>
      </c>
      <c r="Z19" s="117">
        <f t="shared" ref="Z19:Z65" si="35">L19*M19*N19/100</f>
        <v>0</v>
      </c>
      <c r="AA19" s="119">
        <f>Y19/$Y$74</f>
        <v>0</v>
      </c>
      <c r="AB19" s="117">
        <f t="shared" ref="AB19:AB70" si="36">S19*I19</f>
        <v>0</v>
      </c>
      <c r="AC19" s="118"/>
      <c r="AD19" s="119">
        <f t="shared" ref="AD19:AD70" si="37">IF(Y19=0,0,AC19/Y19)</f>
        <v>0</v>
      </c>
      <c r="AE19" s="118"/>
      <c r="AF19" s="118"/>
      <c r="AG19" s="118"/>
      <c r="AH19" s="118"/>
      <c r="AI19" s="152">
        <f t="shared" ref="AI19:AI70" si="38">$AI$74*H19/$H$74</f>
        <v>0</v>
      </c>
      <c r="AJ19" s="118"/>
      <c r="AK19" s="120">
        <f t="shared" ref="AK19:AK70" si="39">V19*1%</f>
        <v>0</v>
      </c>
      <c r="AL19" s="121">
        <f t="shared" ref="AL19:AL70" si="40">Y19-AB19-AC19-AE19-AF19-AG19-AH19-AI19-AK19-AJ19</f>
        <v>0</v>
      </c>
      <c r="AM19" s="122"/>
      <c r="AN19" s="123">
        <f t="shared" ref="AN19:AN70" si="41">IF(S19=0,0,Y19/S19)</f>
        <v>0</v>
      </c>
      <c r="AO19" s="124">
        <f t="shared" ref="AO19:AO70" si="42">I19</f>
        <v>0</v>
      </c>
      <c r="AP19" s="124">
        <f t="shared" ref="AP19:AP70" si="43">IF(S19=0,0,AC19/S19)</f>
        <v>0</v>
      </c>
      <c r="AQ19" s="124">
        <f t="shared" ref="AQ19:AQ70" si="44">IF(Q19=0,AE19/1,AE19/Q19)</f>
        <v>0</v>
      </c>
      <c r="AR19" s="124">
        <f t="shared" ref="AR19:AR70" si="45">IF(Q19=0,0,(AF19+AG19)/Q19)</f>
        <v>0</v>
      </c>
      <c r="AS19" s="124">
        <f t="array" ref="AS19">_xlfn.IFS(S19=0,AL19,S19&lt;0,AL19/-S19,S19&gt;0,AL19/S19)</f>
        <v>0</v>
      </c>
      <c r="AT19" s="119">
        <f t="shared" ref="AT19:AT70" si="46">IF(AN19=0,0,AS19/AN19)</f>
        <v>0</v>
      </c>
      <c r="AU19" s="119">
        <f t="shared" ref="AU19:AU70" si="47">IF(AO19=0,0,AS19/AO19)</f>
        <v>0</v>
      </c>
      <c r="AV19" s="125"/>
      <c r="AW19" s="120">
        <f t="shared" ref="AW19:AW70" si="48">AS19*E19</f>
        <v>0</v>
      </c>
    </row>
    <row r="20" spans="1:49" hidden="1" outlineLevel="1">
      <c r="A20" s="114"/>
      <c r="B20" s="115"/>
      <c r="C20" s="115"/>
      <c r="D20" s="116"/>
      <c r="E20" s="117">
        <f t="shared" si="28"/>
        <v>0</v>
      </c>
      <c r="F20" s="117"/>
      <c r="G20" s="117"/>
      <c r="H20" s="117"/>
      <c r="I20" s="117"/>
      <c r="J20" s="117">
        <f t="shared" si="29"/>
        <v>0</v>
      </c>
      <c r="K20" s="114"/>
      <c r="L20" s="114"/>
      <c r="M20" s="114"/>
      <c r="N20" s="114"/>
      <c r="O20" s="117">
        <f t="shared" si="30"/>
        <v>0</v>
      </c>
      <c r="P20" s="117">
        <f t="shared" si="31"/>
        <v>0</v>
      </c>
      <c r="Q20" s="118"/>
      <c r="R20" s="118"/>
      <c r="S20" s="117">
        <f t="shared" si="32"/>
        <v>0</v>
      </c>
      <c r="T20" s="117"/>
      <c r="U20" s="117"/>
      <c r="V20" s="117">
        <f t="shared" si="33"/>
        <v>0</v>
      </c>
      <c r="W20" s="118"/>
      <c r="X20" s="118"/>
      <c r="Y20" s="117">
        <f t="shared" si="34"/>
        <v>0</v>
      </c>
      <c r="Z20" s="117">
        <f t="shared" si="35"/>
        <v>0</v>
      </c>
      <c r="AA20" s="119">
        <f t="shared" ref="AA20:AA70" si="49">Y20/$Y$74</f>
        <v>0</v>
      </c>
      <c r="AB20" s="117">
        <f t="shared" si="36"/>
        <v>0</v>
      </c>
      <c r="AC20" s="118"/>
      <c r="AD20" s="119">
        <f t="shared" si="37"/>
        <v>0</v>
      </c>
      <c r="AE20" s="118"/>
      <c r="AF20" s="118"/>
      <c r="AG20" s="118"/>
      <c r="AH20" s="118"/>
      <c r="AI20" s="152">
        <f t="shared" si="38"/>
        <v>0</v>
      </c>
      <c r="AJ20" s="118"/>
      <c r="AK20" s="120">
        <f t="shared" si="39"/>
        <v>0</v>
      </c>
      <c r="AL20" s="121">
        <f t="shared" si="40"/>
        <v>0</v>
      </c>
      <c r="AM20" s="122"/>
      <c r="AN20" s="123">
        <f t="shared" si="41"/>
        <v>0</v>
      </c>
      <c r="AO20" s="124">
        <f t="shared" si="42"/>
        <v>0</v>
      </c>
      <c r="AP20" s="124">
        <f t="shared" si="43"/>
        <v>0</v>
      </c>
      <c r="AQ20" s="124">
        <f t="shared" si="44"/>
        <v>0</v>
      </c>
      <c r="AR20" s="124">
        <f t="shared" si="45"/>
        <v>0</v>
      </c>
      <c r="AS20" s="124">
        <f t="array" ref="AS20">_xlfn.IFS(S20=0,AL20,S20&lt;0,AL20/-S20,S20&gt;0,AL20/S20)</f>
        <v>0</v>
      </c>
      <c r="AT20" s="119">
        <f t="shared" si="46"/>
        <v>0</v>
      </c>
      <c r="AU20" s="119">
        <f t="shared" si="47"/>
        <v>0</v>
      </c>
      <c r="AV20" s="125"/>
      <c r="AW20" s="120">
        <f t="shared" si="48"/>
        <v>0</v>
      </c>
    </row>
    <row r="21" spans="1:49" hidden="1" outlineLevel="1">
      <c r="A21" s="114"/>
      <c r="B21" s="115"/>
      <c r="C21" s="115"/>
      <c r="D21" s="116"/>
      <c r="E21" s="117">
        <f t="shared" si="28"/>
        <v>0</v>
      </c>
      <c r="F21" s="117"/>
      <c r="G21" s="117"/>
      <c r="H21" s="117"/>
      <c r="I21" s="117"/>
      <c r="J21" s="117">
        <f t="shared" si="29"/>
        <v>0</v>
      </c>
      <c r="K21" s="114"/>
      <c r="L21" s="114"/>
      <c r="M21" s="114"/>
      <c r="N21" s="114"/>
      <c r="O21" s="117">
        <f t="shared" si="30"/>
        <v>0</v>
      </c>
      <c r="P21" s="117">
        <f t="shared" si="31"/>
        <v>0</v>
      </c>
      <c r="Q21" s="118"/>
      <c r="R21" s="118"/>
      <c r="S21" s="117">
        <f t="shared" si="32"/>
        <v>0</v>
      </c>
      <c r="T21" s="117"/>
      <c r="U21" s="117"/>
      <c r="V21" s="117">
        <f t="shared" si="33"/>
        <v>0</v>
      </c>
      <c r="W21" s="118"/>
      <c r="X21" s="118"/>
      <c r="Y21" s="117">
        <f t="shared" si="34"/>
        <v>0</v>
      </c>
      <c r="Z21" s="117">
        <f t="shared" si="35"/>
        <v>0</v>
      </c>
      <c r="AA21" s="119">
        <f t="shared" si="49"/>
        <v>0</v>
      </c>
      <c r="AB21" s="117">
        <f t="shared" si="36"/>
        <v>0</v>
      </c>
      <c r="AC21" s="118"/>
      <c r="AD21" s="119">
        <f t="shared" si="37"/>
        <v>0</v>
      </c>
      <c r="AE21" s="118"/>
      <c r="AF21" s="118"/>
      <c r="AG21" s="118"/>
      <c r="AH21" s="118"/>
      <c r="AI21" s="152">
        <f t="shared" si="38"/>
        <v>0</v>
      </c>
      <c r="AJ21" s="118"/>
      <c r="AK21" s="120">
        <f t="shared" si="39"/>
        <v>0</v>
      </c>
      <c r="AL21" s="121">
        <f t="shared" si="40"/>
        <v>0</v>
      </c>
      <c r="AM21" s="122"/>
      <c r="AN21" s="123">
        <f t="shared" si="41"/>
        <v>0</v>
      </c>
      <c r="AO21" s="124">
        <f t="shared" si="42"/>
        <v>0</v>
      </c>
      <c r="AP21" s="124">
        <f t="shared" si="43"/>
        <v>0</v>
      </c>
      <c r="AQ21" s="124">
        <f t="shared" si="44"/>
        <v>0</v>
      </c>
      <c r="AR21" s="124">
        <f t="shared" si="45"/>
        <v>0</v>
      </c>
      <c r="AS21" s="124">
        <f t="array" ref="AS21">_xlfn.IFS(S21=0,AL21,S21&lt;0,AL21/-S21,S21&gt;0,AL21/S21)</f>
        <v>0</v>
      </c>
      <c r="AT21" s="119">
        <f t="shared" si="46"/>
        <v>0</v>
      </c>
      <c r="AU21" s="119">
        <f t="shared" si="47"/>
        <v>0</v>
      </c>
      <c r="AV21" s="125"/>
      <c r="AW21" s="120">
        <f t="shared" si="48"/>
        <v>0</v>
      </c>
    </row>
    <row r="22" spans="1:49" hidden="1" outlineLevel="1">
      <c r="A22" s="114"/>
      <c r="B22" s="115"/>
      <c r="C22" s="115"/>
      <c r="D22" s="116"/>
      <c r="E22" s="117">
        <f t="shared" si="28"/>
        <v>0</v>
      </c>
      <c r="F22" s="117"/>
      <c r="G22" s="117"/>
      <c r="H22" s="117"/>
      <c r="I22" s="117"/>
      <c r="J22" s="117">
        <f t="shared" si="29"/>
        <v>0</v>
      </c>
      <c r="K22" s="114"/>
      <c r="L22" s="114"/>
      <c r="M22" s="114"/>
      <c r="N22" s="114"/>
      <c r="O22" s="117">
        <f t="shared" si="30"/>
        <v>0</v>
      </c>
      <c r="P22" s="117">
        <f t="shared" si="31"/>
        <v>0</v>
      </c>
      <c r="Q22" s="118"/>
      <c r="R22" s="118"/>
      <c r="S22" s="117">
        <f t="shared" si="32"/>
        <v>0</v>
      </c>
      <c r="T22" s="117"/>
      <c r="U22" s="117"/>
      <c r="V22" s="117">
        <f t="shared" si="33"/>
        <v>0</v>
      </c>
      <c r="W22" s="118"/>
      <c r="X22" s="118"/>
      <c r="Y22" s="117">
        <f t="shared" si="34"/>
        <v>0</v>
      </c>
      <c r="Z22" s="117">
        <f t="shared" si="35"/>
        <v>0</v>
      </c>
      <c r="AA22" s="119">
        <f t="shared" si="49"/>
        <v>0</v>
      </c>
      <c r="AB22" s="117">
        <f t="shared" si="36"/>
        <v>0</v>
      </c>
      <c r="AC22" s="118"/>
      <c r="AD22" s="119">
        <f t="shared" si="37"/>
        <v>0</v>
      </c>
      <c r="AE22" s="118"/>
      <c r="AF22" s="118"/>
      <c r="AG22" s="118"/>
      <c r="AH22" s="118"/>
      <c r="AI22" s="152">
        <f t="shared" si="38"/>
        <v>0</v>
      </c>
      <c r="AJ22" s="118"/>
      <c r="AK22" s="120">
        <f t="shared" si="39"/>
        <v>0</v>
      </c>
      <c r="AL22" s="121">
        <f t="shared" si="40"/>
        <v>0</v>
      </c>
      <c r="AM22" s="122"/>
      <c r="AN22" s="123">
        <f t="shared" si="41"/>
        <v>0</v>
      </c>
      <c r="AO22" s="124">
        <f t="shared" si="42"/>
        <v>0</v>
      </c>
      <c r="AP22" s="124">
        <f t="shared" si="43"/>
        <v>0</v>
      </c>
      <c r="AQ22" s="124">
        <f t="shared" si="44"/>
        <v>0</v>
      </c>
      <c r="AR22" s="124">
        <f t="shared" si="45"/>
        <v>0</v>
      </c>
      <c r="AS22" s="124">
        <f t="array" ref="AS22">_xlfn.IFS(S22=0,AL22,S22&lt;0,AL22/-S22,S22&gt;0,AL22/S22)</f>
        <v>0</v>
      </c>
      <c r="AT22" s="119">
        <f t="shared" si="46"/>
        <v>0</v>
      </c>
      <c r="AU22" s="119">
        <f t="shared" si="47"/>
        <v>0</v>
      </c>
      <c r="AV22" s="125"/>
      <c r="AW22" s="120">
        <f t="shared" si="48"/>
        <v>0</v>
      </c>
    </row>
    <row r="23" spans="1:49" hidden="1" outlineLevel="1">
      <c r="A23" s="114"/>
      <c r="B23" s="115"/>
      <c r="C23" s="115"/>
      <c r="D23" s="116"/>
      <c r="E23" s="117">
        <f t="shared" si="28"/>
        <v>0</v>
      </c>
      <c r="F23" s="117"/>
      <c r="G23" s="117"/>
      <c r="H23" s="117"/>
      <c r="I23" s="117"/>
      <c r="J23" s="117">
        <f t="shared" si="29"/>
        <v>0</v>
      </c>
      <c r="K23" s="114"/>
      <c r="L23" s="114"/>
      <c r="M23" s="114"/>
      <c r="N23" s="114"/>
      <c r="O23" s="117">
        <f t="shared" si="30"/>
        <v>0</v>
      </c>
      <c r="P23" s="117">
        <f t="shared" si="31"/>
        <v>0</v>
      </c>
      <c r="Q23" s="118"/>
      <c r="R23" s="118"/>
      <c r="S23" s="117">
        <f t="shared" si="32"/>
        <v>0</v>
      </c>
      <c r="T23" s="117"/>
      <c r="U23" s="117"/>
      <c r="V23" s="117">
        <f t="shared" si="33"/>
        <v>0</v>
      </c>
      <c r="W23" s="118"/>
      <c r="X23" s="118"/>
      <c r="Y23" s="117">
        <f t="shared" si="34"/>
        <v>0</v>
      </c>
      <c r="Z23" s="117">
        <f t="shared" si="35"/>
        <v>0</v>
      </c>
      <c r="AA23" s="119">
        <f t="shared" si="49"/>
        <v>0</v>
      </c>
      <c r="AB23" s="117">
        <f t="shared" si="36"/>
        <v>0</v>
      </c>
      <c r="AC23" s="118"/>
      <c r="AD23" s="119">
        <f t="shared" si="37"/>
        <v>0</v>
      </c>
      <c r="AE23" s="118"/>
      <c r="AF23" s="118"/>
      <c r="AG23" s="118"/>
      <c r="AH23" s="118"/>
      <c r="AI23" s="152">
        <f t="shared" si="38"/>
        <v>0</v>
      </c>
      <c r="AJ23" s="118"/>
      <c r="AK23" s="120">
        <f t="shared" si="39"/>
        <v>0</v>
      </c>
      <c r="AL23" s="121">
        <f t="shared" si="40"/>
        <v>0</v>
      </c>
      <c r="AM23" s="122"/>
      <c r="AN23" s="123">
        <f t="shared" si="41"/>
        <v>0</v>
      </c>
      <c r="AO23" s="124">
        <f t="shared" si="42"/>
        <v>0</v>
      </c>
      <c r="AP23" s="124">
        <f t="shared" si="43"/>
        <v>0</v>
      </c>
      <c r="AQ23" s="124">
        <f t="shared" si="44"/>
        <v>0</v>
      </c>
      <c r="AR23" s="124">
        <f t="shared" si="45"/>
        <v>0</v>
      </c>
      <c r="AS23" s="124">
        <f t="array" ref="AS23">_xlfn.IFS(S23=0,AL23,S23&lt;0,AL23/-S23,S23&gt;0,AL23/S23)</f>
        <v>0</v>
      </c>
      <c r="AT23" s="119">
        <f t="shared" si="46"/>
        <v>0</v>
      </c>
      <c r="AU23" s="119">
        <f t="shared" si="47"/>
        <v>0</v>
      </c>
      <c r="AV23" s="125"/>
      <c r="AW23" s="120">
        <f t="shared" si="48"/>
        <v>0</v>
      </c>
    </row>
    <row r="24" spans="1:49" hidden="1" outlineLevel="1">
      <c r="A24" s="114"/>
      <c r="B24" s="115"/>
      <c r="C24" s="115"/>
      <c r="D24" s="116"/>
      <c r="E24" s="117">
        <f t="shared" si="28"/>
        <v>0</v>
      </c>
      <c r="F24" s="117"/>
      <c r="G24" s="117"/>
      <c r="H24" s="117"/>
      <c r="I24" s="117"/>
      <c r="J24" s="117">
        <f t="shared" si="29"/>
        <v>0</v>
      </c>
      <c r="K24" s="114"/>
      <c r="L24" s="114"/>
      <c r="M24" s="114"/>
      <c r="N24" s="114"/>
      <c r="O24" s="117">
        <f t="shared" si="30"/>
        <v>0</v>
      </c>
      <c r="P24" s="117">
        <f t="shared" si="31"/>
        <v>0</v>
      </c>
      <c r="Q24" s="118"/>
      <c r="R24" s="118"/>
      <c r="S24" s="117">
        <f t="shared" si="32"/>
        <v>0</v>
      </c>
      <c r="T24" s="117"/>
      <c r="U24" s="117"/>
      <c r="V24" s="117">
        <f t="shared" si="33"/>
        <v>0</v>
      </c>
      <c r="W24" s="118"/>
      <c r="X24" s="118"/>
      <c r="Y24" s="117">
        <f t="shared" si="34"/>
        <v>0</v>
      </c>
      <c r="Z24" s="117">
        <f t="shared" si="35"/>
        <v>0</v>
      </c>
      <c r="AA24" s="119">
        <f t="shared" si="49"/>
        <v>0</v>
      </c>
      <c r="AB24" s="117">
        <f t="shared" si="36"/>
        <v>0</v>
      </c>
      <c r="AC24" s="118"/>
      <c r="AD24" s="119">
        <f t="shared" si="37"/>
        <v>0</v>
      </c>
      <c r="AE24" s="118"/>
      <c r="AF24" s="118"/>
      <c r="AG24" s="118"/>
      <c r="AH24" s="118"/>
      <c r="AI24" s="152">
        <f t="shared" si="38"/>
        <v>0</v>
      </c>
      <c r="AJ24" s="118"/>
      <c r="AK24" s="120">
        <f t="shared" si="39"/>
        <v>0</v>
      </c>
      <c r="AL24" s="121">
        <f t="shared" si="40"/>
        <v>0</v>
      </c>
      <c r="AM24" s="122"/>
      <c r="AN24" s="123">
        <f t="shared" si="41"/>
        <v>0</v>
      </c>
      <c r="AO24" s="124">
        <f t="shared" si="42"/>
        <v>0</v>
      </c>
      <c r="AP24" s="124">
        <f t="shared" si="43"/>
        <v>0</v>
      </c>
      <c r="AQ24" s="124">
        <f t="shared" si="44"/>
        <v>0</v>
      </c>
      <c r="AR24" s="124">
        <f t="shared" si="45"/>
        <v>0</v>
      </c>
      <c r="AS24" s="124">
        <f t="array" ref="AS24">_xlfn.IFS(S24=0,AL24,S24&lt;0,AL24/-S24,S24&gt;0,AL24/S24)</f>
        <v>0</v>
      </c>
      <c r="AT24" s="119">
        <f t="shared" si="46"/>
        <v>0</v>
      </c>
      <c r="AU24" s="119">
        <f t="shared" si="47"/>
        <v>0</v>
      </c>
      <c r="AV24" s="125"/>
      <c r="AW24" s="120">
        <f t="shared" si="48"/>
        <v>0</v>
      </c>
    </row>
    <row r="25" spans="1:49" hidden="1" outlineLevel="1">
      <c r="A25" s="114"/>
      <c r="B25" s="115"/>
      <c r="C25" s="115"/>
      <c r="D25" s="116"/>
      <c r="E25" s="117">
        <f t="shared" si="28"/>
        <v>0</v>
      </c>
      <c r="F25" s="117"/>
      <c r="G25" s="117"/>
      <c r="H25" s="117"/>
      <c r="I25" s="117"/>
      <c r="J25" s="117">
        <f t="shared" si="29"/>
        <v>0</v>
      </c>
      <c r="K25" s="114"/>
      <c r="L25" s="114"/>
      <c r="M25" s="114"/>
      <c r="N25" s="114"/>
      <c r="O25" s="117">
        <f t="shared" si="30"/>
        <v>0</v>
      </c>
      <c r="P25" s="117">
        <f t="shared" si="31"/>
        <v>0</v>
      </c>
      <c r="Q25" s="118"/>
      <c r="R25" s="118"/>
      <c r="S25" s="117">
        <f t="shared" si="32"/>
        <v>0</v>
      </c>
      <c r="T25" s="117"/>
      <c r="U25" s="117"/>
      <c r="V25" s="117">
        <f t="shared" si="33"/>
        <v>0</v>
      </c>
      <c r="W25" s="118"/>
      <c r="X25" s="118"/>
      <c r="Y25" s="117">
        <f t="shared" si="34"/>
        <v>0</v>
      </c>
      <c r="Z25" s="117">
        <f t="shared" si="35"/>
        <v>0</v>
      </c>
      <c r="AA25" s="119">
        <f t="shared" si="49"/>
        <v>0</v>
      </c>
      <c r="AB25" s="117">
        <f t="shared" si="36"/>
        <v>0</v>
      </c>
      <c r="AC25" s="118"/>
      <c r="AD25" s="119">
        <f t="shared" si="37"/>
        <v>0</v>
      </c>
      <c r="AE25" s="118"/>
      <c r="AF25" s="118"/>
      <c r="AG25" s="118"/>
      <c r="AH25" s="118"/>
      <c r="AI25" s="152">
        <f t="shared" si="38"/>
        <v>0</v>
      </c>
      <c r="AJ25" s="118"/>
      <c r="AK25" s="120">
        <f t="shared" si="39"/>
        <v>0</v>
      </c>
      <c r="AL25" s="121">
        <f t="shared" si="40"/>
        <v>0</v>
      </c>
      <c r="AM25" s="122"/>
      <c r="AN25" s="123">
        <f t="shared" si="41"/>
        <v>0</v>
      </c>
      <c r="AO25" s="124">
        <f t="shared" si="42"/>
        <v>0</v>
      </c>
      <c r="AP25" s="124">
        <f t="shared" si="43"/>
        <v>0</v>
      </c>
      <c r="AQ25" s="124">
        <f t="shared" si="44"/>
        <v>0</v>
      </c>
      <c r="AR25" s="124">
        <f t="shared" si="45"/>
        <v>0</v>
      </c>
      <c r="AS25" s="124">
        <f t="array" ref="AS25">_xlfn.IFS(S25=0,AL25,S25&lt;0,AL25/-S25,S25&gt;0,AL25/S25)</f>
        <v>0</v>
      </c>
      <c r="AT25" s="119">
        <f t="shared" si="46"/>
        <v>0</v>
      </c>
      <c r="AU25" s="119">
        <f t="shared" si="47"/>
        <v>0</v>
      </c>
      <c r="AV25" s="125"/>
      <c r="AW25" s="120">
        <f t="shared" si="48"/>
        <v>0</v>
      </c>
    </row>
    <row r="26" spans="1:49" hidden="1" outlineLevel="1">
      <c r="A26" s="114"/>
      <c r="B26" s="115"/>
      <c r="C26" s="115"/>
      <c r="D26" s="116"/>
      <c r="E26" s="117">
        <f t="shared" si="28"/>
        <v>0</v>
      </c>
      <c r="F26" s="117"/>
      <c r="G26" s="117"/>
      <c r="H26" s="117"/>
      <c r="I26" s="117"/>
      <c r="J26" s="117">
        <f t="shared" si="29"/>
        <v>0</v>
      </c>
      <c r="K26" s="114"/>
      <c r="L26" s="114"/>
      <c r="M26" s="114"/>
      <c r="N26" s="114"/>
      <c r="O26" s="117">
        <f t="shared" si="30"/>
        <v>0</v>
      </c>
      <c r="P26" s="117">
        <f t="shared" si="31"/>
        <v>0</v>
      </c>
      <c r="Q26" s="118"/>
      <c r="R26" s="118"/>
      <c r="S26" s="117">
        <f t="shared" si="32"/>
        <v>0</v>
      </c>
      <c r="T26" s="117"/>
      <c r="U26" s="117"/>
      <c r="V26" s="117">
        <f t="shared" si="33"/>
        <v>0</v>
      </c>
      <c r="W26" s="118"/>
      <c r="X26" s="118"/>
      <c r="Y26" s="117">
        <f t="shared" si="34"/>
        <v>0</v>
      </c>
      <c r="Z26" s="117">
        <f t="shared" si="35"/>
        <v>0</v>
      </c>
      <c r="AA26" s="119">
        <f t="shared" si="49"/>
        <v>0</v>
      </c>
      <c r="AB26" s="117">
        <f t="shared" si="36"/>
        <v>0</v>
      </c>
      <c r="AC26" s="118"/>
      <c r="AD26" s="119">
        <f t="shared" si="37"/>
        <v>0</v>
      </c>
      <c r="AE26" s="118"/>
      <c r="AF26" s="118"/>
      <c r="AG26" s="118"/>
      <c r="AH26" s="118"/>
      <c r="AI26" s="152">
        <f t="shared" si="38"/>
        <v>0</v>
      </c>
      <c r="AJ26" s="118"/>
      <c r="AK26" s="120">
        <f t="shared" si="39"/>
        <v>0</v>
      </c>
      <c r="AL26" s="121">
        <f t="shared" si="40"/>
        <v>0</v>
      </c>
      <c r="AM26" s="122"/>
      <c r="AN26" s="123">
        <f t="shared" si="41"/>
        <v>0</v>
      </c>
      <c r="AO26" s="124">
        <f t="shared" si="42"/>
        <v>0</v>
      </c>
      <c r="AP26" s="124">
        <f t="shared" si="43"/>
        <v>0</v>
      </c>
      <c r="AQ26" s="124">
        <f t="shared" si="44"/>
        <v>0</v>
      </c>
      <c r="AR26" s="124">
        <f t="shared" si="45"/>
        <v>0</v>
      </c>
      <c r="AS26" s="124">
        <f t="array" ref="AS26">_xlfn.IFS(S26=0,AL26,S26&lt;0,AL26/-S26,S26&gt;0,AL26/S26)</f>
        <v>0</v>
      </c>
      <c r="AT26" s="119">
        <f t="shared" si="46"/>
        <v>0</v>
      </c>
      <c r="AU26" s="119">
        <f t="shared" si="47"/>
        <v>0</v>
      </c>
      <c r="AV26" s="125"/>
      <c r="AW26" s="120">
        <f t="shared" si="48"/>
        <v>0</v>
      </c>
    </row>
    <row r="27" spans="1:49" hidden="1" outlineLevel="1">
      <c r="A27" s="114"/>
      <c r="B27" s="115"/>
      <c r="C27" s="115"/>
      <c r="D27" s="116"/>
      <c r="E27" s="117">
        <f t="shared" si="28"/>
        <v>0</v>
      </c>
      <c r="F27" s="117"/>
      <c r="G27" s="117"/>
      <c r="H27" s="117"/>
      <c r="I27" s="117"/>
      <c r="J27" s="117">
        <f t="shared" si="29"/>
        <v>0</v>
      </c>
      <c r="K27" s="114"/>
      <c r="L27" s="114"/>
      <c r="M27" s="114"/>
      <c r="N27" s="114"/>
      <c r="O27" s="117">
        <f t="shared" si="30"/>
        <v>0</v>
      </c>
      <c r="P27" s="117">
        <f t="shared" si="31"/>
        <v>0</v>
      </c>
      <c r="Q27" s="118"/>
      <c r="R27" s="118"/>
      <c r="S27" s="117">
        <f t="shared" si="32"/>
        <v>0</v>
      </c>
      <c r="T27" s="117"/>
      <c r="U27" s="117"/>
      <c r="V27" s="117">
        <f t="shared" si="33"/>
        <v>0</v>
      </c>
      <c r="W27" s="118"/>
      <c r="X27" s="118"/>
      <c r="Y27" s="117">
        <f t="shared" si="34"/>
        <v>0</v>
      </c>
      <c r="Z27" s="117">
        <f t="shared" si="35"/>
        <v>0</v>
      </c>
      <c r="AA27" s="119">
        <f t="shared" si="49"/>
        <v>0</v>
      </c>
      <c r="AB27" s="117">
        <f t="shared" si="36"/>
        <v>0</v>
      </c>
      <c r="AC27" s="118"/>
      <c r="AD27" s="119">
        <f t="shared" si="37"/>
        <v>0</v>
      </c>
      <c r="AE27" s="118"/>
      <c r="AF27" s="118"/>
      <c r="AG27" s="118"/>
      <c r="AH27" s="118"/>
      <c r="AI27" s="152">
        <f t="shared" si="38"/>
        <v>0</v>
      </c>
      <c r="AJ27" s="118"/>
      <c r="AK27" s="120">
        <f t="shared" si="39"/>
        <v>0</v>
      </c>
      <c r="AL27" s="121">
        <f t="shared" si="40"/>
        <v>0</v>
      </c>
      <c r="AM27" s="122"/>
      <c r="AN27" s="123">
        <f t="shared" si="41"/>
        <v>0</v>
      </c>
      <c r="AO27" s="124">
        <f t="shared" si="42"/>
        <v>0</v>
      </c>
      <c r="AP27" s="124">
        <f t="shared" si="43"/>
        <v>0</v>
      </c>
      <c r="AQ27" s="124">
        <f t="shared" si="44"/>
        <v>0</v>
      </c>
      <c r="AR27" s="124">
        <f t="shared" si="45"/>
        <v>0</v>
      </c>
      <c r="AS27" s="124">
        <f t="array" ref="AS27">_xlfn.IFS(S27=0,AL27,S27&lt;0,AL27/-S27,S27&gt;0,AL27/S27)</f>
        <v>0</v>
      </c>
      <c r="AT27" s="119">
        <f t="shared" si="46"/>
        <v>0</v>
      </c>
      <c r="AU27" s="119">
        <f t="shared" si="47"/>
        <v>0</v>
      </c>
      <c r="AV27" s="125"/>
      <c r="AW27" s="120">
        <f t="shared" si="48"/>
        <v>0</v>
      </c>
    </row>
    <row r="28" spans="1:49" hidden="1" outlineLevel="1">
      <c r="A28" s="114"/>
      <c r="B28" s="115"/>
      <c r="C28" s="115"/>
      <c r="D28" s="116"/>
      <c r="E28" s="117">
        <f t="shared" si="28"/>
        <v>0</v>
      </c>
      <c r="F28" s="117"/>
      <c r="G28" s="117"/>
      <c r="H28" s="117"/>
      <c r="I28" s="117"/>
      <c r="J28" s="117">
        <f t="shared" si="29"/>
        <v>0</v>
      </c>
      <c r="K28" s="114"/>
      <c r="L28" s="114"/>
      <c r="M28" s="114"/>
      <c r="N28" s="114"/>
      <c r="O28" s="117">
        <f t="shared" si="30"/>
        <v>0</v>
      </c>
      <c r="P28" s="117">
        <f t="shared" si="31"/>
        <v>0</v>
      </c>
      <c r="Q28" s="118"/>
      <c r="R28" s="118"/>
      <c r="S28" s="117">
        <f t="shared" si="32"/>
        <v>0</v>
      </c>
      <c r="T28" s="117"/>
      <c r="U28" s="117"/>
      <c r="V28" s="117">
        <f t="shared" si="33"/>
        <v>0</v>
      </c>
      <c r="W28" s="118"/>
      <c r="X28" s="118"/>
      <c r="Y28" s="117">
        <f t="shared" si="34"/>
        <v>0</v>
      </c>
      <c r="Z28" s="117">
        <f t="shared" si="35"/>
        <v>0</v>
      </c>
      <c r="AA28" s="119">
        <f t="shared" si="49"/>
        <v>0</v>
      </c>
      <c r="AB28" s="117">
        <f t="shared" si="36"/>
        <v>0</v>
      </c>
      <c r="AC28" s="118"/>
      <c r="AD28" s="119">
        <f t="shared" si="37"/>
        <v>0</v>
      </c>
      <c r="AE28" s="118"/>
      <c r="AF28" s="118"/>
      <c r="AG28" s="118"/>
      <c r="AH28" s="118"/>
      <c r="AI28" s="152">
        <f t="shared" si="38"/>
        <v>0</v>
      </c>
      <c r="AJ28" s="118"/>
      <c r="AK28" s="120">
        <f t="shared" si="39"/>
        <v>0</v>
      </c>
      <c r="AL28" s="121">
        <f t="shared" si="40"/>
        <v>0</v>
      </c>
      <c r="AM28" s="122"/>
      <c r="AN28" s="123">
        <f t="shared" si="41"/>
        <v>0</v>
      </c>
      <c r="AO28" s="124">
        <f t="shared" si="42"/>
        <v>0</v>
      </c>
      <c r="AP28" s="124">
        <f t="shared" si="43"/>
        <v>0</v>
      </c>
      <c r="AQ28" s="124">
        <f t="shared" si="44"/>
        <v>0</v>
      </c>
      <c r="AR28" s="124">
        <f t="shared" si="45"/>
        <v>0</v>
      </c>
      <c r="AS28" s="124">
        <f t="array" ref="AS28">_xlfn.IFS(S28=0,AL28,S28&lt;0,AL28/-S28,S28&gt;0,AL28/S28)</f>
        <v>0</v>
      </c>
      <c r="AT28" s="119">
        <f t="shared" si="46"/>
        <v>0</v>
      </c>
      <c r="AU28" s="119">
        <f t="shared" si="47"/>
        <v>0</v>
      </c>
      <c r="AV28" s="125"/>
      <c r="AW28" s="120">
        <f t="shared" si="48"/>
        <v>0</v>
      </c>
    </row>
    <row r="29" spans="1:49" hidden="1" outlineLevel="1">
      <c r="A29" s="114"/>
      <c r="B29" s="115"/>
      <c r="C29" s="115"/>
      <c r="D29" s="116"/>
      <c r="E29" s="117">
        <f t="shared" si="28"/>
        <v>0</v>
      </c>
      <c r="F29" s="117"/>
      <c r="G29" s="117"/>
      <c r="H29" s="117"/>
      <c r="I29" s="117"/>
      <c r="J29" s="117">
        <f t="shared" si="29"/>
        <v>0</v>
      </c>
      <c r="K29" s="114"/>
      <c r="L29" s="114"/>
      <c r="M29" s="114"/>
      <c r="N29" s="114"/>
      <c r="O29" s="117">
        <f t="shared" si="30"/>
        <v>0</v>
      </c>
      <c r="P29" s="117">
        <f t="shared" si="31"/>
        <v>0</v>
      </c>
      <c r="Q29" s="118"/>
      <c r="R29" s="118"/>
      <c r="S29" s="117">
        <f t="shared" si="32"/>
        <v>0</v>
      </c>
      <c r="T29" s="117"/>
      <c r="U29" s="117"/>
      <c r="V29" s="117">
        <f t="shared" si="33"/>
        <v>0</v>
      </c>
      <c r="W29" s="118"/>
      <c r="X29" s="118"/>
      <c r="Y29" s="117">
        <f t="shared" si="34"/>
        <v>0</v>
      </c>
      <c r="Z29" s="117">
        <f t="shared" si="35"/>
        <v>0</v>
      </c>
      <c r="AA29" s="119">
        <f t="shared" si="49"/>
        <v>0</v>
      </c>
      <c r="AB29" s="117">
        <f t="shared" si="36"/>
        <v>0</v>
      </c>
      <c r="AC29" s="118"/>
      <c r="AD29" s="119">
        <f t="shared" si="37"/>
        <v>0</v>
      </c>
      <c r="AE29" s="118"/>
      <c r="AF29" s="118"/>
      <c r="AG29" s="118"/>
      <c r="AH29" s="118"/>
      <c r="AI29" s="152">
        <f t="shared" si="38"/>
        <v>0</v>
      </c>
      <c r="AJ29" s="118"/>
      <c r="AK29" s="120">
        <f t="shared" si="39"/>
        <v>0</v>
      </c>
      <c r="AL29" s="121">
        <f t="shared" si="40"/>
        <v>0</v>
      </c>
      <c r="AM29" s="122"/>
      <c r="AN29" s="123">
        <f t="shared" si="41"/>
        <v>0</v>
      </c>
      <c r="AO29" s="124">
        <f t="shared" si="42"/>
        <v>0</v>
      </c>
      <c r="AP29" s="124">
        <f t="shared" si="43"/>
        <v>0</v>
      </c>
      <c r="AQ29" s="124">
        <f t="shared" si="44"/>
        <v>0</v>
      </c>
      <c r="AR29" s="124">
        <f t="shared" si="45"/>
        <v>0</v>
      </c>
      <c r="AS29" s="124">
        <f t="array" ref="AS29">_xlfn.IFS(S29=0,AL29,S29&lt;0,AL29/-S29,S29&gt;0,AL29/S29)</f>
        <v>0</v>
      </c>
      <c r="AT29" s="119">
        <f t="shared" si="46"/>
        <v>0</v>
      </c>
      <c r="AU29" s="119">
        <f t="shared" si="47"/>
        <v>0</v>
      </c>
      <c r="AV29" s="125"/>
      <c r="AW29" s="120">
        <f t="shared" si="48"/>
        <v>0</v>
      </c>
    </row>
    <row r="30" spans="1:49" hidden="1" outlineLevel="1">
      <c r="A30" s="114"/>
      <c r="B30" s="115"/>
      <c r="C30" s="115"/>
      <c r="D30" s="116"/>
      <c r="E30" s="117">
        <f t="shared" si="28"/>
        <v>0</v>
      </c>
      <c r="F30" s="117"/>
      <c r="G30" s="117"/>
      <c r="H30" s="117"/>
      <c r="I30" s="117"/>
      <c r="J30" s="117">
        <f t="shared" si="29"/>
        <v>0</v>
      </c>
      <c r="K30" s="114"/>
      <c r="L30" s="114"/>
      <c r="M30" s="114"/>
      <c r="N30" s="114"/>
      <c r="O30" s="117">
        <f t="shared" si="30"/>
        <v>0</v>
      </c>
      <c r="P30" s="117">
        <f t="shared" si="31"/>
        <v>0</v>
      </c>
      <c r="Q30" s="118"/>
      <c r="R30" s="118"/>
      <c r="S30" s="117">
        <f t="shared" si="32"/>
        <v>0</v>
      </c>
      <c r="T30" s="117"/>
      <c r="U30" s="117"/>
      <c r="V30" s="117">
        <f t="shared" si="33"/>
        <v>0</v>
      </c>
      <c r="W30" s="118"/>
      <c r="X30" s="118"/>
      <c r="Y30" s="117">
        <f t="shared" si="34"/>
        <v>0</v>
      </c>
      <c r="Z30" s="117">
        <f t="shared" si="35"/>
        <v>0</v>
      </c>
      <c r="AA30" s="119">
        <f t="shared" si="49"/>
        <v>0</v>
      </c>
      <c r="AB30" s="117">
        <f t="shared" si="36"/>
        <v>0</v>
      </c>
      <c r="AC30" s="118"/>
      <c r="AD30" s="119">
        <f t="shared" si="37"/>
        <v>0</v>
      </c>
      <c r="AE30" s="118"/>
      <c r="AF30" s="118"/>
      <c r="AG30" s="118"/>
      <c r="AH30" s="118"/>
      <c r="AI30" s="152">
        <f t="shared" si="38"/>
        <v>0</v>
      </c>
      <c r="AJ30" s="118"/>
      <c r="AK30" s="120">
        <f t="shared" si="39"/>
        <v>0</v>
      </c>
      <c r="AL30" s="121">
        <f t="shared" si="40"/>
        <v>0</v>
      </c>
      <c r="AM30" s="122"/>
      <c r="AN30" s="123">
        <f t="shared" si="41"/>
        <v>0</v>
      </c>
      <c r="AO30" s="124">
        <f t="shared" si="42"/>
        <v>0</v>
      </c>
      <c r="AP30" s="124">
        <f t="shared" si="43"/>
        <v>0</v>
      </c>
      <c r="AQ30" s="124">
        <f t="shared" si="44"/>
        <v>0</v>
      </c>
      <c r="AR30" s="124">
        <f t="shared" si="45"/>
        <v>0</v>
      </c>
      <c r="AS30" s="124">
        <f t="array" ref="AS30">_xlfn.IFS(S30=0,AL30,S30&lt;0,AL30/-S30,S30&gt;0,AL30/S30)</f>
        <v>0</v>
      </c>
      <c r="AT30" s="119">
        <f t="shared" si="46"/>
        <v>0</v>
      </c>
      <c r="AU30" s="119">
        <f t="shared" si="47"/>
        <v>0</v>
      </c>
      <c r="AV30" s="125"/>
      <c r="AW30" s="120">
        <f t="shared" si="48"/>
        <v>0</v>
      </c>
    </row>
    <row r="31" spans="1:49" hidden="1" outlineLevel="1">
      <c r="A31" s="114"/>
      <c r="B31" s="115"/>
      <c r="C31" s="115"/>
      <c r="D31" s="116"/>
      <c r="E31" s="117">
        <f t="shared" si="28"/>
        <v>0</v>
      </c>
      <c r="F31" s="117"/>
      <c r="G31" s="117"/>
      <c r="H31" s="117"/>
      <c r="I31" s="117"/>
      <c r="J31" s="117">
        <f t="shared" si="29"/>
        <v>0</v>
      </c>
      <c r="K31" s="114"/>
      <c r="L31" s="114"/>
      <c r="M31" s="114"/>
      <c r="N31" s="114"/>
      <c r="O31" s="117">
        <f t="shared" si="30"/>
        <v>0</v>
      </c>
      <c r="P31" s="117">
        <f t="shared" si="31"/>
        <v>0</v>
      </c>
      <c r="Q31" s="118"/>
      <c r="R31" s="118"/>
      <c r="S31" s="117">
        <f t="shared" si="32"/>
        <v>0</v>
      </c>
      <c r="T31" s="117"/>
      <c r="U31" s="117"/>
      <c r="V31" s="117">
        <f t="shared" si="33"/>
        <v>0</v>
      </c>
      <c r="W31" s="118"/>
      <c r="X31" s="118"/>
      <c r="Y31" s="117">
        <f t="shared" si="34"/>
        <v>0</v>
      </c>
      <c r="Z31" s="117">
        <f t="shared" si="35"/>
        <v>0</v>
      </c>
      <c r="AA31" s="119">
        <f t="shared" si="49"/>
        <v>0</v>
      </c>
      <c r="AB31" s="117">
        <f t="shared" si="36"/>
        <v>0</v>
      </c>
      <c r="AC31" s="118"/>
      <c r="AD31" s="119">
        <f t="shared" si="37"/>
        <v>0</v>
      </c>
      <c r="AE31" s="118"/>
      <c r="AF31" s="118"/>
      <c r="AG31" s="118"/>
      <c r="AH31" s="118"/>
      <c r="AI31" s="152">
        <f t="shared" si="38"/>
        <v>0</v>
      </c>
      <c r="AJ31" s="118"/>
      <c r="AK31" s="120">
        <f t="shared" si="39"/>
        <v>0</v>
      </c>
      <c r="AL31" s="121">
        <f t="shared" si="40"/>
        <v>0</v>
      </c>
      <c r="AM31" s="122"/>
      <c r="AN31" s="123">
        <f t="shared" si="41"/>
        <v>0</v>
      </c>
      <c r="AO31" s="124">
        <f t="shared" si="42"/>
        <v>0</v>
      </c>
      <c r="AP31" s="124">
        <f t="shared" si="43"/>
        <v>0</v>
      </c>
      <c r="AQ31" s="124">
        <f t="shared" si="44"/>
        <v>0</v>
      </c>
      <c r="AR31" s="124">
        <f t="shared" si="45"/>
        <v>0</v>
      </c>
      <c r="AS31" s="124">
        <f t="array" ref="AS31">_xlfn.IFS(S31=0,AL31,S31&lt;0,AL31/-S31,S31&gt;0,AL31/S31)</f>
        <v>0</v>
      </c>
      <c r="AT31" s="119">
        <f t="shared" si="46"/>
        <v>0</v>
      </c>
      <c r="AU31" s="119">
        <f t="shared" si="47"/>
        <v>0</v>
      </c>
      <c r="AV31" s="125"/>
      <c r="AW31" s="120">
        <f t="shared" si="48"/>
        <v>0</v>
      </c>
    </row>
    <row r="32" spans="1:49" hidden="1" outlineLevel="1">
      <c r="A32" s="114"/>
      <c r="B32" s="115"/>
      <c r="C32" s="115"/>
      <c r="D32" s="116"/>
      <c r="E32" s="117">
        <f t="shared" si="28"/>
        <v>0</v>
      </c>
      <c r="F32" s="117"/>
      <c r="G32" s="117"/>
      <c r="H32" s="117"/>
      <c r="I32" s="117"/>
      <c r="J32" s="117">
        <f t="shared" si="29"/>
        <v>0</v>
      </c>
      <c r="K32" s="114"/>
      <c r="L32" s="114"/>
      <c r="M32" s="114"/>
      <c r="N32" s="114"/>
      <c r="O32" s="117">
        <f t="shared" si="30"/>
        <v>0</v>
      </c>
      <c r="P32" s="117">
        <f t="shared" si="31"/>
        <v>0</v>
      </c>
      <c r="Q32" s="118"/>
      <c r="R32" s="118"/>
      <c r="S32" s="117">
        <f t="shared" si="32"/>
        <v>0</v>
      </c>
      <c r="T32" s="117"/>
      <c r="U32" s="117"/>
      <c r="V32" s="117">
        <f t="shared" si="33"/>
        <v>0</v>
      </c>
      <c r="W32" s="118"/>
      <c r="X32" s="118"/>
      <c r="Y32" s="117">
        <f t="shared" si="34"/>
        <v>0</v>
      </c>
      <c r="Z32" s="117">
        <f t="shared" si="35"/>
        <v>0</v>
      </c>
      <c r="AA32" s="119">
        <f t="shared" si="49"/>
        <v>0</v>
      </c>
      <c r="AB32" s="117">
        <f t="shared" si="36"/>
        <v>0</v>
      </c>
      <c r="AC32" s="118"/>
      <c r="AD32" s="119">
        <f t="shared" si="37"/>
        <v>0</v>
      </c>
      <c r="AE32" s="118"/>
      <c r="AF32" s="118"/>
      <c r="AG32" s="118"/>
      <c r="AH32" s="118"/>
      <c r="AI32" s="152">
        <f t="shared" si="38"/>
        <v>0</v>
      </c>
      <c r="AJ32" s="118"/>
      <c r="AK32" s="120">
        <f t="shared" si="39"/>
        <v>0</v>
      </c>
      <c r="AL32" s="121">
        <f t="shared" si="40"/>
        <v>0</v>
      </c>
      <c r="AM32" s="122"/>
      <c r="AN32" s="123">
        <f t="shared" si="41"/>
        <v>0</v>
      </c>
      <c r="AO32" s="124">
        <f t="shared" si="42"/>
        <v>0</v>
      </c>
      <c r="AP32" s="124">
        <f t="shared" si="43"/>
        <v>0</v>
      </c>
      <c r="AQ32" s="124">
        <f t="shared" si="44"/>
        <v>0</v>
      </c>
      <c r="AR32" s="124">
        <f t="shared" si="45"/>
        <v>0</v>
      </c>
      <c r="AS32" s="124">
        <f t="array" ref="AS32">_xlfn.IFS(S32=0,AL32,S32&lt;0,AL32/-S32,S32&gt;0,AL32/S32)</f>
        <v>0</v>
      </c>
      <c r="AT32" s="119">
        <f t="shared" si="46"/>
        <v>0</v>
      </c>
      <c r="AU32" s="119">
        <f t="shared" si="47"/>
        <v>0</v>
      </c>
      <c r="AV32" s="125"/>
      <c r="AW32" s="120">
        <f t="shared" si="48"/>
        <v>0</v>
      </c>
    </row>
    <row r="33" spans="1:49" hidden="1" outlineLevel="1">
      <c r="A33" s="114"/>
      <c r="B33" s="115"/>
      <c r="C33" s="115"/>
      <c r="D33" s="116"/>
      <c r="E33" s="117">
        <f t="shared" si="28"/>
        <v>0</v>
      </c>
      <c r="F33" s="117"/>
      <c r="G33" s="117"/>
      <c r="H33" s="117"/>
      <c r="I33" s="117"/>
      <c r="J33" s="117">
        <f t="shared" si="29"/>
        <v>0</v>
      </c>
      <c r="K33" s="114"/>
      <c r="L33" s="114"/>
      <c r="M33" s="114"/>
      <c r="N33" s="114"/>
      <c r="O33" s="117">
        <f t="shared" si="30"/>
        <v>0</v>
      </c>
      <c r="P33" s="117">
        <f t="shared" si="31"/>
        <v>0</v>
      </c>
      <c r="Q33" s="118"/>
      <c r="R33" s="118"/>
      <c r="S33" s="117">
        <f t="shared" si="32"/>
        <v>0</v>
      </c>
      <c r="T33" s="117"/>
      <c r="U33" s="117"/>
      <c r="V33" s="117">
        <f t="shared" si="33"/>
        <v>0</v>
      </c>
      <c r="W33" s="118"/>
      <c r="X33" s="118"/>
      <c r="Y33" s="117">
        <f t="shared" si="34"/>
        <v>0</v>
      </c>
      <c r="Z33" s="117">
        <f t="shared" si="35"/>
        <v>0</v>
      </c>
      <c r="AA33" s="119">
        <f t="shared" si="49"/>
        <v>0</v>
      </c>
      <c r="AB33" s="117">
        <f t="shared" si="36"/>
        <v>0</v>
      </c>
      <c r="AC33" s="118"/>
      <c r="AD33" s="119">
        <f t="shared" si="37"/>
        <v>0</v>
      </c>
      <c r="AE33" s="118"/>
      <c r="AF33" s="118"/>
      <c r="AG33" s="118"/>
      <c r="AH33" s="118"/>
      <c r="AI33" s="152">
        <f t="shared" si="38"/>
        <v>0</v>
      </c>
      <c r="AJ33" s="118"/>
      <c r="AK33" s="120">
        <f t="shared" si="39"/>
        <v>0</v>
      </c>
      <c r="AL33" s="121">
        <f t="shared" si="40"/>
        <v>0</v>
      </c>
      <c r="AM33" s="122"/>
      <c r="AN33" s="123">
        <f t="shared" si="41"/>
        <v>0</v>
      </c>
      <c r="AO33" s="124">
        <f t="shared" si="42"/>
        <v>0</v>
      </c>
      <c r="AP33" s="124">
        <f t="shared" si="43"/>
        <v>0</v>
      </c>
      <c r="AQ33" s="124">
        <f t="shared" si="44"/>
        <v>0</v>
      </c>
      <c r="AR33" s="124">
        <f t="shared" si="45"/>
        <v>0</v>
      </c>
      <c r="AS33" s="124">
        <f t="array" ref="AS33">_xlfn.IFS(S33=0,AL33,S33&lt;0,AL33/-S33,S33&gt;0,AL33/S33)</f>
        <v>0</v>
      </c>
      <c r="AT33" s="119">
        <f t="shared" si="46"/>
        <v>0</v>
      </c>
      <c r="AU33" s="119">
        <f t="shared" si="47"/>
        <v>0</v>
      </c>
      <c r="AV33" s="125"/>
      <c r="AW33" s="120">
        <f t="shared" si="48"/>
        <v>0</v>
      </c>
    </row>
    <row r="34" spans="1:49" hidden="1" outlineLevel="1">
      <c r="A34" s="114"/>
      <c r="B34" s="115"/>
      <c r="C34" s="115"/>
      <c r="D34" s="116"/>
      <c r="E34" s="117">
        <f t="shared" si="28"/>
        <v>0</v>
      </c>
      <c r="F34" s="117"/>
      <c r="G34" s="117"/>
      <c r="H34" s="117"/>
      <c r="I34" s="117"/>
      <c r="J34" s="117">
        <f t="shared" si="29"/>
        <v>0</v>
      </c>
      <c r="K34" s="114"/>
      <c r="L34" s="114"/>
      <c r="M34" s="114"/>
      <c r="N34" s="114"/>
      <c r="O34" s="117">
        <f t="shared" si="30"/>
        <v>0</v>
      </c>
      <c r="P34" s="117">
        <f t="shared" si="31"/>
        <v>0</v>
      </c>
      <c r="Q34" s="118"/>
      <c r="R34" s="118"/>
      <c r="S34" s="117">
        <f t="shared" si="32"/>
        <v>0</v>
      </c>
      <c r="T34" s="117"/>
      <c r="U34" s="117"/>
      <c r="V34" s="117">
        <f t="shared" si="33"/>
        <v>0</v>
      </c>
      <c r="W34" s="118"/>
      <c r="X34" s="118"/>
      <c r="Y34" s="117">
        <f t="shared" si="34"/>
        <v>0</v>
      </c>
      <c r="Z34" s="117">
        <f t="shared" si="35"/>
        <v>0</v>
      </c>
      <c r="AA34" s="119">
        <f t="shared" si="49"/>
        <v>0</v>
      </c>
      <c r="AB34" s="117">
        <f t="shared" si="36"/>
        <v>0</v>
      </c>
      <c r="AC34" s="118"/>
      <c r="AD34" s="119">
        <f t="shared" si="37"/>
        <v>0</v>
      </c>
      <c r="AE34" s="118"/>
      <c r="AF34" s="118"/>
      <c r="AG34" s="118"/>
      <c r="AH34" s="118"/>
      <c r="AI34" s="152">
        <f t="shared" si="38"/>
        <v>0</v>
      </c>
      <c r="AJ34" s="118"/>
      <c r="AK34" s="120">
        <f t="shared" si="39"/>
        <v>0</v>
      </c>
      <c r="AL34" s="121">
        <f t="shared" si="40"/>
        <v>0</v>
      </c>
      <c r="AM34" s="122"/>
      <c r="AN34" s="123">
        <f t="shared" si="41"/>
        <v>0</v>
      </c>
      <c r="AO34" s="124">
        <f t="shared" si="42"/>
        <v>0</v>
      </c>
      <c r="AP34" s="124">
        <f t="shared" si="43"/>
        <v>0</v>
      </c>
      <c r="AQ34" s="124">
        <f t="shared" si="44"/>
        <v>0</v>
      </c>
      <c r="AR34" s="124">
        <f t="shared" si="45"/>
        <v>0</v>
      </c>
      <c r="AS34" s="124">
        <f t="array" ref="AS34">_xlfn.IFS(S34=0,AL34,S34&lt;0,AL34/-S34,S34&gt;0,AL34/S34)</f>
        <v>0</v>
      </c>
      <c r="AT34" s="119">
        <f t="shared" si="46"/>
        <v>0</v>
      </c>
      <c r="AU34" s="119">
        <f t="shared" si="47"/>
        <v>0</v>
      </c>
      <c r="AV34" s="125"/>
      <c r="AW34" s="120">
        <f t="shared" si="48"/>
        <v>0</v>
      </c>
    </row>
    <row r="35" spans="1:49" hidden="1" outlineLevel="1">
      <c r="A35" s="114"/>
      <c r="B35" s="115"/>
      <c r="C35" s="115"/>
      <c r="D35" s="116"/>
      <c r="E35" s="117">
        <f t="shared" si="28"/>
        <v>0</v>
      </c>
      <c r="F35" s="117"/>
      <c r="G35" s="117"/>
      <c r="H35" s="117"/>
      <c r="I35" s="117"/>
      <c r="J35" s="117">
        <f t="shared" si="29"/>
        <v>0</v>
      </c>
      <c r="K35" s="114"/>
      <c r="L35" s="114"/>
      <c r="M35" s="114"/>
      <c r="N35" s="114"/>
      <c r="O35" s="117">
        <f t="shared" si="30"/>
        <v>0</v>
      </c>
      <c r="P35" s="117">
        <f t="shared" si="31"/>
        <v>0</v>
      </c>
      <c r="Q35" s="118"/>
      <c r="R35" s="118"/>
      <c r="S35" s="117">
        <f t="shared" si="32"/>
        <v>0</v>
      </c>
      <c r="T35" s="117"/>
      <c r="U35" s="117"/>
      <c r="V35" s="117">
        <f t="shared" si="33"/>
        <v>0</v>
      </c>
      <c r="W35" s="118"/>
      <c r="X35" s="118"/>
      <c r="Y35" s="117">
        <f t="shared" si="34"/>
        <v>0</v>
      </c>
      <c r="Z35" s="117">
        <f t="shared" si="35"/>
        <v>0</v>
      </c>
      <c r="AA35" s="119">
        <f t="shared" si="49"/>
        <v>0</v>
      </c>
      <c r="AB35" s="117">
        <f t="shared" si="36"/>
        <v>0</v>
      </c>
      <c r="AC35" s="118"/>
      <c r="AD35" s="119">
        <f t="shared" si="37"/>
        <v>0</v>
      </c>
      <c r="AE35" s="118"/>
      <c r="AF35" s="118"/>
      <c r="AG35" s="118"/>
      <c r="AH35" s="118"/>
      <c r="AI35" s="152">
        <f t="shared" si="38"/>
        <v>0</v>
      </c>
      <c r="AJ35" s="118"/>
      <c r="AK35" s="120">
        <f t="shared" si="39"/>
        <v>0</v>
      </c>
      <c r="AL35" s="121">
        <f t="shared" si="40"/>
        <v>0</v>
      </c>
      <c r="AM35" s="122"/>
      <c r="AN35" s="123">
        <f t="shared" si="41"/>
        <v>0</v>
      </c>
      <c r="AO35" s="124">
        <f t="shared" si="42"/>
        <v>0</v>
      </c>
      <c r="AP35" s="124">
        <f t="shared" si="43"/>
        <v>0</v>
      </c>
      <c r="AQ35" s="124">
        <f t="shared" si="44"/>
        <v>0</v>
      </c>
      <c r="AR35" s="124">
        <f t="shared" si="45"/>
        <v>0</v>
      </c>
      <c r="AS35" s="124">
        <f t="array" ref="AS35">_xlfn.IFS(S35=0,AL35,S35&lt;0,AL35/-S35,S35&gt;0,AL35/S35)</f>
        <v>0</v>
      </c>
      <c r="AT35" s="119">
        <f t="shared" si="46"/>
        <v>0</v>
      </c>
      <c r="AU35" s="119">
        <f t="shared" si="47"/>
        <v>0</v>
      </c>
      <c r="AV35" s="125"/>
      <c r="AW35" s="120">
        <f t="shared" si="48"/>
        <v>0</v>
      </c>
    </row>
    <row r="36" spans="1:49" hidden="1" outlineLevel="1">
      <c r="A36" s="114"/>
      <c r="B36" s="115"/>
      <c r="C36" s="115"/>
      <c r="D36" s="116"/>
      <c r="E36" s="117">
        <f t="shared" si="28"/>
        <v>0</v>
      </c>
      <c r="F36" s="117"/>
      <c r="G36" s="117"/>
      <c r="H36" s="117"/>
      <c r="I36" s="117"/>
      <c r="J36" s="117">
        <f t="shared" si="29"/>
        <v>0</v>
      </c>
      <c r="K36" s="114"/>
      <c r="L36" s="114"/>
      <c r="M36" s="114"/>
      <c r="N36" s="114"/>
      <c r="O36" s="117">
        <f t="shared" si="30"/>
        <v>0</v>
      </c>
      <c r="P36" s="117">
        <f t="shared" si="31"/>
        <v>0</v>
      </c>
      <c r="Q36" s="118"/>
      <c r="R36" s="118"/>
      <c r="S36" s="117">
        <f t="shared" si="32"/>
        <v>0</v>
      </c>
      <c r="T36" s="117"/>
      <c r="U36" s="117"/>
      <c r="V36" s="117">
        <f t="shared" si="33"/>
        <v>0</v>
      </c>
      <c r="W36" s="118"/>
      <c r="X36" s="118"/>
      <c r="Y36" s="117">
        <f t="shared" si="34"/>
        <v>0</v>
      </c>
      <c r="Z36" s="117">
        <f t="shared" si="35"/>
        <v>0</v>
      </c>
      <c r="AA36" s="119">
        <f t="shared" si="49"/>
        <v>0</v>
      </c>
      <c r="AB36" s="117">
        <f t="shared" si="36"/>
        <v>0</v>
      </c>
      <c r="AC36" s="118"/>
      <c r="AD36" s="119">
        <f t="shared" si="37"/>
        <v>0</v>
      </c>
      <c r="AE36" s="118"/>
      <c r="AF36" s="118"/>
      <c r="AG36" s="118"/>
      <c r="AH36" s="118"/>
      <c r="AI36" s="152">
        <f t="shared" si="38"/>
        <v>0</v>
      </c>
      <c r="AJ36" s="118"/>
      <c r="AK36" s="120">
        <f t="shared" si="39"/>
        <v>0</v>
      </c>
      <c r="AL36" s="121">
        <f t="shared" si="40"/>
        <v>0</v>
      </c>
      <c r="AM36" s="122"/>
      <c r="AN36" s="123">
        <f t="shared" si="41"/>
        <v>0</v>
      </c>
      <c r="AO36" s="124">
        <f t="shared" si="42"/>
        <v>0</v>
      </c>
      <c r="AP36" s="124">
        <f t="shared" si="43"/>
        <v>0</v>
      </c>
      <c r="AQ36" s="124">
        <f t="shared" si="44"/>
        <v>0</v>
      </c>
      <c r="AR36" s="124">
        <f t="shared" si="45"/>
        <v>0</v>
      </c>
      <c r="AS36" s="124">
        <f t="array" ref="AS36">_xlfn.IFS(S36=0,AL36,S36&lt;0,AL36/-S36,S36&gt;0,AL36/S36)</f>
        <v>0</v>
      </c>
      <c r="AT36" s="119">
        <f t="shared" si="46"/>
        <v>0</v>
      </c>
      <c r="AU36" s="119">
        <f t="shared" si="47"/>
        <v>0</v>
      </c>
      <c r="AV36" s="125"/>
      <c r="AW36" s="120">
        <f t="shared" si="48"/>
        <v>0</v>
      </c>
    </row>
    <row r="37" spans="1:49" hidden="1" outlineLevel="1">
      <c r="A37" s="114"/>
      <c r="B37" s="115"/>
      <c r="C37" s="115"/>
      <c r="D37" s="116"/>
      <c r="E37" s="117">
        <f t="shared" si="28"/>
        <v>0</v>
      </c>
      <c r="F37" s="117"/>
      <c r="G37" s="117"/>
      <c r="H37" s="117"/>
      <c r="I37" s="117"/>
      <c r="J37" s="117">
        <f t="shared" si="29"/>
        <v>0</v>
      </c>
      <c r="K37" s="114"/>
      <c r="L37" s="114"/>
      <c r="M37" s="114"/>
      <c r="N37" s="114"/>
      <c r="O37" s="117">
        <f t="shared" si="30"/>
        <v>0</v>
      </c>
      <c r="P37" s="117">
        <f t="shared" si="31"/>
        <v>0</v>
      </c>
      <c r="Q37" s="118"/>
      <c r="R37" s="118"/>
      <c r="S37" s="117">
        <f t="shared" si="32"/>
        <v>0</v>
      </c>
      <c r="T37" s="117"/>
      <c r="U37" s="117"/>
      <c r="V37" s="117">
        <f t="shared" si="33"/>
        <v>0</v>
      </c>
      <c r="W37" s="118"/>
      <c r="X37" s="118"/>
      <c r="Y37" s="117">
        <f t="shared" si="34"/>
        <v>0</v>
      </c>
      <c r="Z37" s="117">
        <f t="shared" si="35"/>
        <v>0</v>
      </c>
      <c r="AA37" s="119">
        <f t="shared" si="49"/>
        <v>0</v>
      </c>
      <c r="AB37" s="117">
        <f t="shared" si="36"/>
        <v>0</v>
      </c>
      <c r="AC37" s="118"/>
      <c r="AD37" s="119">
        <f t="shared" si="37"/>
        <v>0</v>
      </c>
      <c r="AE37" s="118"/>
      <c r="AF37" s="118"/>
      <c r="AG37" s="118"/>
      <c r="AH37" s="118"/>
      <c r="AI37" s="152">
        <f t="shared" si="38"/>
        <v>0</v>
      </c>
      <c r="AJ37" s="118"/>
      <c r="AK37" s="120">
        <f t="shared" si="39"/>
        <v>0</v>
      </c>
      <c r="AL37" s="121">
        <f t="shared" si="40"/>
        <v>0</v>
      </c>
      <c r="AM37" s="122"/>
      <c r="AN37" s="123">
        <f t="shared" si="41"/>
        <v>0</v>
      </c>
      <c r="AO37" s="124">
        <f t="shared" si="42"/>
        <v>0</v>
      </c>
      <c r="AP37" s="124">
        <f t="shared" si="43"/>
        <v>0</v>
      </c>
      <c r="AQ37" s="124">
        <f t="shared" si="44"/>
        <v>0</v>
      </c>
      <c r="AR37" s="124">
        <f t="shared" si="45"/>
        <v>0</v>
      </c>
      <c r="AS37" s="124">
        <f t="array" ref="AS37">_xlfn.IFS(S37=0,AL37,S37&lt;0,AL37/-S37,S37&gt;0,AL37/S37)</f>
        <v>0</v>
      </c>
      <c r="AT37" s="119">
        <f t="shared" si="46"/>
        <v>0</v>
      </c>
      <c r="AU37" s="119">
        <f t="shared" si="47"/>
        <v>0</v>
      </c>
      <c r="AV37" s="125"/>
      <c r="AW37" s="120">
        <f t="shared" si="48"/>
        <v>0</v>
      </c>
    </row>
    <row r="38" spans="1:49" hidden="1" outlineLevel="1">
      <c r="A38" s="114"/>
      <c r="B38" s="115"/>
      <c r="C38" s="115"/>
      <c r="D38" s="116"/>
      <c r="E38" s="117">
        <f t="shared" si="28"/>
        <v>0</v>
      </c>
      <c r="F38" s="117"/>
      <c r="G38" s="117"/>
      <c r="H38" s="117"/>
      <c r="I38" s="117"/>
      <c r="J38" s="117">
        <f t="shared" si="29"/>
        <v>0</v>
      </c>
      <c r="K38" s="114"/>
      <c r="L38" s="114"/>
      <c r="M38" s="114"/>
      <c r="N38" s="114"/>
      <c r="O38" s="117">
        <f t="shared" si="30"/>
        <v>0</v>
      </c>
      <c r="P38" s="117">
        <f t="shared" si="31"/>
        <v>0</v>
      </c>
      <c r="Q38" s="118"/>
      <c r="R38" s="118"/>
      <c r="S38" s="117">
        <f t="shared" si="32"/>
        <v>0</v>
      </c>
      <c r="T38" s="117"/>
      <c r="U38" s="117"/>
      <c r="V38" s="117">
        <f t="shared" si="33"/>
        <v>0</v>
      </c>
      <c r="W38" s="118"/>
      <c r="X38" s="118"/>
      <c r="Y38" s="117">
        <f t="shared" si="34"/>
        <v>0</v>
      </c>
      <c r="Z38" s="117">
        <f t="shared" si="35"/>
        <v>0</v>
      </c>
      <c r="AA38" s="119">
        <f t="shared" si="49"/>
        <v>0</v>
      </c>
      <c r="AB38" s="117">
        <f t="shared" si="36"/>
        <v>0</v>
      </c>
      <c r="AC38" s="118"/>
      <c r="AD38" s="119">
        <f t="shared" si="37"/>
        <v>0</v>
      </c>
      <c r="AE38" s="118"/>
      <c r="AF38" s="118"/>
      <c r="AG38" s="118"/>
      <c r="AH38" s="118"/>
      <c r="AI38" s="152">
        <f t="shared" si="38"/>
        <v>0</v>
      </c>
      <c r="AJ38" s="118"/>
      <c r="AK38" s="120">
        <f t="shared" si="39"/>
        <v>0</v>
      </c>
      <c r="AL38" s="121">
        <f t="shared" si="40"/>
        <v>0</v>
      </c>
      <c r="AM38" s="122"/>
      <c r="AN38" s="123">
        <f t="shared" si="41"/>
        <v>0</v>
      </c>
      <c r="AO38" s="124">
        <f t="shared" si="42"/>
        <v>0</v>
      </c>
      <c r="AP38" s="124">
        <f t="shared" si="43"/>
        <v>0</v>
      </c>
      <c r="AQ38" s="124">
        <f t="shared" si="44"/>
        <v>0</v>
      </c>
      <c r="AR38" s="124">
        <f t="shared" si="45"/>
        <v>0</v>
      </c>
      <c r="AS38" s="124">
        <f t="array" ref="AS38">_xlfn.IFS(S38=0,AL38,S38&lt;0,AL38/-S38,S38&gt;0,AL38/S38)</f>
        <v>0</v>
      </c>
      <c r="AT38" s="119">
        <f t="shared" si="46"/>
        <v>0</v>
      </c>
      <c r="AU38" s="119">
        <f t="shared" si="47"/>
        <v>0</v>
      </c>
      <c r="AV38" s="125"/>
      <c r="AW38" s="120">
        <f t="shared" si="48"/>
        <v>0</v>
      </c>
    </row>
    <row r="39" spans="1:49" hidden="1" outlineLevel="1">
      <c r="A39" s="114"/>
      <c r="B39" s="115"/>
      <c r="C39" s="115"/>
      <c r="D39" s="116"/>
      <c r="E39" s="117">
        <f t="shared" si="28"/>
        <v>0</v>
      </c>
      <c r="F39" s="117"/>
      <c r="G39" s="117"/>
      <c r="H39" s="117"/>
      <c r="I39" s="117"/>
      <c r="J39" s="117">
        <f t="shared" si="29"/>
        <v>0</v>
      </c>
      <c r="K39" s="114"/>
      <c r="L39" s="114"/>
      <c r="M39" s="114"/>
      <c r="N39" s="114"/>
      <c r="O39" s="117">
        <f t="shared" si="30"/>
        <v>0</v>
      </c>
      <c r="P39" s="117">
        <f t="shared" si="31"/>
        <v>0</v>
      </c>
      <c r="Q39" s="118"/>
      <c r="R39" s="118"/>
      <c r="S39" s="117">
        <f t="shared" si="32"/>
        <v>0</v>
      </c>
      <c r="T39" s="117"/>
      <c r="U39" s="117"/>
      <c r="V39" s="117">
        <f t="shared" si="33"/>
        <v>0</v>
      </c>
      <c r="W39" s="118"/>
      <c r="X39" s="118"/>
      <c r="Y39" s="117">
        <f t="shared" si="34"/>
        <v>0</v>
      </c>
      <c r="Z39" s="117">
        <f t="shared" si="35"/>
        <v>0</v>
      </c>
      <c r="AA39" s="119">
        <f t="shared" si="49"/>
        <v>0</v>
      </c>
      <c r="AB39" s="117">
        <f t="shared" si="36"/>
        <v>0</v>
      </c>
      <c r="AC39" s="118"/>
      <c r="AD39" s="119">
        <f t="shared" si="37"/>
        <v>0</v>
      </c>
      <c r="AE39" s="118"/>
      <c r="AF39" s="118"/>
      <c r="AG39" s="118"/>
      <c r="AH39" s="118"/>
      <c r="AI39" s="152">
        <f t="shared" si="38"/>
        <v>0</v>
      </c>
      <c r="AJ39" s="118"/>
      <c r="AK39" s="120">
        <f t="shared" si="39"/>
        <v>0</v>
      </c>
      <c r="AL39" s="121">
        <f t="shared" si="40"/>
        <v>0</v>
      </c>
      <c r="AM39" s="122"/>
      <c r="AN39" s="123">
        <f t="shared" si="41"/>
        <v>0</v>
      </c>
      <c r="AO39" s="124">
        <f t="shared" si="42"/>
        <v>0</v>
      </c>
      <c r="AP39" s="124">
        <f t="shared" si="43"/>
        <v>0</v>
      </c>
      <c r="AQ39" s="124">
        <f t="shared" si="44"/>
        <v>0</v>
      </c>
      <c r="AR39" s="124">
        <f t="shared" si="45"/>
        <v>0</v>
      </c>
      <c r="AS39" s="124">
        <f t="array" ref="AS39">_xlfn.IFS(S39=0,AL39,S39&lt;0,AL39/-S39,S39&gt;0,AL39/S39)</f>
        <v>0</v>
      </c>
      <c r="AT39" s="119">
        <f t="shared" si="46"/>
        <v>0</v>
      </c>
      <c r="AU39" s="119">
        <f t="shared" si="47"/>
        <v>0</v>
      </c>
      <c r="AV39" s="125"/>
      <c r="AW39" s="120">
        <f t="shared" si="48"/>
        <v>0</v>
      </c>
    </row>
    <row r="40" spans="1:49" hidden="1" outlineLevel="1">
      <c r="A40" s="114"/>
      <c r="B40" s="115"/>
      <c r="C40" s="115"/>
      <c r="D40" s="116"/>
      <c r="E40" s="117">
        <f t="shared" si="28"/>
        <v>0</v>
      </c>
      <c r="F40" s="117"/>
      <c r="G40" s="117"/>
      <c r="H40" s="117"/>
      <c r="I40" s="117"/>
      <c r="J40" s="117">
        <f t="shared" si="29"/>
        <v>0</v>
      </c>
      <c r="K40" s="114"/>
      <c r="L40" s="114"/>
      <c r="M40" s="114"/>
      <c r="N40" s="114"/>
      <c r="O40" s="117">
        <f t="shared" si="30"/>
        <v>0</v>
      </c>
      <c r="P40" s="117">
        <f t="shared" si="31"/>
        <v>0</v>
      </c>
      <c r="Q40" s="118"/>
      <c r="R40" s="118"/>
      <c r="S40" s="117">
        <f t="shared" si="32"/>
        <v>0</v>
      </c>
      <c r="T40" s="117"/>
      <c r="U40" s="117"/>
      <c r="V40" s="117">
        <f t="shared" si="33"/>
        <v>0</v>
      </c>
      <c r="W40" s="118"/>
      <c r="X40" s="118"/>
      <c r="Y40" s="117">
        <f t="shared" si="34"/>
        <v>0</v>
      </c>
      <c r="Z40" s="117">
        <f t="shared" si="35"/>
        <v>0</v>
      </c>
      <c r="AA40" s="119">
        <f t="shared" si="49"/>
        <v>0</v>
      </c>
      <c r="AB40" s="117">
        <f t="shared" si="36"/>
        <v>0</v>
      </c>
      <c r="AC40" s="118"/>
      <c r="AD40" s="119">
        <f t="shared" si="37"/>
        <v>0</v>
      </c>
      <c r="AE40" s="118"/>
      <c r="AF40" s="118"/>
      <c r="AG40" s="118"/>
      <c r="AH40" s="118"/>
      <c r="AI40" s="152">
        <f t="shared" si="38"/>
        <v>0</v>
      </c>
      <c r="AJ40" s="118"/>
      <c r="AK40" s="120">
        <f t="shared" si="39"/>
        <v>0</v>
      </c>
      <c r="AL40" s="121">
        <f t="shared" si="40"/>
        <v>0</v>
      </c>
      <c r="AM40" s="122"/>
      <c r="AN40" s="123">
        <f t="shared" si="41"/>
        <v>0</v>
      </c>
      <c r="AO40" s="124">
        <f t="shared" si="42"/>
        <v>0</v>
      </c>
      <c r="AP40" s="124">
        <f t="shared" si="43"/>
        <v>0</v>
      </c>
      <c r="AQ40" s="124">
        <f t="shared" si="44"/>
        <v>0</v>
      </c>
      <c r="AR40" s="124">
        <f t="shared" si="45"/>
        <v>0</v>
      </c>
      <c r="AS40" s="124">
        <f t="array" ref="AS40">_xlfn.IFS(S40=0,AL40,S40&lt;0,AL40/-S40,S40&gt;0,AL40/S40)</f>
        <v>0</v>
      </c>
      <c r="AT40" s="119">
        <f t="shared" si="46"/>
        <v>0</v>
      </c>
      <c r="AU40" s="119">
        <f t="shared" si="47"/>
        <v>0</v>
      </c>
      <c r="AV40" s="125"/>
      <c r="AW40" s="120">
        <f t="shared" si="48"/>
        <v>0</v>
      </c>
    </row>
    <row r="41" spans="1:49" hidden="1" outlineLevel="1">
      <c r="A41" s="114"/>
      <c r="B41" s="115"/>
      <c r="C41" s="115"/>
      <c r="D41" s="116"/>
      <c r="E41" s="117">
        <f t="shared" si="28"/>
        <v>0</v>
      </c>
      <c r="F41" s="117"/>
      <c r="G41" s="117"/>
      <c r="H41" s="117"/>
      <c r="I41" s="117"/>
      <c r="J41" s="117">
        <f t="shared" si="29"/>
        <v>0</v>
      </c>
      <c r="K41" s="114"/>
      <c r="L41" s="114"/>
      <c r="M41" s="114"/>
      <c r="N41" s="114"/>
      <c r="O41" s="117">
        <f t="shared" si="30"/>
        <v>0</v>
      </c>
      <c r="P41" s="117">
        <f t="shared" si="31"/>
        <v>0</v>
      </c>
      <c r="Q41" s="118"/>
      <c r="R41" s="118"/>
      <c r="S41" s="117">
        <f t="shared" si="32"/>
        <v>0</v>
      </c>
      <c r="T41" s="117"/>
      <c r="U41" s="117"/>
      <c r="V41" s="117">
        <f t="shared" si="33"/>
        <v>0</v>
      </c>
      <c r="W41" s="118"/>
      <c r="X41" s="118"/>
      <c r="Y41" s="117">
        <f t="shared" si="34"/>
        <v>0</v>
      </c>
      <c r="Z41" s="117">
        <f t="shared" si="35"/>
        <v>0</v>
      </c>
      <c r="AA41" s="119">
        <f t="shared" si="49"/>
        <v>0</v>
      </c>
      <c r="AB41" s="117">
        <f t="shared" si="36"/>
        <v>0</v>
      </c>
      <c r="AC41" s="118"/>
      <c r="AD41" s="119">
        <f t="shared" si="37"/>
        <v>0</v>
      </c>
      <c r="AE41" s="118"/>
      <c r="AF41" s="118"/>
      <c r="AG41" s="118"/>
      <c r="AH41" s="118"/>
      <c r="AI41" s="152">
        <f t="shared" si="38"/>
        <v>0</v>
      </c>
      <c r="AJ41" s="118"/>
      <c r="AK41" s="120">
        <f t="shared" si="39"/>
        <v>0</v>
      </c>
      <c r="AL41" s="121">
        <f t="shared" si="40"/>
        <v>0</v>
      </c>
      <c r="AM41" s="122"/>
      <c r="AN41" s="123">
        <f t="shared" si="41"/>
        <v>0</v>
      </c>
      <c r="AO41" s="124">
        <f t="shared" si="42"/>
        <v>0</v>
      </c>
      <c r="AP41" s="124">
        <f t="shared" si="43"/>
        <v>0</v>
      </c>
      <c r="AQ41" s="124">
        <f t="shared" si="44"/>
        <v>0</v>
      </c>
      <c r="AR41" s="124">
        <f t="shared" si="45"/>
        <v>0</v>
      </c>
      <c r="AS41" s="124">
        <f t="array" ref="AS41">_xlfn.IFS(S41=0,AL41,S41&lt;0,AL41/-S41,S41&gt;0,AL41/S41)</f>
        <v>0</v>
      </c>
      <c r="AT41" s="119">
        <f t="shared" si="46"/>
        <v>0</v>
      </c>
      <c r="AU41" s="119">
        <f t="shared" si="47"/>
        <v>0</v>
      </c>
      <c r="AV41" s="125"/>
      <c r="AW41" s="120">
        <f t="shared" si="48"/>
        <v>0</v>
      </c>
    </row>
    <row r="42" spans="1:49" hidden="1" outlineLevel="1">
      <c r="A42" s="114"/>
      <c r="B42" s="115"/>
      <c r="C42" s="115"/>
      <c r="D42" s="116"/>
      <c r="E42" s="117">
        <f t="shared" si="28"/>
        <v>0</v>
      </c>
      <c r="F42" s="117"/>
      <c r="G42" s="117"/>
      <c r="H42" s="117"/>
      <c r="I42" s="117"/>
      <c r="J42" s="117">
        <f t="shared" si="29"/>
        <v>0</v>
      </c>
      <c r="K42" s="114"/>
      <c r="L42" s="114"/>
      <c r="M42" s="114"/>
      <c r="N42" s="114"/>
      <c r="O42" s="117">
        <f t="shared" si="30"/>
        <v>0</v>
      </c>
      <c r="P42" s="117">
        <f t="shared" si="31"/>
        <v>0</v>
      </c>
      <c r="Q42" s="118"/>
      <c r="R42" s="118"/>
      <c r="S42" s="117">
        <f t="shared" si="32"/>
        <v>0</v>
      </c>
      <c r="T42" s="117"/>
      <c r="U42" s="117"/>
      <c r="V42" s="117">
        <f t="shared" si="33"/>
        <v>0</v>
      </c>
      <c r="W42" s="118"/>
      <c r="X42" s="118"/>
      <c r="Y42" s="117">
        <f t="shared" si="34"/>
        <v>0</v>
      </c>
      <c r="Z42" s="117">
        <f t="shared" si="35"/>
        <v>0</v>
      </c>
      <c r="AA42" s="119">
        <f t="shared" si="49"/>
        <v>0</v>
      </c>
      <c r="AB42" s="117">
        <f t="shared" si="36"/>
        <v>0</v>
      </c>
      <c r="AC42" s="118"/>
      <c r="AD42" s="119">
        <f t="shared" si="37"/>
        <v>0</v>
      </c>
      <c r="AE42" s="118"/>
      <c r="AF42" s="118"/>
      <c r="AG42" s="118"/>
      <c r="AH42" s="118"/>
      <c r="AI42" s="152">
        <f t="shared" si="38"/>
        <v>0</v>
      </c>
      <c r="AJ42" s="118"/>
      <c r="AK42" s="120">
        <f t="shared" si="39"/>
        <v>0</v>
      </c>
      <c r="AL42" s="121">
        <f t="shared" si="40"/>
        <v>0</v>
      </c>
      <c r="AM42" s="122"/>
      <c r="AN42" s="123">
        <f t="shared" si="41"/>
        <v>0</v>
      </c>
      <c r="AO42" s="124">
        <f t="shared" si="42"/>
        <v>0</v>
      </c>
      <c r="AP42" s="124">
        <f t="shared" si="43"/>
        <v>0</v>
      </c>
      <c r="AQ42" s="124">
        <f t="shared" si="44"/>
        <v>0</v>
      </c>
      <c r="AR42" s="124">
        <f t="shared" si="45"/>
        <v>0</v>
      </c>
      <c r="AS42" s="124">
        <f t="array" ref="AS42">_xlfn.IFS(S42=0,AL42,S42&lt;0,AL42/-S42,S42&gt;0,AL42/S42)</f>
        <v>0</v>
      </c>
      <c r="AT42" s="119">
        <f t="shared" si="46"/>
        <v>0</v>
      </c>
      <c r="AU42" s="119">
        <f t="shared" si="47"/>
        <v>0</v>
      </c>
      <c r="AV42" s="125"/>
      <c r="AW42" s="120">
        <f t="shared" si="48"/>
        <v>0</v>
      </c>
    </row>
    <row r="43" spans="1:49" hidden="1" outlineLevel="1">
      <c r="A43" s="114"/>
      <c r="B43" s="115"/>
      <c r="C43" s="115"/>
      <c r="D43" s="116"/>
      <c r="E43" s="117">
        <f t="shared" si="28"/>
        <v>0</v>
      </c>
      <c r="F43" s="117"/>
      <c r="G43" s="117"/>
      <c r="H43" s="117"/>
      <c r="I43" s="117"/>
      <c r="J43" s="117">
        <f t="shared" si="29"/>
        <v>0</v>
      </c>
      <c r="K43" s="114"/>
      <c r="L43" s="114"/>
      <c r="M43" s="114"/>
      <c r="N43" s="114"/>
      <c r="O43" s="117">
        <f t="shared" si="30"/>
        <v>0</v>
      </c>
      <c r="P43" s="117">
        <f t="shared" si="31"/>
        <v>0</v>
      </c>
      <c r="Q43" s="118"/>
      <c r="R43" s="118"/>
      <c r="S43" s="117">
        <f t="shared" si="32"/>
        <v>0</v>
      </c>
      <c r="T43" s="117"/>
      <c r="U43" s="117"/>
      <c r="V43" s="117">
        <f t="shared" si="33"/>
        <v>0</v>
      </c>
      <c r="W43" s="118"/>
      <c r="X43" s="118"/>
      <c r="Y43" s="117">
        <f t="shared" si="34"/>
        <v>0</v>
      </c>
      <c r="Z43" s="117">
        <f t="shared" si="35"/>
        <v>0</v>
      </c>
      <c r="AA43" s="119">
        <f t="shared" si="49"/>
        <v>0</v>
      </c>
      <c r="AB43" s="117">
        <f t="shared" si="36"/>
        <v>0</v>
      </c>
      <c r="AC43" s="118"/>
      <c r="AD43" s="119">
        <f t="shared" si="37"/>
        <v>0</v>
      </c>
      <c r="AE43" s="118"/>
      <c r="AF43" s="118"/>
      <c r="AG43" s="118"/>
      <c r="AH43" s="118"/>
      <c r="AI43" s="152">
        <f t="shared" si="38"/>
        <v>0</v>
      </c>
      <c r="AJ43" s="118"/>
      <c r="AK43" s="120">
        <f t="shared" si="39"/>
        <v>0</v>
      </c>
      <c r="AL43" s="121">
        <f t="shared" si="40"/>
        <v>0</v>
      </c>
      <c r="AM43" s="122"/>
      <c r="AN43" s="123">
        <f t="shared" si="41"/>
        <v>0</v>
      </c>
      <c r="AO43" s="124">
        <f t="shared" si="42"/>
        <v>0</v>
      </c>
      <c r="AP43" s="124">
        <f t="shared" si="43"/>
        <v>0</v>
      </c>
      <c r="AQ43" s="124">
        <f t="shared" si="44"/>
        <v>0</v>
      </c>
      <c r="AR43" s="124">
        <f t="shared" si="45"/>
        <v>0</v>
      </c>
      <c r="AS43" s="124">
        <f t="array" ref="AS43">_xlfn.IFS(S43=0,AL43,S43&lt;0,AL43/-S43,S43&gt;0,AL43/S43)</f>
        <v>0</v>
      </c>
      <c r="AT43" s="119">
        <f t="shared" si="46"/>
        <v>0</v>
      </c>
      <c r="AU43" s="119">
        <f t="shared" si="47"/>
        <v>0</v>
      </c>
      <c r="AV43" s="125"/>
      <c r="AW43" s="120">
        <f t="shared" si="48"/>
        <v>0</v>
      </c>
    </row>
    <row r="44" spans="1:49" hidden="1" outlineLevel="1">
      <c r="A44" s="114"/>
      <c r="B44" s="115"/>
      <c r="C44" s="115"/>
      <c r="D44" s="149"/>
      <c r="E44" s="118">
        <f t="shared" si="28"/>
        <v>0</v>
      </c>
      <c r="F44" s="117"/>
      <c r="G44" s="117"/>
      <c r="H44" s="117"/>
      <c r="I44" s="117"/>
      <c r="J44" s="117">
        <f t="shared" si="29"/>
        <v>0</v>
      </c>
      <c r="K44" s="114"/>
      <c r="L44" s="114"/>
      <c r="M44" s="114"/>
      <c r="N44" s="114"/>
      <c r="O44" s="117">
        <f t="shared" si="30"/>
        <v>0</v>
      </c>
      <c r="P44" s="117">
        <f t="shared" si="31"/>
        <v>0</v>
      </c>
      <c r="Q44" s="118"/>
      <c r="R44" s="118"/>
      <c r="S44" s="117">
        <f t="shared" si="32"/>
        <v>0</v>
      </c>
      <c r="T44" s="117"/>
      <c r="U44" s="117"/>
      <c r="V44" s="117">
        <f t="shared" si="33"/>
        <v>0</v>
      </c>
      <c r="W44" s="118"/>
      <c r="X44" s="118"/>
      <c r="Y44" s="117">
        <f t="shared" si="34"/>
        <v>0</v>
      </c>
      <c r="Z44" s="117">
        <f t="shared" si="35"/>
        <v>0</v>
      </c>
      <c r="AA44" s="119">
        <f t="shared" si="49"/>
        <v>0</v>
      </c>
      <c r="AB44" s="117">
        <f t="shared" si="36"/>
        <v>0</v>
      </c>
      <c r="AC44" s="118"/>
      <c r="AD44" s="119">
        <f t="shared" si="37"/>
        <v>0</v>
      </c>
      <c r="AE44" s="118"/>
      <c r="AF44" s="118"/>
      <c r="AG44" s="118"/>
      <c r="AH44" s="118"/>
      <c r="AI44" s="152">
        <f t="shared" si="38"/>
        <v>0</v>
      </c>
      <c r="AJ44" s="118"/>
      <c r="AK44" s="120">
        <f t="shared" si="39"/>
        <v>0</v>
      </c>
      <c r="AL44" s="121">
        <f t="shared" si="40"/>
        <v>0</v>
      </c>
      <c r="AM44" s="122"/>
      <c r="AN44" s="123">
        <f t="shared" si="41"/>
        <v>0</v>
      </c>
      <c r="AO44" s="124">
        <f t="shared" si="42"/>
        <v>0</v>
      </c>
      <c r="AP44" s="124">
        <f t="shared" si="43"/>
        <v>0</v>
      </c>
      <c r="AQ44" s="124">
        <f t="shared" si="44"/>
        <v>0</v>
      </c>
      <c r="AR44" s="124">
        <f t="shared" si="45"/>
        <v>0</v>
      </c>
      <c r="AS44" s="124">
        <f t="array" ref="AS44">_xlfn.IFS(S44=0,AL44,S44&lt;0,AL44/-S44,S44&gt;0,AL44/S44)</f>
        <v>0</v>
      </c>
      <c r="AT44" s="119">
        <f t="shared" si="46"/>
        <v>0</v>
      </c>
      <c r="AU44" s="119">
        <f t="shared" si="47"/>
        <v>0</v>
      </c>
      <c r="AV44" s="125"/>
      <c r="AW44" s="120">
        <f t="shared" si="48"/>
        <v>0</v>
      </c>
    </row>
    <row r="45" spans="1:49" hidden="1" outlineLevel="1">
      <c r="A45" s="114"/>
      <c r="B45" s="115"/>
      <c r="C45" s="115"/>
      <c r="D45" s="149"/>
      <c r="E45" s="118">
        <f t="shared" si="28"/>
        <v>0</v>
      </c>
      <c r="F45" s="117"/>
      <c r="G45" s="117"/>
      <c r="H45" s="117"/>
      <c r="I45" s="117"/>
      <c r="J45" s="117">
        <f t="shared" si="29"/>
        <v>0</v>
      </c>
      <c r="K45" s="114"/>
      <c r="L45" s="114"/>
      <c r="M45" s="114"/>
      <c r="N45" s="114"/>
      <c r="O45" s="117">
        <f t="shared" si="30"/>
        <v>0</v>
      </c>
      <c r="P45" s="117">
        <f t="shared" si="31"/>
        <v>0</v>
      </c>
      <c r="Q45" s="118"/>
      <c r="R45" s="118"/>
      <c r="S45" s="117">
        <f t="shared" si="32"/>
        <v>0</v>
      </c>
      <c r="T45" s="117"/>
      <c r="U45" s="117"/>
      <c r="V45" s="117">
        <f t="shared" si="33"/>
        <v>0</v>
      </c>
      <c r="W45" s="118"/>
      <c r="X45" s="118"/>
      <c r="Y45" s="117">
        <f t="shared" si="34"/>
        <v>0</v>
      </c>
      <c r="Z45" s="117">
        <f t="shared" si="35"/>
        <v>0</v>
      </c>
      <c r="AA45" s="119">
        <f t="shared" si="49"/>
        <v>0</v>
      </c>
      <c r="AB45" s="117">
        <f t="shared" si="36"/>
        <v>0</v>
      </c>
      <c r="AC45" s="118"/>
      <c r="AD45" s="119">
        <f t="shared" si="37"/>
        <v>0</v>
      </c>
      <c r="AE45" s="118"/>
      <c r="AF45" s="118"/>
      <c r="AG45" s="118"/>
      <c r="AH45" s="118"/>
      <c r="AI45" s="152">
        <f t="shared" si="38"/>
        <v>0</v>
      </c>
      <c r="AJ45" s="118"/>
      <c r="AK45" s="120">
        <f t="shared" si="39"/>
        <v>0</v>
      </c>
      <c r="AL45" s="121">
        <f t="shared" si="40"/>
        <v>0</v>
      </c>
      <c r="AM45" s="122"/>
      <c r="AN45" s="123">
        <f t="shared" si="41"/>
        <v>0</v>
      </c>
      <c r="AO45" s="124">
        <f t="shared" si="42"/>
        <v>0</v>
      </c>
      <c r="AP45" s="124">
        <f t="shared" si="43"/>
        <v>0</v>
      </c>
      <c r="AQ45" s="124">
        <f t="shared" si="44"/>
        <v>0</v>
      </c>
      <c r="AR45" s="124">
        <f t="shared" si="45"/>
        <v>0</v>
      </c>
      <c r="AS45" s="124">
        <f t="array" ref="AS45">_xlfn.IFS(S45=0,AL45,S45&lt;0,AL45/-S45,S45&gt;0,AL45/S45)</f>
        <v>0</v>
      </c>
      <c r="AT45" s="119">
        <f t="shared" si="46"/>
        <v>0</v>
      </c>
      <c r="AU45" s="119">
        <f t="shared" si="47"/>
        <v>0</v>
      </c>
      <c r="AV45" s="125"/>
      <c r="AW45" s="120">
        <f t="shared" si="48"/>
        <v>0</v>
      </c>
    </row>
    <row r="46" spans="1:49" hidden="1" outlineLevel="1">
      <c r="A46" s="114"/>
      <c r="B46" s="115"/>
      <c r="C46" s="115"/>
      <c r="D46" s="149"/>
      <c r="E46" s="118">
        <f t="shared" si="28"/>
        <v>0</v>
      </c>
      <c r="F46" s="117"/>
      <c r="G46" s="117"/>
      <c r="H46" s="117"/>
      <c r="I46" s="117"/>
      <c r="J46" s="117">
        <f t="shared" si="29"/>
        <v>0</v>
      </c>
      <c r="K46" s="114"/>
      <c r="L46" s="114"/>
      <c r="M46" s="114"/>
      <c r="N46" s="114"/>
      <c r="O46" s="117">
        <f t="shared" si="30"/>
        <v>0</v>
      </c>
      <c r="P46" s="117">
        <f t="shared" si="31"/>
        <v>0</v>
      </c>
      <c r="Q46" s="118"/>
      <c r="R46" s="118"/>
      <c r="S46" s="117">
        <f t="shared" si="32"/>
        <v>0</v>
      </c>
      <c r="T46" s="117"/>
      <c r="U46" s="117"/>
      <c r="V46" s="117">
        <f t="shared" si="33"/>
        <v>0</v>
      </c>
      <c r="W46" s="118"/>
      <c r="X46" s="118"/>
      <c r="Y46" s="117">
        <f t="shared" si="34"/>
        <v>0</v>
      </c>
      <c r="Z46" s="117">
        <f t="shared" si="35"/>
        <v>0</v>
      </c>
      <c r="AA46" s="119">
        <f t="shared" si="49"/>
        <v>0</v>
      </c>
      <c r="AB46" s="117">
        <f t="shared" si="36"/>
        <v>0</v>
      </c>
      <c r="AC46" s="118"/>
      <c r="AD46" s="119">
        <f t="shared" si="37"/>
        <v>0</v>
      </c>
      <c r="AE46" s="118"/>
      <c r="AF46" s="118"/>
      <c r="AG46" s="118"/>
      <c r="AH46" s="118"/>
      <c r="AI46" s="152">
        <f t="shared" si="38"/>
        <v>0</v>
      </c>
      <c r="AJ46" s="118"/>
      <c r="AK46" s="120">
        <f t="shared" si="39"/>
        <v>0</v>
      </c>
      <c r="AL46" s="121">
        <f t="shared" si="40"/>
        <v>0</v>
      </c>
      <c r="AM46" s="122"/>
      <c r="AN46" s="123">
        <f t="shared" si="41"/>
        <v>0</v>
      </c>
      <c r="AO46" s="124">
        <f t="shared" si="42"/>
        <v>0</v>
      </c>
      <c r="AP46" s="124">
        <f t="shared" si="43"/>
        <v>0</v>
      </c>
      <c r="AQ46" s="124">
        <f t="shared" si="44"/>
        <v>0</v>
      </c>
      <c r="AR46" s="124">
        <f t="shared" si="45"/>
        <v>0</v>
      </c>
      <c r="AS46" s="124">
        <f t="array" ref="AS46">_xlfn.IFS(S46=0,AL46,S46&lt;0,AL46/-S46,S46&gt;0,AL46/S46)</f>
        <v>0</v>
      </c>
      <c r="AT46" s="119">
        <f t="shared" si="46"/>
        <v>0</v>
      </c>
      <c r="AU46" s="119">
        <f t="shared" si="47"/>
        <v>0</v>
      </c>
      <c r="AV46" s="125"/>
      <c r="AW46" s="120">
        <f t="shared" si="48"/>
        <v>0</v>
      </c>
    </row>
    <row r="47" spans="1:49" hidden="1" outlineLevel="1">
      <c r="A47" s="114"/>
      <c r="B47" s="115"/>
      <c r="C47" s="115"/>
      <c r="D47" s="116"/>
      <c r="E47" s="117">
        <f t="shared" si="28"/>
        <v>0</v>
      </c>
      <c r="F47" s="117"/>
      <c r="G47" s="117"/>
      <c r="H47" s="117"/>
      <c r="I47" s="117"/>
      <c r="J47" s="117">
        <f t="shared" si="29"/>
        <v>0</v>
      </c>
      <c r="K47" s="114"/>
      <c r="L47" s="114"/>
      <c r="M47" s="114"/>
      <c r="N47" s="114"/>
      <c r="O47" s="117">
        <f t="shared" si="30"/>
        <v>0</v>
      </c>
      <c r="P47" s="117">
        <f t="shared" si="31"/>
        <v>0</v>
      </c>
      <c r="Q47" s="118"/>
      <c r="R47" s="118"/>
      <c r="S47" s="117">
        <f t="shared" si="32"/>
        <v>0</v>
      </c>
      <c r="T47" s="117"/>
      <c r="U47" s="117"/>
      <c r="V47" s="117">
        <f t="shared" si="33"/>
        <v>0</v>
      </c>
      <c r="W47" s="118"/>
      <c r="X47" s="118"/>
      <c r="Y47" s="117">
        <f t="shared" si="34"/>
        <v>0</v>
      </c>
      <c r="Z47" s="117">
        <f t="shared" si="35"/>
        <v>0</v>
      </c>
      <c r="AA47" s="119">
        <f t="shared" si="49"/>
        <v>0</v>
      </c>
      <c r="AB47" s="117">
        <f t="shared" si="36"/>
        <v>0</v>
      </c>
      <c r="AC47" s="118"/>
      <c r="AD47" s="119">
        <f t="shared" si="37"/>
        <v>0</v>
      </c>
      <c r="AE47" s="118"/>
      <c r="AF47" s="118"/>
      <c r="AG47" s="118"/>
      <c r="AH47" s="118"/>
      <c r="AI47" s="152">
        <f t="shared" si="38"/>
        <v>0</v>
      </c>
      <c r="AJ47" s="118"/>
      <c r="AK47" s="120">
        <f t="shared" si="39"/>
        <v>0</v>
      </c>
      <c r="AL47" s="121">
        <f t="shared" si="40"/>
        <v>0</v>
      </c>
      <c r="AM47" s="122"/>
      <c r="AN47" s="123">
        <f t="shared" si="41"/>
        <v>0</v>
      </c>
      <c r="AO47" s="124">
        <f t="shared" si="42"/>
        <v>0</v>
      </c>
      <c r="AP47" s="124">
        <f t="shared" si="43"/>
        <v>0</v>
      </c>
      <c r="AQ47" s="124">
        <f t="shared" si="44"/>
        <v>0</v>
      </c>
      <c r="AR47" s="124">
        <f t="shared" si="45"/>
        <v>0</v>
      </c>
      <c r="AS47" s="124">
        <f t="array" ref="AS47">_xlfn.IFS(S47=0,AL47,S47&lt;0,AL47/-S47,S47&gt;0,AL47/S47)</f>
        <v>0</v>
      </c>
      <c r="AT47" s="119">
        <f t="shared" si="46"/>
        <v>0</v>
      </c>
      <c r="AU47" s="119">
        <f t="shared" si="47"/>
        <v>0</v>
      </c>
      <c r="AV47" s="125"/>
      <c r="AW47" s="120">
        <f t="shared" si="48"/>
        <v>0</v>
      </c>
    </row>
    <row r="48" spans="1:49" hidden="1" outlineLevel="1">
      <c r="A48" s="114"/>
      <c r="B48" s="115"/>
      <c r="C48" s="115"/>
      <c r="D48" s="116"/>
      <c r="E48" s="117">
        <f t="shared" si="28"/>
        <v>0</v>
      </c>
      <c r="F48" s="117"/>
      <c r="G48" s="117"/>
      <c r="H48" s="117"/>
      <c r="I48" s="117"/>
      <c r="J48" s="117">
        <f t="shared" si="29"/>
        <v>0</v>
      </c>
      <c r="K48" s="114"/>
      <c r="L48" s="114"/>
      <c r="M48" s="114"/>
      <c r="N48" s="114"/>
      <c r="O48" s="117">
        <f t="shared" si="30"/>
        <v>0</v>
      </c>
      <c r="P48" s="117">
        <f t="shared" si="31"/>
        <v>0</v>
      </c>
      <c r="Q48" s="118"/>
      <c r="R48" s="118"/>
      <c r="S48" s="117">
        <f t="shared" si="32"/>
        <v>0</v>
      </c>
      <c r="T48" s="117"/>
      <c r="U48" s="117"/>
      <c r="V48" s="117">
        <f t="shared" si="33"/>
        <v>0</v>
      </c>
      <c r="W48" s="118"/>
      <c r="X48" s="118"/>
      <c r="Y48" s="117">
        <f t="shared" si="34"/>
        <v>0</v>
      </c>
      <c r="Z48" s="117">
        <f t="shared" si="35"/>
        <v>0</v>
      </c>
      <c r="AA48" s="119">
        <f t="shared" si="49"/>
        <v>0</v>
      </c>
      <c r="AB48" s="117">
        <f t="shared" si="36"/>
        <v>0</v>
      </c>
      <c r="AC48" s="118"/>
      <c r="AD48" s="119">
        <f t="shared" si="37"/>
        <v>0</v>
      </c>
      <c r="AE48" s="118"/>
      <c r="AF48" s="118"/>
      <c r="AG48" s="118"/>
      <c r="AH48" s="118"/>
      <c r="AI48" s="152">
        <f t="shared" si="38"/>
        <v>0</v>
      </c>
      <c r="AJ48" s="118"/>
      <c r="AK48" s="120">
        <f t="shared" si="39"/>
        <v>0</v>
      </c>
      <c r="AL48" s="121">
        <f t="shared" si="40"/>
        <v>0</v>
      </c>
      <c r="AM48" s="122"/>
      <c r="AN48" s="123">
        <f t="shared" si="41"/>
        <v>0</v>
      </c>
      <c r="AO48" s="124">
        <f t="shared" si="42"/>
        <v>0</v>
      </c>
      <c r="AP48" s="124">
        <f t="shared" si="43"/>
        <v>0</v>
      </c>
      <c r="AQ48" s="124">
        <f t="shared" si="44"/>
        <v>0</v>
      </c>
      <c r="AR48" s="124">
        <f t="shared" si="45"/>
        <v>0</v>
      </c>
      <c r="AS48" s="124">
        <f t="array" ref="AS48">_xlfn.IFS(S48=0,AL48,S48&lt;0,AL48/-S48,S48&gt;0,AL48/S48)</f>
        <v>0</v>
      </c>
      <c r="AT48" s="119">
        <f t="shared" si="46"/>
        <v>0</v>
      </c>
      <c r="AU48" s="119">
        <f t="shared" si="47"/>
        <v>0</v>
      </c>
      <c r="AV48" s="125"/>
      <c r="AW48" s="120">
        <f t="shared" si="48"/>
        <v>0</v>
      </c>
    </row>
    <row r="49" spans="1:49" hidden="1" outlineLevel="1">
      <c r="A49" s="114"/>
      <c r="B49" s="115"/>
      <c r="C49" s="115"/>
      <c r="D49" s="116"/>
      <c r="E49" s="117">
        <f t="shared" si="28"/>
        <v>0</v>
      </c>
      <c r="F49" s="117"/>
      <c r="G49" s="117"/>
      <c r="H49" s="117"/>
      <c r="I49" s="117"/>
      <c r="J49" s="117">
        <f t="shared" si="29"/>
        <v>0</v>
      </c>
      <c r="K49" s="114"/>
      <c r="L49" s="114"/>
      <c r="M49" s="114"/>
      <c r="N49" s="114"/>
      <c r="O49" s="117">
        <f t="shared" si="30"/>
        <v>0</v>
      </c>
      <c r="P49" s="117">
        <f t="shared" si="31"/>
        <v>0</v>
      </c>
      <c r="Q49" s="118"/>
      <c r="R49" s="118"/>
      <c r="S49" s="117">
        <f t="shared" si="32"/>
        <v>0</v>
      </c>
      <c r="T49" s="117"/>
      <c r="U49" s="117"/>
      <c r="V49" s="117">
        <f t="shared" si="33"/>
        <v>0</v>
      </c>
      <c r="W49" s="118"/>
      <c r="X49" s="118"/>
      <c r="Y49" s="117">
        <f t="shared" si="34"/>
        <v>0</v>
      </c>
      <c r="Z49" s="117">
        <f t="shared" si="35"/>
        <v>0</v>
      </c>
      <c r="AA49" s="119">
        <f t="shared" si="49"/>
        <v>0</v>
      </c>
      <c r="AB49" s="117">
        <f t="shared" si="36"/>
        <v>0</v>
      </c>
      <c r="AC49" s="118"/>
      <c r="AD49" s="119">
        <f t="shared" si="37"/>
        <v>0</v>
      </c>
      <c r="AE49" s="118"/>
      <c r="AF49" s="118"/>
      <c r="AG49" s="118"/>
      <c r="AH49" s="118"/>
      <c r="AI49" s="152">
        <f t="shared" si="38"/>
        <v>0</v>
      </c>
      <c r="AJ49" s="118"/>
      <c r="AK49" s="120">
        <f t="shared" si="39"/>
        <v>0</v>
      </c>
      <c r="AL49" s="121">
        <f t="shared" si="40"/>
        <v>0</v>
      </c>
      <c r="AM49" s="122"/>
      <c r="AN49" s="123">
        <f t="shared" si="41"/>
        <v>0</v>
      </c>
      <c r="AO49" s="124">
        <f t="shared" si="42"/>
        <v>0</v>
      </c>
      <c r="AP49" s="124">
        <f t="shared" si="43"/>
        <v>0</v>
      </c>
      <c r="AQ49" s="124">
        <f t="shared" si="44"/>
        <v>0</v>
      </c>
      <c r="AR49" s="124">
        <f t="shared" si="45"/>
        <v>0</v>
      </c>
      <c r="AS49" s="124">
        <f t="array" ref="AS49">_xlfn.IFS(S49=0,AL49,S49&lt;0,AL49/-S49,S49&gt;0,AL49/S49)</f>
        <v>0</v>
      </c>
      <c r="AT49" s="119">
        <f t="shared" si="46"/>
        <v>0</v>
      </c>
      <c r="AU49" s="119">
        <f t="shared" si="47"/>
        <v>0</v>
      </c>
      <c r="AV49" s="125"/>
      <c r="AW49" s="120">
        <f t="shared" si="48"/>
        <v>0</v>
      </c>
    </row>
    <row r="50" spans="1:49" hidden="1" outlineLevel="1">
      <c r="A50" s="114"/>
      <c r="B50" s="115"/>
      <c r="C50" s="115"/>
      <c r="D50" s="116"/>
      <c r="E50" s="117">
        <f t="shared" si="28"/>
        <v>0</v>
      </c>
      <c r="F50" s="117"/>
      <c r="G50" s="117"/>
      <c r="H50" s="117"/>
      <c r="I50" s="117"/>
      <c r="J50" s="117">
        <f t="shared" si="29"/>
        <v>0</v>
      </c>
      <c r="K50" s="114"/>
      <c r="L50" s="114"/>
      <c r="M50" s="114"/>
      <c r="N50" s="114"/>
      <c r="O50" s="117">
        <f t="shared" si="30"/>
        <v>0</v>
      </c>
      <c r="P50" s="117">
        <f t="shared" si="31"/>
        <v>0</v>
      </c>
      <c r="Q50" s="118"/>
      <c r="R50" s="118"/>
      <c r="S50" s="117">
        <f t="shared" si="32"/>
        <v>0</v>
      </c>
      <c r="T50" s="117"/>
      <c r="U50" s="117"/>
      <c r="V50" s="117">
        <f t="shared" si="33"/>
        <v>0</v>
      </c>
      <c r="W50" s="118"/>
      <c r="X50" s="118"/>
      <c r="Y50" s="117">
        <f t="shared" si="34"/>
        <v>0</v>
      </c>
      <c r="Z50" s="117">
        <f t="shared" si="35"/>
        <v>0</v>
      </c>
      <c r="AA50" s="119">
        <f t="shared" si="49"/>
        <v>0</v>
      </c>
      <c r="AB50" s="117">
        <f t="shared" si="36"/>
        <v>0</v>
      </c>
      <c r="AC50" s="118"/>
      <c r="AD50" s="119">
        <f t="shared" si="37"/>
        <v>0</v>
      </c>
      <c r="AE50" s="118"/>
      <c r="AF50" s="118"/>
      <c r="AG50" s="118"/>
      <c r="AH50" s="118"/>
      <c r="AI50" s="152">
        <f t="shared" si="38"/>
        <v>0</v>
      </c>
      <c r="AJ50" s="118"/>
      <c r="AK50" s="120">
        <f t="shared" si="39"/>
        <v>0</v>
      </c>
      <c r="AL50" s="121">
        <f t="shared" si="40"/>
        <v>0</v>
      </c>
      <c r="AM50" s="122"/>
      <c r="AN50" s="123">
        <f t="shared" si="41"/>
        <v>0</v>
      </c>
      <c r="AO50" s="124">
        <f t="shared" si="42"/>
        <v>0</v>
      </c>
      <c r="AP50" s="124">
        <f t="shared" si="43"/>
        <v>0</v>
      </c>
      <c r="AQ50" s="124">
        <f t="shared" si="44"/>
        <v>0</v>
      </c>
      <c r="AR50" s="124">
        <f t="shared" si="45"/>
        <v>0</v>
      </c>
      <c r="AS50" s="124">
        <f t="array" ref="AS50">_xlfn.IFS(S50=0,AL50,S50&lt;0,AL50/-S50,S50&gt;0,AL50/S50)</f>
        <v>0</v>
      </c>
      <c r="AT50" s="119">
        <f t="shared" si="46"/>
        <v>0</v>
      </c>
      <c r="AU50" s="119">
        <f t="shared" si="47"/>
        <v>0</v>
      </c>
      <c r="AV50" s="125"/>
      <c r="AW50" s="120">
        <f t="shared" si="48"/>
        <v>0</v>
      </c>
    </row>
    <row r="51" spans="1:49" hidden="1" outlineLevel="1">
      <c r="A51" s="114"/>
      <c r="B51" s="115"/>
      <c r="C51" s="115"/>
      <c r="D51" s="116"/>
      <c r="E51" s="117">
        <f t="shared" ref="E51:E70" si="50">SUM(F51:H51)</f>
        <v>0</v>
      </c>
      <c r="F51" s="117"/>
      <c r="G51" s="117"/>
      <c r="H51" s="117"/>
      <c r="I51" s="117"/>
      <c r="J51" s="117">
        <f t="shared" si="29"/>
        <v>0</v>
      </c>
      <c r="K51" s="114"/>
      <c r="L51" s="114"/>
      <c r="M51" s="114"/>
      <c r="N51" s="114"/>
      <c r="O51" s="117">
        <f t="shared" si="30"/>
        <v>0</v>
      </c>
      <c r="P51" s="117">
        <f t="shared" si="31"/>
        <v>0</v>
      </c>
      <c r="Q51" s="118"/>
      <c r="R51" s="118"/>
      <c r="S51" s="117">
        <f t="shared" si="32"/>
        <v>0</v>
      </c>
      <c r="T51" s="117"/>
      <c r="U51" s="117"/>
      <c r="V51" s="117">
        <f t="shared" si="33"/>
        <v>0</v>
      </c>
      <c r="W51" s="118"/>
      <c r="X51" s="118"/>
      <c r="Y51" s="117">
        <f t="shared" si="34"/>
        <v>0</v>
      </c>
      <c r="Z51" s="117">
        <f t="shared" si="35"/>
        <v>0</v>
      </c>
      <c r="AA51" s="119">
        <f t="shared" si="49"/>
        <v>0</v>
      </c>
      <c r="AB51" s="117">
        <f t="shared" si="36"/>
        <v>0</v>
      </c>
      <c r="AC51" s="118"/>
      <c r="AD51" s="119">
        <f t="shared" si="37"/>
        <v>0</v>
      </c>
      <c r="AE51" s="118"/>
      <c r="AF51" s="118"/>
      <c r="AG51" s="118"/>
      <c r="AH51" s="118"/>
      <c r="AI51" s="152">
        <f t="shared" si="38"/>
        <v>0</v>
      </c>
      <c r="AJ51" s="118"/>
      <c r="AK51" s="120">
        <f t="shared" si="39"/>
        <v>0</v>
      </c>
      <c r="AL51" s="121">
        <f t="shared" si="40"/>
        <v>0</v>
      </c>
      <c r="AM51" s="122"/>
      <c r="AN51" s="123">
        <f t="shared" si="41"/>
        <v>0</v>
      </c>
      <c r="AO51" s="124">
        <f t="shared" si="42"/>
        <v>0</v>
      </c>
      <c r="AP51" s="124">
        <f t="shared" si="43"/>
        <v>0</v>
      </c>
      <c r="AQ51" s="124">
        <f t="shared" si="44"/>
        <v>0</v>
      </c>
      <c r="AR51" s="124">
        <f t="shared" si="45"/>
        <v>0</v>
      </c>
      <c r="AS51" s="124">
        <f t="array" ref="AS51">_xlfn.IFS(S51=0,AL51,S51&lt;0,AL51/-S51,S51&gt;0,AL51/S51)</f>
        <v>0</v>
      </c>
      <c r="AT51" s="119">
        <f t="shared" si="46"/>
        <v>0</v>
      </c>
      <c r="AU51" s="119">
        <f t="shared" si="47"/>
        <v>0</v>
      </c>
      <c r="AV51" s="125"/>
      <c r="AW51" s="120">
        <f t="shared" si="48"/>
        <v>0</v>
      </c>
    </row>
    <row r="52" spans="1:49" hidden="1" outlineLevel="1">
      <c r="A52" s="114"/>
      <c r="B52" s="115"/>
      <c r="C52" s="115"/>
      <c r="D52" s="116"/>
      <c r="E52" s="117">
        <f t="shared" si="50"/>
        <v>0</v>
      </c>
      <c r="F52" s="117"/>
      <c r="G52" s="117"/>
      <c r="H52" s="117"/>
      <c r="I52" s="117"/>
      <c r="J52" s="117">
        <f t="shared" si="29"/>
        <v>0</v>
      </c>
      <c r="K52" s="114"/>
      <c r="L52" s="114"/>
      <c r="M52" s="114"/>
      <c r="N52" s="114"/>
      <c r="O52" s="117">
        <f t="shared" si="30"/>
        <v>0</v>
      </c>
      <c r="P52" s="117">
        <f t="shared" si="31"/>
        <v>0</v>
      </c>
      <c r="Q52" s="118"/>
      <c r="R52" s="118"/>
      <c r="S52" s="117">
        <f t="shared" si="32"/>
        <v>0</v>
      </c>
      <c r="T52" s="117"/>
      <c r="U52" s="117"/>
      <c r="V52" s="117">
        <f t="shared" si="33"/>
        <v>0</v>
      </c>
      <c r="W52" s="118"/>
      <c r="X52" s="118"/>
      <c r="Y52" s="117">
        <f t="shared" si="34"/>
        <v>0</v>
      </c>
      <c r="Z52" s="117">
        <f t="shared" si="35"/>
        <v>0</v>
      </c>
      <c r="AA52" s="119">
        <f t="shared" si="49"/>
        <v>0</v>
      </c>
      <c r="AB52" s="117">
        <f t="shared" si="36"/>
        <v>0</v>
      </c>
      <c r="AC52" s="118"/>
      <c r="AD52" s="119">
        <f t="shared" si="37"/>
        <v>0</v>
      </c>
      <c r="AE52" s="118"/>
      <c r="AF52" s="118"/>
      <c r="AG52" s="118"/>
      <c r="AH52" s="118"/>
      <c r="AI52" s="152">
        <f t="shared" si="38"/>
        <v>0</v>
      </c>
      <c r="AJ52" s="118"/>
      <c r="AK52" s="120">
        <f t="shared" si="39"/>
        <v>0</v>
      </c>
      <c r="AL52" s="121">
        <f t="shared" si="40"/>
        <v>0</v>
      </c>
      <c r="AM52" s="122"/>
      <c r="AN52" s="123">
        <f t="shared" si="41"/>
        <v>0</v>
      </c>
      <c r="AO52" s="124">
        <f t="shared" si="42"/>
        <v>0</v>
      </c>
      <c r="AP52" s="124">
        <f t="shared" si="43"/>
        <v>0</v>
      </c>
      <c r="AQ52" s="124">
        <f t="shared" si="44"/>
        <v>0</v>
      </c>
      <c r="AR52" s="124">
        <f t="shared" si="45"/>
        <v>0</v>
      </c>
      <c r="AS52" s="124">
        <f t="array" ref="AS52">_xlfn.IFS(S52=0,AL52,S52&lt;0,AL52/-S52,S52&gt;0,AL52/S52)</f>
        <v>0</v>
      </c>
      <c r="AT52" s="119">
        <f t="shared" si="46"/>
        <v>0</v>
      </c>
      <c r="AU52" s="119">
        <f t="shared" si="47"/>
        <v>0</v>
      </c>
      <c r="AV52" s="125"/>
      <c r="AW52" s="120">
        <f t="shared" si="48"/>
        <v>0</v>
      </c>
    </row>
    <row r="53" spans="1:49" hidden="1" outlineLevel="1">
      <c r="A53" s="114"/>
      <c r="B53" s="115"/>
      <c r="C53" s="115"/>
      <c r="D53" s="116"/>
      <c r="E53" s="117">
        <f t="shared" si="50"/>
        <v>0</v>
      </c>
      <c r="F53" s="117"/>
      <c r="G53" s="117"/>
      <c r="H53" s="117"/>
      <c r="I53" s="117"/>
      <c r="J53" s="117">
        <f t="shared" si="29"/>
        <v>0</v>
      </c>
      <c r="K53" s="114"/>
      <c r="L53" s="114"/>
      <c r="M53" s="114"/>
      <c r="N53" s="114"/>
      <c r="O53" s="117">
        <f t="shared" si="30"/>
        <v>0</v>
      </c>
      <c r="P53" s="117">
        <f t="shared" si="31"/>
        <v>0</v>
      </c>
      <c r="Q53" s="118"/>
      <c r="R53" s="118"/>
      <c r="S53" s="117">
        <f t="shared" si="32"/>
        <v>0</v>
      </c>
      <c r="T53" s="117"/>
      <c r="U53" s="117"/>
      <c r="V53" s="117">
        <f t="shared" si="33"/>
        <v>0</v>
      </c>
      <c r="W53" s="118"/>
      <c r="X53" s="118"/>
      <c r="Y53" s="117">
        <f t="shared" si="34"/>
        <v>0</v>
      </c>
      <c r="Z53" s="117">
        <f t="shared" si="35"/>
        <v>0</v>
      </c>
      <c r="AA53" s="119">
        <f t="shared" si="49"/>
        <v>0</v>
      </c>
      <c r="AB53" s="117">
        <f t="shared" si="36"/>
        <v>0</v>
      </c>
      <c r="AC53" s="118"/>
      <c r="AD53" s="119">
        <f t="shared" si="37"/>
        <v>0</v>
      </c>
      <c r="AE53" s="118"/>
      <c r="AF53" s="118"/>
      <c r="AG53" s="118"/>
      <c r="AH53" s="118"/>
      <c r="AI53" s="152">
        <f t="shared" si="38"/>
        <v>0</v>
      </c>
      <c r="AJ53" s="118"/>
      <c r="AK53" s="120">
        <f t="shared" si="39"/>
        <v>0</v>
      </c>
      <c r="AL53" s="121">
        <f t="shared" si="40"/>
        <v>0</v>
      </c>
      <c r="AM53" s="122"/>
      <c r="AN53" s="123">
        <f t="shared" si="41"/>
        <v>0</v>
      </c>
      <c r="AO53" s="124">
        <f t="shared" si="42"/>
        <v>0</v>
      </c>
      <c r="AP53" s="124">
        <f t="shared" si="43"/>
        <v>0</v>
      </c>
      <c r="AQ53" s="124">
        <f t="shared" si="44"/>
        <v>0</v>
      </c>
      <c r="AR53" s="124">
        <f t="shared" si="45"/>
        <v>0</v>
      </c>
      <c r="AS53" s="124">
        <f t="array" ref="AS53">_xlfn.IFS(S53=0,AL53,S53&lt;0,AL53/-S53,S53&gt;0,AL53/S53)</f>
        <v>0</v>
      </c>
      <c r="AT53" s="119">
        <f t="shared" si="46"/>
        <v>0</v>
      </c>
      <c r="AU53" s="119">
        <f t="shared" si="47"/>
        <v>0</v>
      </c>
      <c r="AV53" s="125"/>
      <c r="AW53" s="120">
        <f t="shared" si="48"/>
        <v>0</v>
      </c>
    </row>
    <row r="54" spans="1:49" hidden="1" outlineLevel="1">
      <c r="A54" s="114"/>
      <c r="B54" s="115"/>
      <c r="C54" s="115"/>
      <c r="D54" s="116"/>
      <c r="E54" s="117">
        <f t="shared" si="50"/>
        <v>0</v>
      </c>
      <c r="F54" s="117"/>
      <c r="G54" s="117"/>
      <c r="H54" s="117"/>
      <c r="I54" s="117"/>
      <c r="J54" s="117">
        <f t="shared" si="29"/>
        <v>0</v>
      </c>
      <c r="K54" s="114"/>
      <c r="L54" s="114"/>
      <c r="M54" s="114"/>
      <c r="N54" s="114"/>
      <c r="O54" s="117">
        <f t="shared" si="30"/>
        <v>0</v>
      </c>
      <c r="P54" s="117">
        <f t="shared" si="31"/>
        <v>0</v>
      </c>
      <c r="Q54" s="118"/>
      <c r="R54" s="118"/>
      <c r="S54" s="117">
        <f t="shared" si="32"/>
        <v>0</v>
      </c>
      <c r="T54" s="117"/>
      <c r="U54" s="117"/>
      <c r="V54" s="117">
        <f t="shared" si="33"/>
        <v>0</v>
      </c>
      <c r="W54" s="118"/>
      <c r="X54" s="118"/>
      <c r="Y54" s="117">
        <f t="shared" si="34"/>
        <v>0</v>
      </c>
      <c r="Z54" s="117">
        <f t="shared" si="35"/>
        <v>0</v>
      </c>
      <c r="AA54" s="119">
        <f t="shared" si="49"/>
        <v>0</v>
      </c>
      <c r="AB54" s="117">
        <f t="shared" si="36"/>
        <v>0</v>
      </c>
      <c r="AC54" s="118"/>
      <c r="AD54" s="119">
        <f t="shared" si="37"/>
        <v>0</v>
      </c>
      <c r="AE54" s="118"/>
      <c r="AF54" s="118"/>
      <c r="AG54" s="118"/>
      <c r="AH54" s="118"/>
      <c r="AI54" s="152">
        <f t="shared" si="38"/>
        <v>0</v>
      </c>
      <c r="AJ54" s="118"/>
      <c r="AK54" s="120">
        <f t="shared" si="39"/>
        <v>0</v>
      </c>
      <c r="AL54" s="121">
        <f t="shared" si="40"/>
        <v>0</v>
      </c>
      <c r="AM54" s="122"/>
      <c r="AN54" s="123">
        <f t="shared" si="41"/>
        <v>0</v>
      </c>
      <c r="AO54" s="124">
        <f t="shared" si="42"/>
        <v>0</v>
      </c>
      <c r="AP54" s="124">
        <f t="shared" si="43"/>
        <v>0</v>
      </c>
      <c r="AQ54" s="124">
        <f t="shared" si="44"/>
        <v>0</v>
      </c>
      <c r="AR54" s="124">
        <f t="shared" si="45"/>
        <v>0</v>
      </c>
      <c r="AS54" s="124">
        <f t="array" ref="AS54">_xlfn.IFS(S54=0,AL54,S54&lt;0,AL54/-S54,S54&gt;0,AL54/S54)</f>
        <v>0</v>
      </c>
      <c r="AT54" s="119">
        <f t="shared" si="46"/>
        <v>0</v>
      </c>
      <c r="AU54" s="119">
        <f t="shared" si="47"/>
        <v>0</v>
      </c>
      <c r="AV54" s="125"/>
      <c r="AW54" s="120">
        <f t="shared" si="48"/>
        <v>0</v>
      </c>
    </row>
    <row r="55" spans="1:49" hidden="1" outlineLevel="1">
      <c r="A55" s="114"/>
      <c r="B55" s="115"/>
      <c r="C55" s="115"/>
      <c r="D55" s="116"/>
      <c r="E55" s="117">
        <f t="shared" si="50"/>
        <v>0</v>
      </c>
      <c r="F55" s="117"/>
      <c r="G55" s="117"/>
      <c r="H55" s="117"/>
      <c r="I55" s="117"/>
      <c r="J55" s="117">
        <f t="shared" si="29"/>
        <v>0</v>
      </c>
      <c r="K55" s="114"/>
      <c r="L55" s="114"/>
      <c r="M55" s="114"/>
      <c r="N55" s="114"/>
      <c r="O55" s="117">
        <f t="shared" si="30"/>
        <v>0</v>
      </c>
      <c r="P55" s="117">
        <f t="shared" si="31"/>
        <v>0</v>
      </c>
      <c r="Q55" s="118"/>
      <c r="R55" s="118"/>
      <c r="S55" s="117">
        <f t="shared" si="32"/>
        <v>0</v>
      </c>
      <c r="T55" s="117"/>
      <c r="U55" s="117"/>
      <c r="V55" s="117">
        <f t="shared" si="33"/>
        <v>0</v>
      </c>
      <c r="W55" s="118"/>
      <c r="X55" s="118"/>
      <c r="Y55" s="117">
        <f t="shared" si="34"/>
        <v>0</v>
      </c>
      <c r="Z55" s="117">
        <f t="shared" si="35"/>
        <v>0</v>
      </c>
      <c r="AA55" s="119">
        <f t="shared" si="49"/>
        <v>0</v>
      </c>
      <c r="AB55" s="117">
        <f t="shared" si="36"/>
        <v>0</v>
      </c>
      <c r="AC55" s="118"/>
      <c r="AD55" s="119">
        <f t="shared" si="37"/>
        <v>0</v>
      </c>
      <c r="AE55" s="118"/>
      <c r="AF55" s="118"/>
      <c r="AG55" s="118"/>
      <c r="AH55" s="118"/>
      <c r="AI55" s="152">
        <f t="shared" si="38"/>
        <v>0</v>
      </c>
      <c r="AJ55" s="118"/>
      <c r="AK55" s="120">
        <f t="shared" si="39"/>
        <v>0</v>
      </c>
      <c r="AL55" s="121">
        <f t="shared" si="40"/>
        <v>0</v>
      </c>
      <c r="AM55" s="122"/>
      <c r="AN55" s="123">
        <f t="shared" si="41"/>
        <v>0</v>
      </c>
      <c r="AO55" s="124">
        <f t="shared" si="42"/>
        <v>0</v>
      </c>
      <c r="AP55" s="124">
        <f t="shared" si="43"/>
        <v>0</v>
      </c>
      <c r="AQ55" s="124">
        <f t="shared" si="44"/>
        <v>0</v>
      </c>
      <c r="AR55" s="124">
        <f t="shared" si="45"/>
        <v>0</v>
      </c>
      <c r="AS55" s="124">
        <f t="array" ref="AS55">_xlfn.IFS(S55=0,AL55,S55&lt;0,AL55/-S55,S55&gt;0,AL55/S55)</f>
        <v>0</v>
      </c>
      <c r="AT55" s="119">
        <f t="shared" si="46"/>
        <v>0</v>
      </c>
      <c r="AU55" s="119">
        <f t="shared" si="47"/>
        <v>0</v>
      </c>
      <c r="AV55" s="125"/>
      <c r="AW55" s="120">
        <f t="shared" si="48"/>
        <v>0</v>
      </c>
    </row>
    <row r="56" spans="1:49" hidden="1" outlineLevel="1">
      <c r="A56" s="114"/>
      <c r="B56" s="115"/>
      <c r="C56" s="115"/>
      <c r="D56" s="116"/>
      <c r="E56" s="117">
        <f t="shared" si="50"/>
        <v>0</v>
      </c>
      <c r="F56" s="117"/>
      <c r="G56" s="117"/>
      <c r="H56" s="117"/>
      <c r="I56" s="117"/>
      <c r="J56" s="117">
        <f t="shared" si="29"/>
        <v>0</v>
      </c>
      <c r="K56" s="114"/>
      <c r="L56" s="114"/>
      <c r="M56" s="114"/>
      <c r="N56" s="114"/>
      <c r="O56" s="117">
        <f t="shared" si="30"/>
        <v>0</v>
      </c>
      <c r="P56" s="117">
        <f t="shared" si="31"/>
        <v>0</v>
      </c>
      <c r="Q56" s="118"/>
      <c r="R56" s="118"/>
      <c r="S56" s="117">
        <f t="shared" si="32"/>
        <v>0</v>
      </c>
      <c r="T56" s="117"/>
      <c r="U56" s="117"/>
      <c r="V56" s="117">
        <f t="shared" si="33"/>
        <v>0</v>
      </c>
      <c r="W56" s="118"/>
      <c r="X56" s="118"/>
      <c r="Y56" s="117">
        <f t="shared" si="34"/>
        <v>0</v>
      </c>
      <c r="Z56" s="117">
        <f t="shared" si="35"/>
        <v>0</v>
      </c>
      <c r="AA56" s="119">
        <f t="shared" si="49"/>
        <v>0</v>
      </c>
      <c r="AB56" s="117">
        <f t="shared" si="36"/>
        <v>0</v>
      </c>
      <c r="AC56" s="118"/>
      <c r="AD56" s="119">
        <f t="shared" si="37"/>
        <v>0</v>
      </c>
      <c r="AE56" s="118"/>
      <c r="AF56" s="118"/>
      <c r="AG56" s="118"/>
      <c r="AH56" s="118"/>
      <c r="AI56" s="152">
        <f t="shared" si="38"/>
        <v>0</v>
      </c>
      <c r="AJ56" s="118"/>
      <c r="AK56" s="120">
        <f t="shared" si="39"/>
        <v>0</v>
      </c>
      <c r="AL56" s="121">
        <f t="shared" si="40"/>
        <v>0</v>
      </c>
      <c r="AM56" s="122"/>
      <c r="AN56" s="123">
        <f t="shared" si="41"/>
        <v>0</v>
      </c>
      <c r="AO56" s="124">
        <f t="shared" si="42"/>
        <v>0</v>
      </c>
      <c r="AP56" s="124">
        <f t="shared" si="43"/>
        <v>0</v>
      </c>
      <c r="AQ56" s="124">
        <f t="shared" si="44"/>
        <v>0</v>
      </c>
      <c r="AR56" s="124">
        <f t="shared" si="45"/>
        <v>0</v>
      </c>
      <c r="AS56" s="124">
        <f t="array" ref="AS56">_xlfn.IFS(S56=0,AL56,S56&lt;0,AL56/-S56,S56&gt;0,AL56/S56)</f>
        <v>0</v>
      </c>
      <c r="AT56" s="119">
        <f t="shared" si="46"/>
        <v>0</v>
      </c>
      <c r="AU56" s="119">
        <f t="shared" si="47"/>
        <v>0</v>
      </c>
      <c r="AV56" s="125"/>
      <c r="AW56" s="120">
        <f t="shared" si="48"/>
        <v>0</v>
      </c>
    </row>
    <row r="57" spans="1:49" hidden="1" outlineLevel="1">
      <c r="A57" s="114"/>
      <c r="B57" s="115"/>
      <c r="C57" s="115"/>
      <c r="D57" s="116"/>
      <c r="E57" s="117">
        <f t="shared" si="50"/>
        <v>0</v>
      </c>
      <c r="F57" s="117"/>
      <c r="G57" s="117"/>
      <c r="H57" s="117"/>
      <c r="I57" s="117"/>
      <c r="J57" s="117">
        <f t="shared" si="29"/>
        <v>0</v>
      </c>
      <c r="K57" s="114"/>
      <c r="L57" s="114"/>
      <c r="M57" s="114"/>
      <c r="N57" s="114"/>
      <c r="O57" s="117">
        <f t="shared" si="30"/>
        <v>0</v>
      </c>
      <c r="P57" s="117">
        <f t="shared" si="31"/>
        <v>0</v>
      </c>
      <c r="Q57" s="118"/>
      <c r="R57" s="118"/>
      <c r="S57" s="117">
        <f t="shared" si="32"/>
        <v>0</v>
      </c>
      <c r="T57" s="117"/>
      <c r="U57" s="117"/>
      <c r="V57" s="117">
        <f t="shared" si="33"/>
        <v>0</v>
      </c>
      <c r="W57" s="118"/>
      <c r="X57" s="118"/>
      <c r="Y57" s="117">
        <f t="shared" si="34"/>
        <v>0</v>
      </c>
      <c r="Z57" s="117">
        <f t="shared" si="35"/>
        <v>0</v>
      </c>
      <c r="AA57" s="119">
        <f t="shared" si="49"/>
        <v>0</v>
      </c>
      <c r="AB57" s="117">
        <f t="shared" si="36"/>
        <v>0</v>
      </c>
      <c r="AC57" s="118"/>
      <c r="AD57" s="119">
        <f t="shared" si="37"/>
        <v>0</v>
      </c>
      <c r="AE57" s="118"/>
      <c r="AF57" s="118"/>
      <c r="AG57" s="118"/>
      <c r="AH57" s="118"/>
      <c r="AI57" s="152">
        <f t="shared" si="38"/>
        <v>0</v>
      </c>
      <c r="AJ57" s="118"/>
      <c r="AK57" s="120">
        <f t="shared" si="39"/>
        <v>0</v>
      </c>
      <c r="AL57" s="121">
        <f t="shared" si="40"/>
        <v>0</v>
      </c>
      <c r="AM57" s="122"/>
      <c r="AN57" s="123">
        <f t="shared" si="41"/>
        <v>0</v>
      </c>
      <c r="AO57" s="124">
        <f t="shared" si="42"/>
        <v>0</v>
      </c>
      <c r="AP57" s="124">
        <f t="shared" si="43"/>
        <v>0</v>
      </c>
      <c r="AQ57" s="124">
        <f t="shared" si="44"/>
        <v>0</v>
      </c>
      <c r="AR57" s="124">
        <f t="shared" si="45"/>
        <v>0</v>
      </c>
      <c r="AS57" s="124">
        <f t="array" ref="AS57">_xlfn.IFS(S57=0,AL57,S57&lt;0,AL57/-S57,S57&gt;0,AL57/S57)</f>
        <v>0</v>
      </c>
      <c r="AT57" s="119">
        <f t="shared" si="46"/>
        <v>0</v>
      </c>
      <c r="AU57" s="119">
        <f t="shared" si="47"/>
        <v>0</v>
      </c>
      <c r="AV57" s="125"/>
      <c r="AW57" s="120">
        <f t="shared" si="48"/>
        <v>0</v>
      </c>
    </row>
    <row r="58" spans="1:49" hidden="1" outlineLevel="1">
      <c r="A58" s="114"/>
      <c r="B58" s="115"/>
      <c r="C58" s="115"/>
      <c r="D58" s="116"/>
      <c r="E58" s="117">
        <f t="shared" si="50"/>
        <v>0</v>
      </c>
      <c r="F58" s="117"/>
      <c r="G58" s="117"/>
      <c r="H58" s="117"/>
      <c r="I58" s="117"/>
      <c r="J58" s="117">
        <f t="shared" si="29"/>
        <v>0</v>
      </c>
      <c r="K58" s="114"/>
      <c r="L58" s="114"/>
      <c r="M58" s="114"/>
      <c r="N58" s="114"/>
      <c r="O58" s="117">
        <f t="shared" si="30"/>
        <v>0</v>
      </c>
      <c r="P58" s="117">
        <f t="shared" si="31"/>
        <v>0</v>
      </c>
      <c r="Q58" s="118"/>
      <c r="R58" s="118"/>
      <c r="S58" s="117">
        <f t="shared" si="32"/>
        <v>0</v>
      </c>
      <c r="T58" s="117"/>
      <c r="U58" s="117"/>
      <c r="V58" s="117">
        <f t="shared" si="33"/>
        <v>0</v>
      </c>
      <c r="W58" s="118"/>
      <c r="X58" s="118"/>
      <c r="Y58" s="117">
        <f t="shared" si="34"/>
        <v>0</v>
      </c>
      <c r="Z58" s="117">
        <f t="shared" si="35"/>
        <v>0</v>
      </c>
      <c r="AA58" s="119">
        <f t="shared" si="49"/>
        <v>0</v>
      </c>
      <c r="AB58" s="117">
        <f t="shared" si="36"/>
        <v>0</v>
      </c>
      <c r="AC58" s="118"/>
      <c r="AD58" s="119">
        <f t="shared" si="37"/>
        <v>0</v>
      </c>
      <c r="AE58" s="118"/>
      <c r="AF58" s="118"/>
      <c r="AG58" s="118"/>
      <c r="AH58" s="118"/>
      <c r="AI58" s="152">
        <f t="shared" si="38"/>
        <v>0</v>
      </c>
      <c r="AJ58" s="118"/>
      <c r="AK58" s="120">
        <f t="shared" si="39"/>
        <v>0</v>
      </c>
      <c r="AL58" s="121">
        <f t="shared" si="40"/>
        <v>0</v>
      </c>
      <c r="AM58" s="122"/>
      <c r="AN58" s="123">
        <f t="shared" si="41"/>
        <v>0</v>
      </c>
      <c r="AO58" s="124">
        <f t="shared" si="42"/>
        <v>0</v>
      </c>
      <c r="AP58" s="124">
        <f t="shared" si="43"/>
        <v>0</v>
      </c>
      <c r="AQ58" s="124">
        <f t="shared" si="44"/>
        <v>0</v>
      </c>
      <c r="AR58" s="124">
        <f t="shared" si="45"/>
        <v>0</v>
      </c>
      <c r="AS58" s="124">
        <f t="array" ref="AS58">_xlfn.IFS(S58=0,AL58,S58&lt;0,AL58/-S58,S58&gt;0,AL58/S58)</f>
        <v>0</v>
      </c>
      <c r="AT58" s="119">
        <f t="shared" si="46"/>
        <v>0</v>
      </c>
      <c r="AU58" s="119">
        <f t="shared" si="47"/>
        <v>0</v>
      </c>
      <c r="AV58" s="125"/>
      <c r="AW58" s="120">
        <f t="shared" si="48"/>
        <v>0</v>
      </c>
    </row>
    <row r="59" spans="1:49" hidden="1" outlineLevel="1">
      <c r="A59" s="114"/>
      <c r="B59" s="115"/>
      <c r="C59" s="115"/>
      <c r="D59" s="116"/>
      <c r="E59" s="117">
        <f t="shared" si="50"/>
        <v>0</v>
      </c>
      <c r="F59" s="117"/>
      <c r="G59" s="117"/>
      <c r="H59" s="117"/>
      <c r="I59" s="117"/>
      <c r="J59" s="117">
        <f t="shared" si="29"/>
        <v>0</v>
      </c>
      <c r="K59" s="114"/>
      <c r="L59" s="114"/>
      <c r="M59" s="114"/>
      <c r="N59" s="114"/>
      <c r="O59" s="117">
        <f t="shared" si="30"/>
        <v>0</v>
      </c>
      <c r="P59" s="117">
        <f t="shared" si="31"/>
        <v>0</v>
      </c>
      <c r="Q59" s="118"/>
      <c r="R59" s="118"/>
      <c r="S59" s="117">
        <f t="shared" si="32"/>
        <v>0</v>
      </c>
      <c r="T59" s="117"/>
      <c r="U59" s="117"/>
      <c r="V59" s="117">
        <f t="shared" si="33"/>
        <v>0</v>
      </c>
      <c r="W59" s="118"/>
      <c r="X59" s="118"/>
      <c r="Y59" s="117">
        <f t="shared" si="34"/>
        <v>0</v>
      </c>
      <c r="Z59" s="117">
        <f t="shared" si="35"/>
        <v>0</v>
      </c>
      <c r="AA59" s="119">
        <f t="shared" si="49"/>
        <v>0</v>
      </c>
      <c r="AB59" s="117">
        <f t="shared" si="36"/>
        <v>0</v>
      </c>
      <c r="AC59" s="118"/>
      <c r="AD59" s="119">
        <f t="shared" si="37"/>
        <v>0</v>
      </c>
      <c r="AE59" s="118"/>
      <c r="AF59" s="118"/>
      <c r="AG59" s="118"/>
      <c r="AH59" s="118"/>
      <c r="AI59" s="152">
        <f t="shared" si="38"/>
        <v>0</v>
      </c>
      <c r="AJ59" s="118"/>
      <c r="AK59" s="120">
        <f t="shared" si="39"/>
        <v>0</v>
      </c>
      <c r="AL59" s="121">
        <f t="shared" si="40"/>
        <v>0</v>
      </c>
      <c r="AM59" s="122"/>
      <c r="AN59" s="123">
        <f t="shared" si="41"/>
        <v>0</v>
      </c>
      <c r="AO59" s="124">
        <f t="shared" si="42"/>
        <v>0</v>
      </c>
      <c r="AP59" s="124">
        <f t="shared" si="43"/>
        <v>0</v>
      </c>
      <c r="AQ59" s="124">
        <f t="shared" si="44"/>
        <v>0</v>
      </c>
      <c r="AR59" s="124">
        <f t="shared" si="45"/>
        <v>0</v>
      </c>
      <c r="AS59" s="124">
        <f t="array" ref="AS59">_xlfn.IFS(S59=0,AL59,S59&lt;0,AL59/-S59,S59&gt;0,AL59/S59)</f>
        <v>0</v>
      </c>
      <c r="AT59" s="119">
        <f t="shared" si="46"/>
        <v>0</v>
      </c>
      <c r="AU59" s="119">
        <f t="shared" si="47"/>
        <v>0</v>
      </c>
      <c r="AV59" s="125"/>
      <c r="AW59" s="120">
        <f t="shared" si="48"/>
        <v>0</v>
      </c>
    </row>
    <row r="60" spans="1:49" hidden="1" outlineLevel="1">
      <c r="A60" s="114"/>
      <c r="B60" s="115"/>
      <c r="C60" s="115"/>
      <c r="D60" s="116"/>
      <c r="E60" s="117">
        <f t="shared" si="50"/>
        <v>0</v>
      </c>
      <c r="F60" s="117"/>
      <c r="G60" s="117"/>
      <c r="H60" s="117"/>
      <c r="I60" s="117"/>
      <c r="J60" s="117">
        <f t="shared" si="29"/>
        <v>0</v>
      </c>
      <c r="K60" s="114"/>
      <c r="L60" s="114"/>
      <c r="M60" s="114"/>
      <c r="N60" s="114"/>
      <c r="O60" s="117">
        <f t="shared" si="30"/>
        <v>0</v>
      </c>
      <c r="P60" s="117">
        <f t="shared" si="31"/>
        <v>0</v>
      </c>
      <c r="Q60" s="118"/>
      <c r="R60" s="118"/>
      <c r="S60" s="117">
        <f t="shared" si="32"/>
        <v>0</v>
      </c>
      <c r="T60" s="117"/>
      <c r="U60" s="117"/>
      <c r="V60" s="117">
        <f t="shared" si="33"/>
        <v>0</v>
      </c>
      <c r="W60" s="118"/>
      <c r="X60" s="118"/>
      <c r="Y60" s="117">
        <f t="shared" si="34"/>
        <v>0</v>
      </c>
      <c r="Z60" s="117">
        <f t="shared" si="35"/>
        <v>0</v>
      </c>
      <c r="AA60" s="119">
        <f t="shared" si="49"/>
        <v>0</v>
      </c>
      <c r="AB60" s="117">
        <f t="shared" si="36"/>
        <v>0</v>
      </c>
      <c r="AC60" s="118"/>
      <c r="AD60" s="119">
        <f t="shared" si="37"/>
        <v>0</v>
      </c>
      <c r="AE60" s="118"/>
      <c r="AF60" s="118"/>
      <c r="AG60" s="118"/>
      <c r="AH60" s="118"/>
      <c r="AI60" s="152">
        <f t="shared" si="38"/>
        <v>0</v>
      </c>
      <c r="AJ60" s="118"/>
      <c r="AK60" s="120">
        <f t="shared" si="39"/>
        <v>0</v>
      </c>
      <c r="AL60" s="121">
        <f t="shared" si="40"/>
        <v>0</v>
      </c>
      <c r="AM60" s="122"/>
      <c r="AN60" s="123">
        <f t="shared" si="41"/>
        <v>0</v>
      </c>
      <c r="AO60" s="124">
        <f t="shared" si="42"/>
        <v>0</v>
      </c>
      <c r="AP60" s="124">
        <f t="shared" si="43"/>
        <v>0</v>
      </c>
      <c r="AQ60" s="124">
        <f t="shared" si="44"/>
        <v>0</v>
      </c>
      <c r="AR60" s="124">
        <f t="shared" si="45"/>
        <v>0</v>
      </c>
      <c r="AS60" s="124">
        <f t="array" ref="AS60">_xlfn.IFS(S60=0,AL60,S60&lt;0,AL60/-S60,S60&gt;0,AL60/S60)</f>
        <v>0</v>
      </c>
      <c r="AT60" s="119">
        <f t="shared" si="46"/>
        <v>0</v>
      </c>
      <c r="AU60" s="119">
        <f t="shared" si="47"/>
        <v>0</v>
      </c>
      <c r="AV60" s="125"/>
      <c r="AW60" s="120">
        <f t="shared" si="48"/>
        <v>0</v>
      </c>
    </row>
    <row r="61" spans="1:49" hidden="1" outlineLevel="1">
      <c r="A61" s="114"/>
      <c r="B61" s="115"/>
      <c r="C61" s="115"/>
      <c r="D61" s="116"/>
      <c r="E61" s="117">
        <f t="shared" si="50"/>
        <v>0</v>
      </c>
      <c r="F61" s="117"/>
      <c r="G61" s="117"/>
      <c r="H61" s="117"/>
      <c r="I61" s="117"/>
      <c r="J61" s="117">
        <f t="shared" si="29"/>
        <v>0</v>
      </c>
      <c r="K61" s="114"/>
      <c r="L61" s="114"/>
      <c r="M61" s="114"/>
      <c r="N61" s="114"/>
      <c r="O61" s="117">
        <f t="shared" si="30"/>
        <v>0</v>
      </c>
      <c r="P61" s="117">
        <f t="shared" si="31"/>
        <v>0</v>
      </c>
      <c r="Q61" s="118"/>
      <c r="R61" s="118"/>
      <c r="S61" s="117">
        <f t="shared" si="32"/>
        <v>0</v>
      </c>
      <c r="T61" s="117"/>
      <c r="U61" s="117"/>
      <c r="V61" s="117">
        <f t="shared" si="33"/>
        <v>0</v>
      </c>
      <c r="W61" s="118"/>
      <c r="X61" s="118"/>
      <c r="Y61" s="117">
        <f t="shared" si="34"/>
        <v>0</v>
      </c>
      <c r="Z61" s="117">
        <f t="shared" si="35"/>
        <v>0</v>
      </c>
      <c r="AA61" s="119">
        <f t="shared" si="49"/>
        <v>0</v>
      </c>
      <c r="AB61" s="117">
        <f t="shared" si="36"/>
        <v>0</v>
      </c>
      <c r="AC61" s="118"/>
      <c r="AD61" s="119">
        <f t="shared" si="37"/>
        <v>0</v>
      </c>
      <c r="AE61" s="118"/>
      <c r="AF61" s="118"/>
      <c r="AG61" s="118"/>
      <c r="AH61" s="118"/>
      <c r="AI61" s="152">
        <f t="shared" si="38"/>
        <v>0</v>
      </c>
      <c r="AJ61" s="118"/>
      <c r="AK61" s="120">
        <f t="shared" si="39"/>
        <v>0</v>
      </c>
      <c r="AL61" s="121">
        <f t="shared" si="40"/>
        <v>0</v>
      </c>
      <c r="AM61" s="122"/>
      <c r="AN61" s="123">
        <f t="shared" si="41"/>
        <v>0</v>
      </c>
      <c r="AO61" s="124">
        <f t="shared" si="42"/>
        <v>0</v>
      </c>
      <c r="AP61" s="124">
        <f t="shared" si="43"/>
        <v>0</v>
      </c>
      <c r="AQ61" s="124">
        <f t="shared" si="44"/>
        <v>0</v>
      </c>
      <c r="AR61" s="124">
        <f t="shared" si="45"/>
        <v>0</v>
      </c>
      <c r="AS61" s="124">
        <f t="array" ref="AS61">_xlfn.IFS(S61=0,AL61,S61&lt;0,AL61/-S61,S61&gt;0,AL61/S61)</f>
        <v>0</v>
      </c>
      <c r="AT61" s="119">
        <f t="shared" si="46"/>
        <v>0</v>
      </c>
      <c r="AU61" s="119">
        <f t="shared" si="47"/>
        <v>0</v>
      </c>
      <c r="AV61" s="125"/>
      <c r="AW61" s="120">
        <f t="shared" si="48"/>
        <v>0</v>
      </c>
    </row>
    <row r="62" spans="1:49" hidden="1" outlineLevel="1">
      <c r="A62" s="114"/>
      <c r="B62" s="115"/>
      <c r="C62" s="115"/>
      <c r="D62" s="116"/>
      <c r="E62" s="117">
        <f t="shared" si="50"/>
        <v>0</v>
      </c>
      <c r="F62" s="117"/>
      <c r="G62" s="117"/>
      <c r="H62" s="117"/>
      <c r="I62" s="117"/>
      <c r="J62" s="117">
        <f t="shared" si="29"/>
        <v>0</v>
      </c>
      <c r="K62" s="114"/>
      <c r="L62" s="114"/>
      <c r="M62" s="114"/>
      <c r="N62" s="114"/>
      <c r="O62" s="117">
        <f t="shared" si="30"/>
        <v>0</v>
      </c>
      <c r="P62" s="117">
        <f t="shared" si="31"/>
        <v>0</v>
      </c>
      <c r="Q62" s="118"/>
      <c r="R62" s="118"/>
      <c r="S62" s="117">
        <f t="shared" si="32"/>
        <v>0</v>
      </c>
      <c r="T62" s="117"/>
      <c r="U62" s="117"/>
      <c r="V62" s="117">
        <f t="shared" si="33"/>
        <v>0</v>
      </c>
      <c r="W62" s="118"/>
      <c r="X62" s="118"/>
      <c r="Y62" s="117">
        <f t="shared" si="34"/>
        <v>0</v>
      </c>
      <c r="Z62" s="117">
        <f t="shared" si="35"/>
        <v>0</v>
      </c>
      <c r="AA62" s="119">
        <f t="shared" si="49"/>
        <v>0</v>
      </c>
      <c r="AB62" s="117">
        <f t="shared" si="36"/>
        <v>0</v>
      </c>
      <c r="AC62" s="118"/>
      <c r="AD62" s="119">
        <f t="shared" si="37"/>
        <v>0</v>
      </c>
      <c r="AE62" s="118"/>
      <c r="AF62" s="118"/>
      <c r="AG62" s="118"/>
      <c r="AH62" s="118"/>
      <c r="AI62" s="152">
        <f t="shared" si="38"/>
        <v>0</v>
      </c>
      <c r="AJ62" s="118"/>
      <c r="AK62" s="120">
        <f t="shared" si="39"/>
        <v>0</v>
      </c>
      <c r="AL62" s="121">
        <f t="shared" si="40"/>
        <v>0</v>
      </c>
      <c r="AM62" s="122"/>
      <c r="AN62" s="123">
        <f t="shared" si="41"/>
        <v>0</v>
      </c>
      <c r="AO62" s="124">
        <f t="shared" si="42"/>
        <v>0</v>
      </c>
      <c r="AP62" s="124">
        <f t="shared" si="43"/>
        <v>0</v>
      </c>
      <c r="AQ62" s="124">
        <f t="shared" si="44"/>
        <v>0</v>
      </c>
      <c r="AR62" s="124">
        <f t="shared" si="45"/>
        <v>0</v>
      </c>
      <c r="AS62" s="124">
        <f t="array" ref="AS62">_xlfn.IFS(S62=0,AL62,S62&lt;0,AL62/-S62,S62&gt;0,AL62/S62)</f>
        <v>0</v>
      </c>
      <c r="AT62" s="119">
        <f t="shared" si="46"/>
        <v>0</v>
      </c>
      <c r="AU62" s="119">
        <f t="shared" si="47"/>
        <v>0</v>
      </c>
      <c r="AV62" s="125"/>
      <c r="AW62" s="120">
        <f t="shared" si="48"/>
        <v>0</v>
      </c>
    </row>
    <row r="63" spans="1:49" hidden="1" outlineLevel="1">
      <c r="A63" s="114"/>
      <c r="B63" s="115"/>
      <c r="C63" s="115"/>
      <c r="D63" s="149"/>
      <c r="E63" s="118">
        <f t="shared" si="50"/>
        <v>0</v>
      </c>
      <c r="F63" s="117"/>
      <c r="G63" s="117"/>
      <c r="H63" s="117"/>
      <c r="I63" s="117"/>
      <c r="J63" s="117">
        <f t="shared" si="29"/>
        <v>0</v>
      </c>
      <c r="K63" s="114"/>
      <c r="L63" s="114"/>
      <c r="M63" s="114"/>
      <c r="N63" s="114"/>
      <c r="O63" s="117">
        <f t="shared" si="30"/>
        <v>0</v>
      </c>
      <c r="P63" s="117">
        <f t="shared" si="31"/>
        <v>0</v>
      </c>
      <c r="Q63" s="118"/>
      <c r="R63" s="118"/>
      <c r="S63" s="117">
        <f t="shared" si="32"/>
        <v>0</v>
      </c>
      <c r="T63" s="117"/>
      <c r="U63" s="117"/>
      <c r="V63" s="117">
        <f t="shared" si="33"/>
        <v>0</v>
      </c>
      <c r="W63" s="118"/>
      <c r="X63" s="118"/>
      <c r="Y63" s="117">
        <f t="shared" si="34"/>
        <v>0</v>
      </c>
      <c r="Z63" s="117">
        <f t="shared" si="35"/>
        <v>0</v>
      </c>
      <c r="AA63" s="119">
        <f t="shared" si="49"/>
        <v>0</v>
      </c>
      <c r="AB63" s="117">
        <f t="shared" si="36"/>
        <v>0</v>
      </c>
      <c r="AC63" s="118"/>
      <c r="AD63" s="119">
        <f t="shared" si="37"/>
        <v>0</v>
      </c>
      <c r="AE63" s="118"/>
      <c r="AF63" s="118"/>
      <c r="AG63" s="118"/>
      <c r="AH63" s="118"/>
      <c r="AI63" s="152">
        <f t="shared" si="38"/>
        <v>0</v>
      </c>
      <c r="AJ63" s="118"/>
      <c r="AK63" s="120">
        <f t="shared" si="39"/>
        <v>0</v>
      </c>
      <c r="AL63" s="121">
        <f t="shared" si="40"/>
        <v>0</v>
      </c>
      <c r="AM63" s="122"/>
      <c r="AN63" s="123">
        <f t="shared" si="41"/>
        <v>0</v>
      </c>
      <c r="AO63" s="124">
        <f t="shared" si="42"/>
        <v>0</v>
      </c>
      <c r="AP63" s="124">
        <f t="shared" si="43"/>
        <v>0</v>
      </c>
      <c r="AQ63" s="124">
        <f t="shared" si="44"/>
        <v>0</v>
      </c>
      <c r="AR63" s="124">
        <f t="shared" si="45"/>
        <v>0</v>
      </c>
      <c r="AS63" s="124">
        <f t="array" ref="AS63">_xlfn.IFS(S63=0,AL63,S63&lt;0,AL63/-S63,S63&gt;0,AL63/S63)</f>
        <v>0</v>
      </c>
      <c r="AT63" s="119">
        <f t="shared" si="46"/>
        <v>0</v>
      </c>
      <c r="AU63" s="119">
        <f t="shared" si="47"/>
        <v>0</v>
      </c>
      <c r="AV63" s="125"/>
      <c r="AW63" s="120">
        <f t="shared" si="48"/>
        <v>0</v>
      </c>
    </row>
    <row r="64" spans="1:49" hidden="1" outlineLevel="1">
      <c r="A64" s="114"/>
      <c r="B64" s="115"/>
      <c r="C64" s="115"/>
      <c r="D64" s="149"/>
      <c r="E64" s="118">
        <f t="shared" si="50"/>
        <v>0</v>
      </c>
      <c r="F64" s="117"/>
      <c r="G64" s="117"/>
      <c r="H64" s="117"/>
      <c r="I64" s="117"/>
      <c r="J64" s="117">
        <f t="shared" si="29"/>
        <v>0</v>
      </c>
      <c r="K64" s="114"/>
      <c r="L64" s="114"/>
      <c r="M64" s="114"/>
      <c r="N64" s="114"/>
      <c r="O64" s="117">
        <f t="shared" si="30"/>
        <v>0</v>
      </c>
      <c r="P64" s="117">
        <f t="shared" si="31"/>
        <v>0</v>
      </c>
      <c r="Q64" s="118"/>
      <c r="R64" s="118"/>
      <c r="S64" s="117">
        <f t="shared" si="32"/>
        <v>0</v>
      </c>
      <c r="T64" s="117"/>
      <c r="U64" s="117"/>
      <c r="V64" s="117">
        <f t="shared" si="33"/>
        <v>0</v>
      </c>
      <c r="W64" s="118"/>
      <c r="X64" s="118"/>
      <c r="Y64" s="117">
        <f t="shared" si="34"/>
        <v>0</v>
      </c>
      <c r="Z64" s="117">
        <f t="shared" si="35"/>
        <v>0</v>
      </c>
      <c r="AA64" s="119">
        <f t="shared" si="49"/>
        <v>0</v>
      </c>
      <c r="AB64" s="117">
        <f t="shared" si="36"/>
        <v>0</v>
      </c>
      <c r="AC64" s="118"/>
      <c r="AD64" s="119">
        <f t="shared" si="37"/>
        <v>0</v>
      </c>
      <c r="AE64" s="118"/>
      <c r="AF64" s="118"/>
      <c r="AG64" s="118"/>
      <c r="AH64" s="118"/>
      <c r="AI64" s="152">
        <f t="shared" si="38"/>
        <v>0</v>
      </c>
      <c r="AJ64" s="118"/>
      <c r="AK64" s="120">
        <f t="shared" si="39"/>
        <v>0</v>
      </c>
      <c r="AL64" s="121">
        <f t="shared" si="40"/>
        <v>0</v>
      </c>
      <c r="AM64" s="122"/>
      <c r="AN64" s="123">
        <f t="shared" si="41"/>
        <v>0</v>
      </c>
      <c r="AO64" s="124">
        <f t="shared" si="42"/>
        <v>0</v>
      </c>
      <c r="AP64" s="124">
        <f t="shared" si="43"/>
        <v>0</v>
      </c>
      <c r="AQ64" s="124">
        <f t="shared" si="44"/>
        <v>0</v>
      </c>
      <c r="AR64" s="124">
        <f t="shared" si="45"/>
        <v>0</v>
      </c>
      <c r="AS64" s="124">
        <f t="array" ref="AS64">_xlfn.IFS(S64=0,AL64,S64&lt;0,AL64/-S64,S64&gt;0,AL64/S64)</f>
        <v>0</v>
      </c>
      <c r="AT64" s="119">
        <f t="shared" si="46"/>
        <v>0</v>
      </c>
      <c r="AU64" s="119">
        <f t="shared" si="47"/>
        <v>0</v>
      </c>
      <c r="AV64" s="125"/>
      <c r="AW64" s="120">
        <f t="shared" si="48"/>
        <v>0</v>
      </c>
    </row>
    <row r="65" spans="1:49" hidden="1" outlineLevel="1">
      <c r="A65" s="114"/>
      <c r="B65" s="115"/>
      <c r="C65" s="115"/>
      <c r="D65" s="149"/>
      <c r="E65" s="118">
        <f t="shared" si="50"/>
        <v>0</v>
      </c>
      <c r="F65" s="117"/>
      <c r="G65" s="117"/>
      <c r="H65" s="117"/>
      <c r="I65" s="117"/>
      <c r="J65" s="117">
        <f t="shared" si="29"/>
        <v>0</v>
      </c>
      <c r="K65" s="114"/>
      <c r="L65" s="114"/>
      <c r="M65" s="114"/>
      <c r="N65" s="114"/>
      <c r="O65" s="117">
        <f t="shared" si="30"/>
        <v>0</v>
      </c>
      <c r="P65" s="117">
        <f t="shared" si="31"/>
        <v>0</v>
      </c>
      <c r="Q65" s="118"/>
      <c r="R65" s="118"/>
      <c r="S65" s="117">
        <f t="shared" si="32"/>
        <v>0</v>
      </c>
      <c r="T65" s="117"/>
      <c r="U65" s="117"/>
      <c r="V65" s="117">
        <f t="shared" si="33"/>
        <v>0</v>
      </c>
      <c r="W65" s="118"/>
      <c r="X65" s="118"/>
      <c r="Y65" s="117">
        <f t="shared" si="34"/>
        <v>0</v>
      </c>
      <c r="Z65" s="117">
        <f t="shared" si="35"/>
        <v>0</v>
      </c>
      <c r="AA65" s="119">
        <f t="shared" si="49"/>
        <v>0</v>
      </c>
      <c r="AB65" s="117">
        <f t="shared" si="36"/>
        <v>0</v>
      </c>
      <c r="AC65" s="118"/>
      <c r="AD65" s="119">
        <f t="shared" si="37"/>
        <v>0</v>
      </c>
      <c r="AE65" s="118"/>
      <c r="AF65" s="118"/>
      <c r="AG65" s="118"/>
      <c r="AH65" s="118"/>
      <c r="AI65" s="152">
        <f t="shared" si="38"/>
        <v>0</v>
      </c>
      <c r="AJ65" s="118"/>
      <c r="AK65" s="120">
        <f t="shared" si="39"/>
        <v>0</v>
      </c>
      <c r="AL65" s="121">
        <f t="shared" si="40"/>
        <v>0</v>
      </c>
      <c r="AM65" s="122"/>
      <c r="AN65" s="123">
        <f t="shared" si="41"/>
        <v>0</v>
      </c>
      <c r="AO65" s="124">
        <f t="shared" si="42"/>
        <v>0</v>
      </c>
      <c r="AP65" s="124">
        <f t="shared" si="43"/>
        <v>0</v>
      </c>
      <c r="AQ65" s="124">
        <f t="shared" si="44"/>
        <v>0</v>
      </c>
      <c r="AR65" s="124">
        <f t="shared" si="45"/>
        <v>0</v>
      </c>
      <c r="AS65" s="124">
        <f t="array" ref="AS65">_xlfn.IFS(S65=0,AL65,S65&lt;0,AL65/-S65,S65&gt;0,AL65/S65)</f>
        <v>0</v>
      </c>
      <c r="AT65" s="119">
        <f t="shared" si="46"/>
        <v>0</v>
      </c>
      <c r="AU65" s="119">
        <f t="shared" si="47"/>
        <v>0</v>
      </c>
      <c r="AV65" s="125"/>
      <c r="AW65" s="120">
        <f t="shared" si="48"/>
        <v>0</v>
      </c>
    </row>
    <row r="66" spans="1:49" hidden="1" outlineLevel="1">
      <c r="A66" s="114"/>
      <c r="B66" s="115"/>
      <c r="C66" s="115"/>
      <c r="D66" s="149"/>
      <c r="E66" s="118">
        <f t="shared" si="50"/>
        <v>0</v>
      </c>
      <c r="F66" s="117"/>
      <c r="G66" s="117"/>
      <c r="H66" s="117"/>
      <c r="I66" s="117"/>
      <c r="J66" s="117">
        <f t="shared" si="29"/>
        <v>0</v>
      </c>
      <c r="K66" s="114"/>
      <c r="L66" s="114"/>
      <c r="M66" s="114"/>
      <c r="N66" s="114"/>
      <c r="O66" s="117">
        <f t="shared" si="30"/>
        <v>0</v>
      </c>
      <c r="P66" s="117">
        <f t="shared" si="31"/>
        <v>0</v>
      </c>
      <c r="Q66" s="118"/>
      <c r="R66" s="118"/>
      <c r="S66" s="117">
        <f t="shared" si="32"/>
        <v>0</v>
      </c>
      <c r="T66" s="117"/>
      <c r="U66" s="117"/>
      <c r="V66" s="117">
        <f t="shared" si="33"/>
        <v>0</v>
      </c>
      <c r="W66" s="118"/>
      <c r="X66" s="118"/>
      <c r="Y66" s="117">
        <f t="shared" si="34"/>
        <v>0</v>
      </c>
      <c r="Z66" s="117">
        <f>L66*M66*N66/100</f>
        <v>0</v>
      </c>
      <c r="AA66" s="119">
        <f t="shared" si="49"/>
        <v>0</v>
      </c>
      <c r="AB66" s="117">
        <f t="shared" si="36"/>
        <v>0</v>
      </c>
      <c r="AC66" s="118"/>
      <c r="AD66" s="119">
        <f t="shared" si="37"/>
        <v>0</v>
      </c>
      <c r="AE66" s="118"/>
      <c r="AF66" s="118"/>
      <c r="AG66" s="118"/>
      <c r="AH66" s="118"/>
      <c r="AI66" s="152">
        <f t="shared" si="38"/>
        <v>0</v>
      </c>
      <c r="AJ66" s="118"/>
      <c r="AK66" s="120">
        <f t="shared" si="39"/>
        <v>0</v>
      </c>
      <c r="AL66" s="121">
        <f t="shared" si="40"/>
        <v>0</v>
      </c>
      <c r="AM66" s="122"/>
      <c r="AN66" s="123">
        <f t="shared" si="41"/>
        <v>0</v>
      </c>
      <c r="AO66" s="124">
        <f t="shared" si="42"/>
        <v>0</v>
      </c>
      <c r="AP66" s="124">
        <f t="shared" si="43"/>
        <v>0</v>
      </c>
      <c r="AQ66" s="124">
        <f t="shared" si="44"/>
        <v>0</v>
      </c>
      <c r="AR66" s="124">
        <f t="shared" si="45"/>
        <v>0</v>
      </c>
      <c r="AS66" s="124">
        <f t="array" ref="AS66">_xlfn.IFS(S66=0,AL66,S66&lt;0,AL66/-S66,S66&gt;0,AL66/S66)</f>
        <v>0</v>
      </c>
      <c r="AT66" s="119">
        <f t="shared" si="46"/>
        <v>0</v>
      </c>
      <c r="AU66" s="119">
        <f t="shared" si="47"/>
        <v>0</v>
      </c>
      <c r="AV66" s="125"/>
      <c r="AW66" s="120">
        <f t="shared" si="48"/>
        <v>0</v>
      </c>
    </row>
    <row r="67" spans="1:49" hidden="1" outlineLevel="1">
      <c r="A67" s="114"/>
      <c r="B67" s="115"/>
      <c r="C67" s="115"/>
      <c r="D67" s="149"/>
      <c r="E67" s="118">
        <f t="shared" si="50"/>
        <v>0</v>
      </c>
      <c r="F67" s="117"/>
      <c r="G67" s="117"/>
      <c r="H67" s="117"/>
      <c r="I67" s="117"/>
      <c r="J67" s="117">
        <f t="shared" si="29"/>
        <v>0</v>
      </c>
      <c r="K67" s="114"/>
      <c r="L67" s="114"/>
      <c r="M67" s="114"/>
      <c r="N67" s="114"/>
      <c r="O67" s="117">
        <f t="shared" si="30"/>
        <v>0</v>
      </c>
      <c r="P67" s="117">
        <f t="shared" si="31"/>
        <v>0</v>
      </c>
      <c r="Q67" s="118"/>
      <c r="R67" s="118"/>
      <c r="S67" s="117">
        <f t="shared" si="32"/>
        <v>0</v>
      </c>
      <c r="T67" s="117"/>
      <c r="U67" s="117"/>
      <c r="V67" s="117">
        <f t="shared" si="33"/>
        <v>0</v>
      </c>
      <c r="W67" s="118"/>
      <c r="X67" s="118"/>
      <c r="Y67" s="117">
        <f t="shared" si="34"/>
        <v>0</v>
      </c>
      <c r="Z67" s="117">
        <f t="shared" ref="Z67:Z70" si="51">L67*M67*N67/100</f>
        <v>0</v>
      </c>
      <c r="AA67" s="119">
        <f t="shared" si="49"/>
        <v>0</v>
      </c>
      <c r="AB67" s="117">
        <f t="shared" si="36"/>
        <v>0</v>
      </c>
      <c r="AC67" s="118"/>
      <c r="AD67" s="119">
        <f t="shared" si="37"/>
        <v>0</v>
      </c>
      <c r="AE67" s="118"/>
      <c r="AF67" s="118"/>
      <c r="AG67" s="118"/>
      <c r="AH67" s="118"/>
      <c r="AI67" s="152">
        <f t="shared" si="38"/>
        <v>0</v>
      </c>
      <c r="AJ67" s="118"/>
      <c r="AK67" s="120">
        <f t="shared" si="39"/>
        <v>0</v>
      </c>
      <c r="AL67" s="121">
        <f t="shared" si="40"/>
        <v>0</v>
      </c>
      <c r="AM67" s="122"/>
      <c r="AN67" s="123">
        <f t="shared" si="41"/>
        <v>0</v>
      </c>
      <c r="AO67" s="124">
        <f t="shared" si="42"/>
        <v>0</v>
      </c>
      <c r="AP67" s="124">
        <f t="shared" si="43"/>
        <v>0</v>
      </c>
      <c r="AQ67" s="124">
        <f t="shared" si="44"/>
        <v>0</v>
      </c>
      <c r="AR67" s="124">
        <f t="shared" si="45"/>
        <v>0</v>
      </c>
      <c r="AS67" s="124">
        <f t="array" ref="AS67">_xlfn.IFS(S67=0,AL67,S67&lt;0,AL67/-S67,S67&gt;0,AL67/S67)</f>
        <v>0</v>
      </c>
      <c r="AT67" s="119">
        <f t="shared" si="46"/>
        <v>0</v>
      </c>
      <c r="AU67" s="119">
        <f t="shared" si="47"/>
        <v>0</v>
      </c>
      <c r="AV67" s="125"/>
      <c r="AW67" s="120">
        <f t="shared" si="48"/>
        <v>0</v>
      </c>
    </row>
    <row r="68" spans="1:49" hidden="1" outlineLevel="1">
      <c r="A68" s="114"/>
      <c r="B68" s="115"/>
      <c r="C68" s="115"/>
      <c r="D68" s="116"/>
      <c r="E68" s="117">
        <f t="shared" si="50"/>
        <v>0</v>
      </c>
      <c r="F68" s="117"/>
      <c r="G68" s="117"/>
      <c r="H68" s="117"/>
      <c r="I68" s="117"/>
      <c r="J68" s="117">
        <f t="shared" si="29"/>
        <v>0</v>
      </c>
      <c r="K68" s="114"/>
      <c r="L68" s="114"/>
      <c r="M68" s="114"/>
      <c r="N68" s="114"/>
      <c r="O68" s="117">
        <f t="shared" si="30"/>
        <v>0</v>
      </c>
      <c r="P68" s="117">
        <f t="shared" si="31"/>
        <v>0</v>
      </c>
      <c r="Q68" s="118"/>
      <c r="R68" s="118"/>
      <c r="S68" s="117">
        <f t="shared" si="32"/>
        <v>0</v>
      </c>
      <c r="T68" s="117"/>
      <c r="U68" s="117"/>
      <c r="V68" s="117">
        <f t="shared" si="33"/>
        <v>0</v>
      </c>
      <c r="W68" s="118"/>
      <c r="X68" s="118"/>
      <c r="Y68" s="117">
        <f t="shared" si="34"/>
        <v>0</v>
      </c>
      <c r="Z68" s="117">
        <f t="shared" si="51"/>
        <v>0</v>
      </c>
      <c r="AA68" s="119">
        <f t="shared" si="49"/>
        <v>0</v>
      </c>
      <c r="AB68" s="117">
        <f t="shared" si="36"/>
        <v>0</v>
      </c>
      <c r="AC68" s="118"/>
      <c r="AD68" s="119">
        <f t="shared" si="37"/>
        <v>0</v>
      </c>
      <c r="AE68" s="118"/>
      <c r="AF68" s="118"/>
      <c r="AG68" s="118"/>
      <c r="AH68" s="118"/>
      <c r="AI68" s="152">
        <f t="shared" si="38"/>
        <v>0</v>
      </c>
      <c r="AJ68" s="118"/>
      <c r="AK68" s="120">
        <f t="shared" si="39"/>
        <v>0</v>
      </c>
      <c r="AL68" s="121">
        <f t="shared" si="40"/>
        <v>0</v>
      </c>
      <c r="AM68" s="122"/>
      <c r="AN68" s="123">
        <f t="shared" si="41"/>
        <v>0</v>
      </c>
      <c r="AO68" s="124">
        <f t="shared" si="42"/>
        <v>0</v>
      </c>
      <c r="AP68" s="124">
        <f t="shared" si="43"/>
        <v>0</v>
      </c>
      <c r="AQ68" s="124">
        <f t="shared" si="44"/>
        <v>0</v>
      </c>
      <c r="AR68" s="124">
        <f t="shared" si="45"/>
        <v>0</v>
      </c>
      <c r="AS68" s="124">
        <f t="array" ref="AS68">_xlfn.IFS(S68=0,AL68,S68&lt;0,AL68/-S68,S68&gt;0,AL68/S68)</f>
        <v>0</v>
      </c>
      <c r="AT68" s="119">
        <f t="shared" si="46"/>
        <v>0</v>
      </c>
      <c r="AU68" s="119">
        <f t="shared" si="47"/>
        <v>0</v>
      </c>
      <c r="AV68" s="125"/>
      <c r="AW68" s="120">
        <f t="shared" si="48"/>
        <v>0</v>
      </c>
    </row>
    <row r="69" spans="1:49" hidden="1" outlineLevel="1">
      <c r="A69" s="114"/>
      <c r="B69" s="115"/>
      <c r="C69" s="115"/>
      <c r="D69" s="116"/>
      <c r="E69" s="117">
        <f t="shared" si="50"/>
        <v>0</v>
      </c>
      <c r="F69" s="117"/>
      <c r="G69" s="117"/>
      <c r="H69" s="117"/>
      <c r="I69" s="117"/>
      <c r="J69" s="117">
        <f t="shared" si="29"/>
        <v>0</v>
      </c>
      <c r="K69" s="114"/>
      <c r="L69" s="114"/>
      <c r="M69" s="114"/>
      <c r="N69" s="114"/>
      <c r="O69" s="117">
        <f t="shared" si="30"/>
        <v>0</v>
      </c>
      <c r="P69" s="117">
        <f t="shared" si="31"/>
        <v>0</v>
      </c>
      <c r="Q69" s="118"/>
      <c r="R69" s="118"/>
      <c r="S69" s="117">
        <f t="shared" si="32"/>
        <v>0</v>
      </c>
      <c r="T69" s="117"/>
      <c r="U69" s="117"/>
      <c r="V69" s="117">
        <f t="shared" si="33"/>
        <v>0</v>
      </c>
      <c r="W69" s="118"/>
      <c r="X69" s="118"/>
      <c r="Y69" s="117">
        <f t="shared" si="34"/>
        <v>0</v>
      </c>
      <c r="Z69" s="117">
        <f t="shared" si="51"/>
        <v>0</v>
      </c>
      <c r="AA69" s="119">
        <f t="shared" si="49"/>
        <v>0</v>
      </c>
      <c r="AB69" s="117">
        <f t="shared" si="36"/>
        <v>0</v>
      </c>
      <c r="AC69" s="118"/>
      <c r="AD69" s="119">
        <f t="shared" si="37"/>
        <v>0</v>
      </c>
      <c r="AE69" s="118"/>
      <c r="AF69" s="118"/>
      <c r="AG69" s="118"/>
      <c r="AH69" s="118"/>
      <c r="AI69" s="152">
        <f t="shared" si="38"/>
        <v>0</v>
      </c>
      <c r="AJ69" s="118"/>
      <c r="AK69" s="120">
        <f t="shared" si="39"/>
        <v>0</v>
      </c>
      <c r="AL69" s="121">
        <f t="shared" si="40"/>
        <v>0</v>
      </c>
      <c r="AM69" s="122"/>
      <c r="AN69" s="123">
        <f t="shared" si="41"/>
        <v>0</v>
      </c>
      <c r="AO69" s="124">
        <f t="shared" si="42"/>
        <v>0</v>
      </c>
      <c r="AP69" s="124">
        <f t="shared" si="43"/>
        <v>0</v>
      </c>
      <c r="AQ69" s="124">
        <f t="shared" si="44"/>
        <v>0</v>
      </c>
      <c r="AR69" s="124">
        <f t="shared" si="45"/>
        <v>0</v>
      </c>
      <c r="AS69" s="124">
        <f t="array" ref="AS69">_xlfn.IFS(S69=0,AL69,S69&lt;0,AL69/-S69,S69&gt;0,AL69/S69)</f>
        <v>0</v>
      </c>
      <c r="AT69" s="119">
        <f t="shared" si="46"/>
        <v>0</v>
      </c>
      <c r="AU69" s="119">
        <f t="shared" si="47"/>
        <v>0</v>
      </c>
      <c r="AV69" s="125"/>
      <c r="AW69" s="120">
        <f t="shared" si="48"/>
        <v>0</v>
      </c>
    </row>
    <row r="70" spans="1:49" hidden="1" outlineLevel="1">
      <c r="A70" s="114"/>
      <c r="B70" s="115"/>
      <c r="C70" s="115"/>
      <c r="D70" s="116"/>
      <c r="E70" s="117">
        <f t="shared" si="50"/>
        <v>0</v>
      </c>
      <c r="F70" s="117"/>
      <c r="G70" s="117"/>
      <c r="H70" s="117"/>
      <c r="I70" s="117"/>
      <c r="J70" s="117">
        <f t="shared" si="29"/>
        <v>0</v>
      </c>
      <c r="K70" s="114"/>
      <c r="L70" s="114"/>
      <c r="M70" s="114"/>
      <c r="N70" s="114"/>
      <c r="O70" s="117">
        <f t="shared" si="30"/>
        <v>0</v>
      </c>
      <c r="P70" s="117">
        <f t="shared" si="31"/>
        <v>0</v>
      </c>
      <c r="Q70" s="118"/>
      <c r="R70" s="118"/>
      <c r="S70" s="117">
        <f t="shared" si="32"/>
        <v>0</v>
      </c>
      <c r="T70" s="117"/>
      <c r="U70" s="117"/>
      <c r="V70" s="117">
        <f t="shared" si="33"/>
        <v>0</v>
      </c>
      <c r="W70" s="118"/>
      <c r="X70" s="118"/>
      <c r="Y70" s="117">
        <f t="shared" si="34"/>
        <v>0</v>
      </c>
      <c r="Z70" s="117">
        <f t="shared" si="51"/>
        <v>0</v>
      </c>
      <c r="AA70" s="119">
        <f t="shared" si="49"/>
        <v>0</v>
      </c>
      <c r="AB70" s="117">
        <f t="shared" si="36"/>
        <v>0</v>
      </c>
      <c r="AC70" s="118"/>
      <c r="AD70" s="119">
        <f t="shared" si="37"/>
        <v>0</v>
      </c>
      <c r="AE70" s="118"/>
      <c r="AF70" s="118"/>
      <c r="AG70" s="118"/>
      <c r="AH70" s="118"/>
      <c r="AI70" s="152">
        <f t="shared" si="38"/>
        <v>0</v>
      </c>
      <c r="AJ70" s="118"/>
      <c r="AK70" s="120">
        <f t="shared" si="39"/>
        <v>0</v>
      </c>
      <c r="AL70" s="121">
        <f t="shared" si="40"/>
        <v>0</v>
      </c>
      <c r="AM70" s="122"/>
      <c r="AN70" s="123">
        <f t="shared" si="41"/>
        <v>0</v>
      </c>
      <c r="AO70" s="124">
        <f t="shared" si="42"/>
        <v>0</v>
      </c>
      <c r="AP70" s="124">
        <f t="shared" si="43"/>
        <v>0</v>
      </c>
      <c r="AQ70" s="124">
        <f t="shared" si="44"/>
        <v>0</v>
      </c>
      <c r="AR70" s="124">
        <f t="shared" si="45"/>
        <v>0</v>
      </c>
      <c r="AS70" s="124">
        <f t="array" ref="AS70">_xlfn.IFS(S70=0,AL70,S70&lt;0,AL70/-S70,S70&gt;0,AL70/S70)</f>
        <v>0</v>
      </c>
      <c r="AT70" s="119">
        <f t="shared" si="46"/>
        <v>0</v>
      </c>
      <c r="AU70" s="119">
        <f t="shared" si="47"/>
        <v>0</v>
      </c>
      <c r="AV70" s="125"/>
      <c r="AW70" s="120">
        <f t="shared" si="48"/>
        <v>0</v>
      </c>
    </row>
    <row r="71" spans="1:49" collapsed="1">
      <c r="A71" s="158"/>
      <c r="B71" s="126"/>
      <c r="C71" s="114"/>
      <c r="D71" s="158"/>
      <c r="E71" s="117"/>
      <c r="F71" s="117"/>
      <c r="G71" s="117"/>
      <c r="H71" s="117"/>
      <c r="I71" s="117"/>
      <c r="J71" s="117"/>
      <c r="K71" s="159"/>
      <c r="L71" s="160"/>
      <c r="M71" s="160"/>
      <c r="N71" s="160"/>
      <c r="O71" s="159"/>
      <c r="P71" s="159"/>
      <c r="Q71" s="117"/>
      <c r="R71" s="117"/>
      <c r="S71" s="117"/>
      <c r="T71" s="117"/>
      <c r="U71" s="117"/>
      <c r="V71" s="117"/>
      <c r="W71" s="117"/>
      <c r="X71" s="117"/>
      <c r="Y71" s="117"/>
      <c r="Z71" s="117"/>
      <c r="AA71" s="119"/>
      <c r="AB71" s="117"/>
      <c r="AC71" s="117"/>
      <c r="AD71" s="119"/>
      <c r="AE71" s="117"/>
      <c r="AF71" s="118"/>
      <c r="AG71" s="118"/>
      <c r="AH71" s="118"/>
      <c r="AI71" s="152"/>
      <c r="AJ71" s="118"/>
      <c r="AK71" s="120"/>
      <c r="AL71" s="121"/>
      <c r="AM71" s="122"/>
      <c r="AN71" s="161">
        <f>AVERAGE(AN19:AN70)</f>
        <v>0</v>
      </c>
      <c r="AO71" s="161">
        <f t="shared" ref="AO71:AU71" si="52">AVERAGE(AO19:AO70)</f>
        <v>0</v>
      </c>
      <c r="AP71" s="161">
        <f t="shared" si="52"/>
        <v>0</v>
      </c>
      <c r="AQ71" s="161">
        <f t="shared" si="52"/>
        <v>0</v>
      </c>
      <c r="AR71" s="161">
        <f t="shared" si="52"/>
        <v>0</v>
      </c>
      <c r="AS71" s="161">
        <f t="shared" si="52"/>
        <v>0</v>
      </c>
      <c r="AT71" s="162">
        <f t="shared" si="52"/>
        <v>0</v>
      </c>
      <c r="AU71" s="162">
        <f t="shared" si="52"/>
        <v>0</v>
      </c>
      <c r="AV71" s="125"/>
      <c r="AW71" s="120"/>
    </row>
    <row r="72" spans="1:49" s="171" customFormat="1" ht="15" customHeight="1">
      <c r="A72" s="163" t="s">
        <v>107</v>
      </c>
      <c r="B72" s="164"/>
      <c r="C72" s="165"/>
      <c r="D72" s="165"/>
      <c r="E72" s="165">
        <f>SUM(E19:E70)</f>
        <v>0</v>
      </c>
      <c r="F72" s="165">
        <f>SUM(F19:F70)</f>
        <v>0</v>
      </c>
      <c r="G72" s="165">
        <f>SUM(G19:G70)</f>
        <v>0</v>
      </c>
      <c r="H72" s="165">
        <f>SUM(H19:H70)</f>
        <v>0</v>
      </c>
      <c r="I72" s="165"/>
      <c r="J72" s="165">
        <f>SUM(J19:J70)</f>
        <v>0</v>
      </c>
      <c r="K72" s="165"/>
      <c r="L72" s="165">
        <f>SUM(L19:L70)</f>
        <v>0</v>
      </c>
      <c r="M72" s="165"/>
      <c r="N72" s="165"/>
      <c r="O72" s="165"/>
      <c r="P72" s="165"/>
      <c r="Q72" s="165">
        <f t="shared" ref="Q72:AC72" si="53">SUM(Q19:Q70)</f>
        <v>0</v>
      </c>
      <c r="R72" s="165">
        <f t="shared" si="53"/>
        <v>0</v>
      </c>
      <c r="S72" s="165">
        <f t="shared" si="53"/>
        <v>0</v>
      </c>
      <c r="T72" s="165">
        <f t="shared" si="53"/>
        <v>0</v>
      </c>
      <c r="U72" s="165">
        <f t="shared" si="53"/>
        <v>0</v>
      </c>
      <c r="V72" s="165">
        <f t="shared" si="53"/>
        <v>0</v>
      </c>
      <c r="W72" s="165">
        <f t="shared" si="53"/>
        <v>0</v>
      </c>
      <c r="X72" s="165">
        <f t="shared" si="53"/>
        <v>0</v>
      </c>
      <c r="Y72" s="165">
        <f t="shared" si="53"/>
        <v>0</v>
      </c>
      <c r="Z72" s="165">
        <f t="shared" si="53"/>
        <v>0</v>
      </c>
      <c r="AA72" s="166">
        <f t="shared" si="53"/>
        <v>0</v>
      </c>
      <c r="AB72" s="167">
        <f t="shared" si="53"/>
        <v>0</v>
      </c>
      <c r="AC72" s="165">
        <f t="shared" si="53"/>
        <v>0</v>
      </c>
      <c r="AD72" s="166" t="e">
        <f>AC72/Y72</f>
        <v>#DIV/0!</v>
      </c>
      <c r="AE72" s="165">
        <f t="shared" ref="AE72:AK72" si="54">SUM(AE19:AE70)</f>
        <v>0</v>
      </c>
      <c r="AF72" s="165">
        <f t="shared" si="54"/>
        <v>0</v>
      </c>
      <c r="AG72" s="165">
        <f>SUM(AG19:AG70)</f>
        <v>0</v>
      </c>
      <c r="AH72" s="165">
        <f>SUM(AH19:AH70)</f>
        <v>0</v>
      </c>
      <c r="AI72" s="168">
        <f>SUM(AI19:AI70)</f>
        <v>0</v>
      </c>
      <c r="AJ72" s="165">
        <f t="shared" si="54"/>
        <v>0</v>
      </c>
      <c r="AK72" s="165">
        <f t="shared" si="54"/>
        <v>0</v>
      </c>
      <c r="AL72" s="165">
        <f>SUM(AL19:AL70)</f>
        <v>0</v>
      </c>
      <c r="AM72" s="169"/>
      <c r="AN72" s="165"/>
      <c r="AO72" s="165"/>
      <c r="AP72" s="165"/>
      <c r="AQ72" s="165"/>
      <c r="AR72" s="165" t="e">
        <f>(AF72+AG72)/Q72</f>
        <v>#DIV/0!</v>
      </c>
      <c r="AS72" s="165"/>
      <c r="AT72" s="165"/>
      <c r="AU72" s="165"/>
      <c r="AV72" s="170"/>
      <c r="AW72" s="165">
        <f>SUM(AW19:AW70)</f>
        <v>0</v>
      </c>
    </row>
    <row r="73" spans="1:49" s="175" customFormat="1">
      <c r="A73" s="172"/>
      <c r="B73" s="173"/>
      <c r="C73" s="174"/>
      <c r="D73" s="174"/>
      <c r="L73" s="176"/>
      <c r="M73" s="176"/>
      <c r="N73" s="176"/>
      <c r="P73" s="177"/>
      <c r="Q73" s="178"/>
      <c r="R73" s="178"/>
      <c r="S73" s="179"/>
      <c r="T73" s="179"/>
      <c r="U73" s="179"/>
      <c r="V73" s="179"/>
      <c r="W73" s="178"/>
      <c r="X73" s="179"/>
      <c r="Y73" s="179"/>
      <c r="Z73" s="179"/>
      <c r="AC73" s="180"/>
      <c r="AE73" s="178"/>
      <c r="AF73" s="347"/>
      <c r="AG73" s="347"/>
      <c r="AH73" s="237"/>
      <c r="AI73" s="182"/>
      <c r="AJ73" s="183"/>
      <c r="AM73" s="184"/>
      <c r="AN73" s="176"/>
      <c r="AO73" s="176"/>
      <c r="AP73" s="176"/>
      <c r="AQ73" s="176"/>
      <c r="AR73" s="176"/>
      <c r="AS73" s="176"/>
      <c r="AT73" s="176"/>
      <c r="AU73" s="176"/>
      <c r="AV73" s="185"/>
    </row>
    <row r="74" spans="1:49" s="194" customFormat="1">
      <c r="A74" s="186" t="s">
        <v>7</v>
      </c>
      <c r="B74" s="187"/>
      <c r="C74" s="188"/>
      <c r="D74" s="188"/>
      <c r="E74" s="188">
        <f t="shared" ref="E74:AC74" si="55">E17+E72</f>
        <v>0</v>
      </c>
      <c r="F74" s="188">
        <f t="shared" si="55"/>
        <v>0</v>
      </c>
      <c r="G74" s="188">
        <f t="shared" si="55"/>
        <v>0</v>
      </c>
      <c r="H74" s="188">
        <f t="shared" si="55"/>
        <v>2500</v>
      </c>
      <c r="I74" s="188">
        <f t="shared" si="55"/>
        <v>0</v>
      </c>
      <c r="J74" s="188">
        <f t="shared" si="55"/>
        <v>0</v>
      </c>
      <c r="K74" s="188">
        <f t="shared" si="55"/>
        <v>0</v>
      </c>
      <c r="L74" s="188">
        <f t="shared" si="55"/>
        <v>86</v>
      </c>
      <c r="M74" s="188">
        <f t="shared" si="55"/>
        <v>0</v>
      </c>
      <c r="N74" s="188">
        <f t="shared" si="55"/>
        <v>0</v>
      </c>
      <c r="O74" s="188">
        <f t="shared" si="55"/>
        <v>0</v>
      </c>
      <c r="P74" s="188">
        <f t="shared" si="55"/>
        <v>0</v>
      </c>
      <c r="Q74" s="188">
        <f t="shared" si="55"/>
        <v>43</v>
      </c>
      <c r="R74" s="188">
        <f t="shared" si="55"/>
        <v>-1</v>
      </c>
      <c r="S74" s="188">
        <f t="shared" si="55"/>
        <v>42</v>
      </c>
      <c r="T74" s="188">
        <f t="shared" si="55"/>
        <v>43245.32</v>
      </c>
      <c r="U74" s="188">
        <f t="shared" si="55"/>
        <v>-931</v>
      </c>
      <c r="V74" s="188">
        <f t="shared" si="55"/>
        <v>42314.32</v>
      </c>
      <c r="W74" s="188">
        <f t="shared" si="55"/>
        <v>52197.86</v>
      </c>
      <c r="X74" s="188">
        <f t="shared" si="55"/>
        <v>-1199</v>
      </c>
      <c r="Y74" s="188">
        <f t="shared" si="55"/>
        <v>50998.86</v>
      </c>
      <c r="Z74" s="188">
        <f t="shared" si="55"/>
        <v>58556.599999999991</v>
      </c>
      <c r="AA74" s="189">
        <f t="shared" si="55"/>
        <v>1</v>
      </c>
      <c r="AB74" s="190">
        <f t="shared" si="55"/>
        <v>5562.9000000000005</v>
      </c>
      <c r="AC74" s="188">
        <f t="shared" si="55"/>
        <v>18463.039999999997</v>
      </c>
      <c r="AD74" s="189">
        <f>AC74/Y74</f>
        <v>0.36202848455828224</v>
      </c>
      <c r="AE74" s="190">
        <f>AE17+AE72</f>
        <v>5752.8</v>
      </c>
      <c r="AF74" s="191">
        <f>AF17+AF72</f>
        <v>0</v>
      </c>
      <c r="AG74" s="191">
        <f>AG17+AG72</f>
        <v>6535</v>
      </c>
      <c r="AH74" s="191">
        <f>AH17+AH72</f>
        <v>0</v>
      </c>
      <c r="AI74" s="192">
        <v>1083.1099999999999</v>
      </c>
      <c r="AJ74" s="188">
        <f>AJ17+AJ72</f>
        <v>0</v>
      </c>
      <c r="AK74" s="188">
        <f>AK17+AK72</f>
        <v>423.14320000000004</v>
      </c>
      <c r="AL74" s="188">
        <f>AL17+AL72</f>
        <v>13178.866799999998</v>
      </c>
      <c r="AM74" s="188"/>
      <c r="AN74" s="188"/>
      <c r="AO74" s="188"/>
      <c r="AP74" s="188"/>
      <c r="AQ74" s="188"/>
      <c r="AR74" s="188">
        <f>(AF74+AG74)/Q74</f>
        <v>151.97674418604652</v>
      </c>
      <c r="AS74" s="188"/>
      <c r="AT74" s="188"/>
      <c r="AU74" s="188"/>
      <c r="AV74" s="193"/>
      <c r="AW74" s="188">
        <f>AW17+AW72</f>
        <v>0</v>
      </c>
    </row>
    <row r="75" spans="1:49" s="175" customFormat="1">
      <c r="A75" s="174"/>
      <c r="B75" s="173"/>
      <c r="C75" s="195"/>
      <c r="D75" s="174"/>
      <c r="L75" s="176"/>
      <c r="M75" s="176"/>
      <c r="N75" s="176"/>
      <c r="P75" s="177"/>
      <c r="Q75" s="178"/>
      <c r="R75" s="178"/>
      <c r="S75" s="179"/>
      <c r="T75" s="179"/>
      <c r="U75" s="179"/>
      <c r="V75" s="179"/>
      <c r="W75" s="178"/>
      <c r="X75" s="179"/>
      <c r="Y75" s="179"/>
      <c r="Z75" s="179"/>
      <c r="AC75" s="180"/>
      <c r="AE75" s="196"/>
      <c r="AF75" s="347">
        <f>AF18+AF73</f>
        <v>0</v>
      </c>
      <c r="AG75" s="347"/>
      <c r="AH75" s="237"/>
      <c r="AI75" s="182"/>
      <c r="AJ75" s="183"/>
      <c r="AM75" s="184"/>
      <c r="AN75" s="184"/>
      <c r="AO75" s="184"/>
      <c r="AP75" s="184"/>
      <c r="AQ75" s="184"/>
      <c r="AR75" s="184"/>
      <c r="AS75" s="184"/>
      <c r="AT75" s="184"/>
      <c r="AU75" s="184"/>
      <c r="AV75" s="185"/>
    </row>
    <row r="76" spans="1:49">
      <c r="C76" s="198"/>
      <c r="D76" s="198"/>
    </row>
    <row r="77" spans="1:49">
      <c r="C77" s="198"/>
      <c r="D77" s="198"/>
    </row>
  </sheetData>
  <mergeCells count="10">
    <mergeCell ref="AN1:AU1"/>
    <mergeCell ref="AF18:AG18"/>
    <mergeCell ref="AF73:AG73"/>
    <mergeCell ref="AF75:AG75"/>
    <mergeCell ref="F1:H1"/>
    <mergeCell ref="L1:N1"/>
    <mergeCell ref="Q1:R1"/>
    <mergeCell ref="T1:U1"/>
    <mergeCell ref="W1:X1"/>
    <mergeCell ref="AF1:AG1"/>
  </mergeCells>
  <conditionalFormatting sqref="K71:M71 K18:K70 K3:K16">
    <cfRule type="cellIs" dxfId="6" priority="3" operator="greaterThan">
      <formula>120</formula>
    </cfRule>
  </conditionalFormatting>
  <conditionalFormatting sqref="O71">
    <cfRule type="cellIs" dxfId="5" priority="2" operator="between">
      <formula>0.000001</formula>
      <formula>25</formula>
    </cfRule>
  </conditionalFormatting>
  <conditionalFormatting sqref="AA1 AA73 AA75:AA1048576">
    <cfRule type="cellIs" dxfId="4" priority="4" operator="greaterThan">
      <formula>0.23</formula>
    </cfRule>
  </conditionalFormatting>
  <conditionalFormatting sqref="Y18:AA71 Y3:AA16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{11DB7E2B-0D33-4AA2-B3B5-98E44A8A6287}</x14:id>
        </ext>
      </extLst>
    </cfRule>
  </conditionalFormatting>
  <conditionalFormatting sqref="AS18:AS70 AS3:AS15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{BBDC22F8-14EE-4097-8EF7-D52AB8B1CB2C}</x14:id>
        </ext>
      </extLst>
    </cfRule>
  </conditionalFormatting>
  <conditionalFormatting sqref="AT18:AU70 AT3:AU15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{5EFD8DDD-4E65-4543-9846-F8868129B0B6}</x14:id>
        </ext>
      </extLst>
    </cfRule>
  </conditionalFormatting>
  <conditionalFormatting sqref="AW18:AW71 AW3:AW16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{C452A252-69FB-4857-83B2-30A60C63DE9A}</x14:id>
        </ext>
      </extLst>
    </cfRule>
  </conditionalFormatting>
  <conditionalFormatting sqref="AA18:AA70 AA3:AA16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{526480B8-44A7-417D-8C48-1336AB6645C2}</x14:id>
        </ext>
      </extLst>
    </cfRule>
  </conditionalFormatting>
  <conditionalFormatting sqref="AW18:AW70 AW3:AW16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{3DAFDF7D-57A8-4427-9C1A-CFEF9825A30D}</x14:id>
        </ext>
      </extLst>
    </cfRule>
  </conditionalFormatting>
  <conditionalFormatting sqref="AL18:AL71 AL3:AL16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{2690CB97-ACA9-451E-8A75-C379000C4584}</x14:id>
        </ext>
      </extLst>
    </cfRule>
  </conditionalFormatting>
  <conditionalFormatting sqref="AL18:AL70 AL3:AL16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{016D357B-BDEF-4FDD-BB57-3C4ED5F3D0F7}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1DB7E2B-0D33-4AA2-B3B5-98E44A8A628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Y18:AA71 Y3:AA16</xm:sqref>
        </x14:conditionalFormatting>
        <x14:conditionalFormatting xmlns:xm="http://schemas.microsoft.com/office/excel/2006/main">
          <x14:cfRule type="dataBar" id="{BBDC22F8-14EE-4097-8EF7-D52AB8B1CB2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AS18:AS70 AS3:AS15</xm:sqref>
        </x14:conditionalFormatting>
        <x14:conditionalFormatting xmlns:xm="http://schemas.microsoft.com/office/excel/2006/main">
          <x14:cfRule type="dataBar" id="{5EFD8DDD-4E65-4543-9846-F8868129B0B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AT18:AU70 AT3:AU15</xm:sqref>
        </x14:conditionalFormatting>
        <x14:conditionalFormatting xmlns:xm="http://schemas.microsoft.com/office/excel/2006/main">
          <x14:cfRule type="dataBar" id="{C452A252-69FB-4857-83B2-30A60C63DE9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AW18:AW71 AW3:AW16</xm:sqref>
        </x14:conditionalFormatting>
        <x14:conditionalFormatting xmlns:xm="http://schemas.microsoft.com/office/excel/2006/main">
          <x14:cfRule type="dataBar" id="{526480B8-44A7-417D-8C48-1336AB6645C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AA18:AA70 AA3:AA16</xm:sqref>
        </x14:conditionalFormatting>
        <x14:conditionalFormatting xmlns:xm="http://schemas.microsoft.com/office/excel/2006/main">
          <x14:cfRule type="dataBar" id="{3DAFDF7D-57A8-4427-9C1A-CFEF9825A30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AW18:AW70 AW3:AW16</xm:sqref>
        </x14:conditionalFormatting>
        <x14:conditionalFormatting xmlns:xm="http://schemas.microsoft.com/office/excel/2006/main">
          <x14:cfRule type="dataBar" id="{2690CB97-ACA9-451E-8A75-C379000C458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AL18:AL71 AL3:AL16</xm:sqref>
        </x14:conditionalFormatting>
        <x14:conditionalFormatting xmlns:xm="http://schemas.microsoft.com/office/excel/2006/main">
          <x14:cfRule type="dataBar" id="{016D357B-BDEF-4FDD-BB57-3C4ED5F3D0F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AL18:AL70 AL3:AL16</xm:sqref>
        </x14:conditionalFormatting>
      </x14:conditionalFormatting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E74D7-3683-4A21-BC77-A7C6D47BECD9}">
  <dimension ref="A1:AW77"/>
  <sheetViews>
    <sheetView zoomScale="70" zoomScaleNormal="70" workbookViewId="0">
      <pane xSplit="3" ySplit="2" topLeftCell="AC3" activePane="bottomRight" state="frozen"/>
      <selection pane="topRight" activeCell="D1" sqref="D1"/>
      <selection pane="bottomLeft" activeCell="A3" sqref="A3"/>
      <selection pane="bottomRight" activeCell="AI13" sqref="AI13"/>
    </sheetView>
  </sheetViews>
  <sheetFormatPr defaultColWidth="12.54296875" defaultRowHeight="14.5" outlineLevelRow="1"/>
  <cols>
    <col min="1" max="1" width="9.08984375" style="197" customWidth="1"/>
    <col min="2" max="2" width="12.54296875" style="202"/>
    <col min="3" max="3" width="19.90625" style="197" customWidth="1"/>
    <col min="4" max="4" width="16.6328125" style="197" customWidth="1"/>
    <col min="5" max="5" width="12.36328125" style="126" customWidth="1"/>
    <col min="6" max="6" width="10.90625" style="126" customWidth="1"/>
    <col min="7" max="8" width="12.36328125" style="126" customWidth="1"/>
    <col min="9" max="9" width="13.36328125" style="126" customWidth="1"/>
    <col min="10" max="10" width="14.1796875" style="126" customWidth="1"/>
    <col min="11" max="11" width="14.26953125" style="126" customWidth="1"/>
    <col min="12" max="12" width="13.6328125" style="126" customWidth="1"/>
    <col min="13" max="13" width="15.08984375" style="126" customWidth="1"/>
    <col min="14" max="14" width="14.54296875" style="126" customWidth="1"/>
    <col min="15" max="16" width="11" style="126" customWidth="1"/>
    <col min="17" max="17" width="11.1796875" style="126" customWidth="1"/>
    <col min="18" max="18" width="12.08984375" style="126" customWidth="1"/>
    <col min="19" max="22" width="11.26953125" style="199" customWidth="1"/>
    <col min="23" max="23" width="13.1796875" style="199" customWidth="1"/>
    <col min="24" max="24" width="12.36328125" style="199" customWidth="1"/>
    <col min="25" max="25" width="20.7265625" style="199" customWidth="1"/>
    <col min="26" max="26" width="15.90625" style="199" customWidth="1"/>
    <col min="27" max="27" width="13.36328125" style="200" customWidth="1"/>
    <col min="28" max="28" width="14.453125" style="126" customWidth="1"/>
    <col min="29" max="29" width="17.81640625" style="126" customWidth="1"/>
    <col min="30" max="30" width="14.26953125" style="126" customWidth="1"/>
    <col min="31" max="31" width="19.08984375" style="126" customWidth="1"/>
    <col min="32" max="34" width="10.36328125" style="117" customWidth="1"/>
    <col min="35" max="35" width="18.08984375" style="201" customWidth="1"/>
    <col min="36" max="36" width="18.6328125" style="117" customWidth="1"/>
    <col min="37" max="37" width="12.54296875" style="126"/>
    <col min="38" max="38" width="18.90625" style="126" customWidth="1"/>
    <col min="39" max="39" width="3.08984375" style="126" customWidth="1"/>
    <col min="40" max="40" width="19.90625" style="126" customWidth="1"/>
    <col min="41" max="41" width="14.26953125" style="126" customWidth="1"/>
    <col min="42" max="42" width="9.6328125" style="126" customWidth="1"/>
    <col min="43" max="43" width="11.1796875" style="126" customWidth="1"/>
    <col min="44" max="44" width="9.54296875" style="126" customWidth="1"/>
    <col min="45" max="45" width="10.1796875" style="126" customWidth="1"/>
    <col min="46" max="46" width="11.7265625" style="126" customWidth="1"/>
    <col min="47" max="47" width="12.54296875" style="126"/>
    <col min="48" max="48" width="3.36328125" style="140" customWidth="1"/>
    <col min="49" max="16384" width="12.54296875" style="126"/>
  </cols>
  <sheetData>
    <row r="1" spans="1:49" s="95" customFormat="1" ht="16" customHeight="1">
      <c r="A1" s="92" t="s">
        <v>135</v>
      </c>
      <c r="B1" s="93"/>
      <c r="C1" s="92"/>
      <c r="D1" s="92"/>
      <c r="E1" s="94"/>
      <c r="F1" s="348" t="s">
        <v>47</v>
      </c>
      <c r="G1" s="348"/>
      <c r="H1" s="348"/>
      <c r="K1" s="234" t="s">
        <v>48</v>
      </c>
      <c r="L1" s="348" t="s">
        <v>49</v>
      </c>
      <c r="M1" s="348"/>
      <c r="N1" s="348"/>
      <c r="P1" s="96"/>
      <c r="Q1" s="349"/>
      <c r="R1" s="349"/>
      <c r="S1" s="240"/>
      <c r="T1" s="350"/>
      <c r="U1" s="351"/>
      <c r="V1" s="240"/>
      <c r="W1" s="349"/>
      <c r="X1" s="349"/>
      <c r="Y1" s="96"/>
      <c r="Z1" s="96"/>
      <c r="AA1" s="96"/>
      <c r="AB1" s="96"/>
      <c r="AC1" s="239"/>
      <c r="AD1" s="240"/>
      <c r="AE1" s="239"/>
      <c r="AF1" s="352"/>
      <c r="AG1" s="352"/>
      <c r="AH1" s="235"/>
      <c r="AI1" s="97" t="s">
        <v>50</v>
      </c>
      <c r="AJ1" s="239"/>
      <c r="AM1" s="98"/>
      <c r="AN1" s="343" t="s">
        <v>51</v>
      </c>
      <c r="AO1" s="344"/>
      <c r="AP1" s="344"/>
      <c r="AQ1" s="344"/>
      <c r="AR1" s="344"/>
      <c r="AS1" s="344"/>
      <c r="AT1" s="344"/>
      <c r="AU1" s="345"/>
      <c r="AV1" s="99"/>
    </row>
    <row r="2" spans="1:49" s="113" customFormat="1" ht="50.5" customHeight="1">
      <c r="A2" s="100" t="s">
        <v>52</v>
      </c>
      <c r="B2" s="101" t="s">
        <v>53</v>
      </c>
      <c r="C2" s="100" t="s">
        <v>54</v>
      </c>
      <c r="D2" s="100" t="s">
        <v>55</v>
      </c>
      <c r="E2" s="100" t="s">
        <v>56</v>
      </c>
      <c r="F2" s="102" t="s">
        <v>57</v>
      </c>
      <c r="G2" s="102" t="s">
        <v>58</v>
      </c>
      <c r="H2" s="102" t="s">
        <v>59</v>
      </c>
      <c r="I2" s="100" t="s">
        <v>60</v>
      </c>
      <c r="J2" s="100" t="s">
        <v>61</v>
      </c>
      <c r="K2" s="103" t="s">
        <v>62</v>
      </c>
      <c r="L2" s="103" t="s">
        <v>63</v>
      </c>
      <c r="M2" s="103" t="s">
        <v>64</v>
      </c>
      <c r="N2" s="103" t="s">
        <v>65</v>
      </c>
      <c r="O2" s="104" t="s">
        <v>66</v>
      </c>
      <c r="P2" s="104" t="s">
        <v>67</v>
      </c>
      <c r="Q2" s="105" t="s">
        <v>68</v>
      </c>
      <c r="R2" s="105" t="s">
        <v>69</v>
      </c>
      <c r="S2" s="100" t="s">
        <v>70</v>
      </c>
      <c r="T2" s="102" t="s">
        <v>71</v>
      </c>
      <c r="U2" s="102" t="s">
        <v>72</v>
      </c>
      <c r="V2" s="106" t="s">
        <v>73</v>
      </c>
      <c r="W2" s="105" t="s">
        <v>74</v>
      </c>
      <c r="X2" s="105" t="s">
        <v>75</v>
      </c>
      <c r="Y2" s="107" t="s">
        <v>76</v>
      </c>
      <c r="Z2" s="108" t="s">
        <v>77</v>
      </c>
      <c r="AA2" s="107" t="s">
        <v>78</v>
      </c>
      <c r="AB2" s="107" t="s">
        <v>18</v>
      </c>
      <c r="AC2" s="109" t="s">
        <v>79</v>
      </c>
      <c r="AD2" s="110" t="s">
        <v>80</v>
      </c>
      <c r="AE2" s="105" t="s">
        <v>8</v>
      </c>
      <c r="AF2" s="104" t="s">
        <v>25</v>
      </c>
      <c r="AG2" s="104" t="s">
        <v>26</v>
      </c>
      <c r="AH2" s="104" t="s">
        <v>27</v>
      </c>
      <c r="AI2" s="105" t="s">
        <v>9</v>
      </c>
      <c r="AJ2" s="105" t="s">
        <v>81</v>
      </c>
      <c r="AK2" s="100" t="s">
        <v>82</v>
      </c>
      <c r="AL2" s="100" t="s">
        <v>11</v>
      </c>
      <c r="AM2" s="111"/>
      <c r="AN2" s="110" t="s">
        <v>83</v>
      </c>
      <c r="AO2" s="110" t="s">
        <v>84</v>
      </c>
      <c r="AP2" s="110" t="s">
        <v>85</v>
      </c>
      <c r="AQ2" s="110" t="s">
        <v>86</v>
      </c>
      <c r="AR2" s="110" t="s">
        <v>87</v>
      </c>
      <c r="AS2" s="110" t="s">
        <v>88</v>
      </c>
      <c r="AT2" s="110" t="s">
        <v>89</v>
      </c>
      <c r="AU2" s="110" t="s">
        <v>90</v>
      </c>
      <c r="AV2" s="112"/>
      <c r="AW2" s="100" t="s">
        <v>91</v>
      </c>
    </row>
    <row r="3" spans="1:49" outlineLevel="1">
      <c r="A3" s="114"/>
      <c r="B3" s="115">
        <v>341479791</v>
      </c>
      <c r="C3" s="115" t="s">
        <v>92</v>
      </c>
      <c r="D3" s="116" t="s">
        <v>93</v>
      </c>
      <c r="E3" s="118"/>
      <c r="F3" s="117"/>
      <c r="G3" s="117"/>
      <c r="H3" s="238">
        <v>449</v>
      </c>
      <c r="I3" s="117">
        <v>142.97999999999999</v>
      </c>
      <c r="J3" s="117">
        <f t="shared" ref="J3:J15" si="0">E3*I3</f>
        <v>0</v>
      </c>
      <c r="K3" s="114"/>
      <c r="L3" s="114">
        <v>10</v>
      </c>
      <c r="M3" s="114">
        <v>1300</v>
      </c>
      <c r="N3" s="114">
        <v>56</v>
      </c>
      <c r="O3" s="213">
        <f t="shared" ref="O3:O15" si="1">L3/7</f>
        <v>1.4285714285714286</v>
      </c>
      <c r="P3" s="117">
        <f t="shared" ref="P3" si="2">S3/7</f>
        <v>0.5714285714285714</v>
      </c>
      <c r="Q3" s="118">
        <v>4</v>
      </c>
      <c r="R3" s="118">
        <v>0</v>
      </c>
      <c r="S3" s="117">
        <f>Q3+R3</f>
        <v>4</v>
      </c>
      <c r="T3" s="118">
        <v>4149.08</v>
      </c>
      <c r="U3" s="118">
        <v>0</v>
      </c>
      <c r="V3" s="117">
        <f>T3+U3</f>
        <v>4149.08</v>
      </c>
      <c r="W3" s="118">
        <v>5137.7700000000004</v>
      </c>
      <c r="X3" s="118">
        <v>0</v>
      </c>
      <c r="Y3" s="117">
        <f t="shared" ref="Y3:Y15" si="3">W3+X3</f>
        <v>5137.7700000000004</v>
      </c>
      <c r="Z3" s="117">
        <f>L3*M3*N3/100</f>
        <v>7280</v>
      </c>
      <c r="AA3" s="119">
        <f t="shared" ref="AA3:AA15" si="4">Y3/$Y$74</f>
        <v>9.3433332205827307E-2</v>
      </c>
      <c r="AB3" s="117">
        <f>S3*I3</f>
        <v>571.91999999999996</v>
      </c>
      <c r="AC3" s="118">
        <v>1855.3900000000003</v>
      </c>
      <c r="AD3" s="119">
        <f t="shared" ref="AD3:AD15" si="5">IF(Y3=0,0,AC3/Y3)</f>
        <v>0.36112749305632602</v>
      </c>
      <c r="AE3" s="118">
        <v>658.19999999999993</v>
      </c>
      <c r="AF3" s="118"/>
      <c r="AG3" s="118">
        <v>628</v>
      </c>
      <c r="AH3" s="118">
        <v>0</v>
      </c>
      <c r="AI3" s="152">
        <f>IFERROR($AI$74*H3/$H$74,0)</f>
        <v>188.51354800000001</v>
      </c>
      <c r="AJ3" s="118">
        <v>0</v>
      </c>
      <c r="AK3" s="120">
        <f>V3*1%</f>
        <v>41.4908</v>
      </c>
      <c r="AL3" s="121">
        <f>Y3-AB3-AC3-AE3-AF3-AG3-AH3-AI3-AK3-AJ3</f>
        <v>1194.2556520000003</v>
      </c>
      <c r="AM3" s="122"/>
      <c r="AN3" s="123">
        <f t="shared" ref="AN3:AN15" si="6">IF(S3=0,0,Y3/S3)</f>
        <v>1284.4425000000001</v>
      </c>
      <c r="AO3" s="124">
        <f t="shared" ref="AO3:AO15" si="7">I3</f>
        <v>142.97999999999999</v>
      </c>
      <c r="AP3" s="124">
        <f t="shared" ref="AP3:AP15" si="8">IF(S3=0,0,AC3/S3)</f>
        <v>463.84750000000008</v>
      </c>
      <c r="AQ3" s="124">
        <f>IF(Q3=0,AE3/1,AE3/Q3)</f>
        <v>164.54999999999998</v>
      </c>
      <c r="AR3" s="124">
        <f>IF(Q3=0,0,(AF3+AG3)/Q3)</f>
        <v>157</v>
      </c>
      <c r="AS3" s="124">
        <f>_xlfn.IFS(S3=0,AL3,S3&lt;0,AL3/-S3,S3&gt;0,AL3/S3)</f>
        <v>298.56391300000007</v>
      </c>
      <c r="AT3" s="119">
        <f t="shared" ref="AT3" si="9">IF(AN3=0,0,AS3/AN3)</f>
        <v>0.23244630491438897</v>
      </c>
      <c r="AU3" s="119">
        <f t="shared" ref="AU3" si="10">IF(AO3=0,0,AS3/AO3)</f>
        <v>2.0881515806406497</v>
      </c>
      <c r="AV3" s="125"/>
      <c r="AW3" s="120">
        <f t="shared" ref="AW3:AW15" si="11">AS3*E3</f>
        <v>0</v>
      </c>
    </row>
    <row r="4" spans="1:49" outlineLevel="1">
      <c r="A4" s="114"/>
      <c r="B4" s="115">
        <v>340343575</v>
      </c>
      <c r="C4" s="115" t="s">
        <v>94</v>
      </c>
      <c r="D4" s="116" t="s">
        <v>93</v>
      </c>
      <c r="E4" s="118"/>
      <c r="F4" s="117"/>
      <c r="G4" s="117"/>
      <c r="H4" s="238">
        <v>284</v>
      </c>
      <c r="I4" s="117">
        <v>123.09</v>
      </c>
      <c r="J4" s="117">
        <f t="shared" si="0"/>
        <v>0</v>
      </c>
      <c r="K4" s="114"/>
      <c r="L4" s="114">
        <v>0</v>
      </c>
      <c r="M4" s="114">
        <v>0</v>
      </c>
      <c r="N4" s="114">
        <v>0</v>
      </c>
      <c r="O4" s="213">
        <f t="shared" si="1"/>
        <v>0</v>
      </c>
      <c r="P4" s="117">
        <f>S4/7</f>
        <v>0</v>
      </c>
      <c r="Q4" s="118">
        <v>0</v>
      </c>
      <c r="R4" s="118">
        <v>0</v>
      </c>
      <c r="S4" s="117">
        <f t="shared" ref="S4:S15" si="12">Q4+R4</f>
        <v>0</v>
      </c>
      <c r="T4" s="118">
        <v>0</v>
      </c>
      <c r="U4" s="118">
        <v>0</v>
      </c>
      <c r="V4" s="117">
        <f t="shared" ref="V4:V15" si="13">T4+U4</f>
        <v>0</v>
      </c>
      <c r="W4" s="118">
        <v>0</v>
      </c>
      <c r="X4" s="118">
        <v>0</v>
      </c>
      <c r="Y4" s="117">
        <f t="shared" si="3"/>
        <v>0</v>
      </c>
      <c r="Z4" s="117">
        <f t="shared" ref="Z4:Z15" si="14">L4*M4*N4/100</f>
        <v>0</v>
      </c>
      <c r="AA4" s="119">
        <f t="shared" si="4"/>
        <v>0</v>
      </c>
      <c r="AB4" s="117">
        <f t="shared" ref="AB4:AB15" si="15">S4*I4</f>
        <v>0</v>
      </c>
      <c r="AC4" s="118">
        <v>0</v>
      </c>
      <c r="AD4" s="119">
        <f t="shared" si="5"/>
        <v>0</v>
      </c>
      <c r="AE4" s="118">
        <v>0</v>
      </c>
      <c r="AF4" s="118"/>
      <c r="AG4" s="118">
        <v>1</v>
      </c>
      <c r="AH4" s="118">
        <v>0</v>
      </c>
      <c r="AI4" s="152">
        <f t="shared" ref="AI4:AI15" si="16">IFERROR($AI$74*H4/$H$74,0)</f>
        <v>119.23796800000002</v>
      </c>
      <c r="AJ4" s="118">
        <v>0</v>
      </c>
      <c r="AK4" s="120">
        <f t="shared" ref="AK4:AK15" si="17">V4*1%</f>
        <v>0</v>
      </c>
      <c r="AL4" s="121">
        <f t="shared" ref="AL4:AL15" si="18">Y4-AB4-AC4-AE4-AF4-AG4-AH4-AI4-AK4-AJ4</f>
        <v>-120.23796800000002</v>
      </c>
      <c r="AM4" s="122"/>
      <c r="AN4" s="123">
        <f t="shared" si="6"/>
        <v>0</v>
      </c>
      <c r="AO4" s="124">
        <f t="shared" si="7"/>
        <v>123.09</v>
      </c>
      <c r="AP4" s="124">
        <f t="shared" si="8"/>
        <v>0</v>
      </c>
      <c r="AQ4" s="124">
        <f t="shared" ref="AQ4:AQ15" si="19">IF(Q4=0,AE4/1,AE4/Q4)</f>
        <v>0</v>
      </c>
      <c r="AR4" s="124">
        <f t="shared" ref="AR4:AR15" si="20">IF(Q4=0,0,(AF4+AG4)/Q4)</f>
        <v>0</v>
      </c>
      <c r="AS4" s="124">
        <f t="array" ref="AS4">_xlfn.IFS(S4=0,AL4,S4&lt;0,AL4/-S4,S4&gt;0,AL4/S4)</f>
        <v>-120.23796800000002</v>
      </c>
      <c r="AT4" s="119">
        <f>IF(AN4=0,0,AS4/AN4)</f>
        <v>0</v>
      </c>
      <c r="AU4" s="119">
        <f>IF(AO4=0,0,AS4/AO4)</f>
        <v>-0.97682970184417917</v>
      </c>
      <c r="AV4" s="125"/>
      <c r="AW4" s="120">
        <f t="shared" si="11"/>
        <v>0</v>
      </c>
    </row>
    <row r="5" spans="1:49" outlineLevel="1">
      <c r="A5" s="114"/>
      <c r="B5" s="115">
        <v>340332621</v>
      </c>
      <c r="C5" s="115" t="s">
        <v>95</v>
      </c>
      <c r="D5" s="116" t="s">
        <v>93</v>
      </c>
      <c r="E5" s="118"/>
      <c r="F5" s="117"/>
      <c r="G5" s="117"/>
      <c r="H5" s="238">
        <v>379</v>
      </c>
      <c r="I5" s="117">
        <v>123.09</v>
      </c>
      <c r="J5" s="117">
        <f t="shared" si="0"/>
        <v>0</v>
      </c>
      <c r="K5" s="114"/>
      <c r="L5" s="114">
        <v>0</v>
      </c>
      <c r="M5" s="114">
        <v>0</v>
      </c>
      <c r="N5" s="114">
        <v>0</v>
      </c>
      <c r="O5" s="213">
        <f t="shared" si="1"/>
        <v>0</v>
      </c>
      <c r="P5" s="117">
        <f>S5/7</f>
        <v>0</v>
      </c>
      <c r="Q5" s="118">
        <v>0</v>
      </c>
      <c r="R5" s="118">
        <v>0</v>
      </c>
      <c r="S5" s="117">
        <f t="shared" si="12"/>
        <v>0</v>
      </c>
      <c r="T5" s="118">
        <v>0</v>
      </c>
      <c r="U5" s="118">
        <v>0</v>
      </c>
      <c r="V5" s="117">
        <f t="shared" si="13"/>
        <v>0</v>
      </c>
      <c r="W5" s="118">
        <v>0</v>
      </c>
      <c r="X5" s="118">
        <v>0</v>
      </c>
      <c r="Y5" s="117">
        <f t="shared" si="3"/>
        <v>0</v>
      </c>
      <c r="Z5" s="117">
        <f t="shared" si="14"/>
        <v>0</v>
      </c>
      <c r="AA5" s="119">
        <f t="shared" si="4"/>
        <v>0</v>
      </c>
      <c r="AB5" s="117">
        <f t="shared" si="15"/>
        <v>0</v>
      </c>
      <c r="AC5" s="118">
        <v>0</v>
      </c>
      <c r="AD5" s="119">
        <f t="shared" si="5"/>
        <v>0</v>
      </c>
      <c r="AE5" s="118">
        <v>0</v>
      </c>
      <c r="AF5" s="118"/>
      <c r="AG5" s="118"/>
      <c r="AH5" s="118">
        <v>0</v>
      </c>
      <c r="AI5" s="152">
        <f t="shared" si="16"/>
        <v>159.123908</v>
      </c>
      <c r="AJ5" s="118">
        <v>0</v>
      </c>
      <c r="AK5" s="120">
        <f t="shared" si="17"/>
        <v>0</v>
      </c>
      <c r="AL5" s="121">
        <f t="shared" si="18"/>
        <v>-159.123908</v>
      </c>
      <c r="AM5" s="122"/>
      <c r="AN5" s="123">
        <f t="shared" si="6"/>
        <v>0</v>
      </c>
      <c r="AO5" s="124">
        <f t="shared" si="7"/>
        <v>123.09</v>
      </c>
      <c r="AP5" s="124">
        <f t="shared" si="8"/>
        <v>0</v>
      </c>
      <c r="AQ5" s="124">
        <f t="shared" si="19"/>
        <v>0</v>
      </c>
      <c r="AR5" s="124">
        <f t="shared" si="20"/>
        <v>0</v>
      </c>
      <c r="AS5" s="124">
        <f t="array" ref="AS5">_xlfn.IFS(S5=0,AL5,S5&lt;0,AL5/-S5,S5&gt;0,AL5/S5)</f>
        <v>-159.123908</v>
      </c>
      <c r="AT5" s="119">
        <f>IF(AN5=0,0,AS5/AN5)</f>
        <v>0</v>
      </c>
      <c r="AU5" s="119">
        <f>IF(AO5=0,0,AS5/AO5)</f>
        <v>-1.2927443984076692</v>
      </c>
      <c r="AV5" s="125"/>
      <c r="AW5" s="120">
        <f t="shared" si="11"/>
        <v>0</v>
      </c>
    </row>
    <row r="6" spans="1:49" outlineLevel="1">
      <c r="A6" s="114"/>
      <c r="B6" s="115">
        <v>340341838</v>
      </c>
      <c r="C6" s="115" t="s">
        <v>96</v>
      </c>
      <c r="D6" s="116" t="s">
        <v>93</v>
      </c>
      <c r="E6" s="118"/>
      <c r="F6" s="117"/>
      <c r="G6" s="117"/>
      <c r="H6" s="238">
        <v>364</v>
      </c>
      <c r="I6" s="117">
        <v>123.09</v>
      </c>
      <c r="J6" s="117">
        <f t="shared" si="0"/>
        <v>0</v>
      </c>
      <c r="K6" s="114"/>
      <c r="L6" s="114">
        <v>7</v>
      </c>
      <c r="M6" s="114">
        <v>1176</v>
      </c>
      <c r="N6" s="114">
        <v>80</v>
      </c>
      <c r="O6" s="213">
        <f t="shared" si="1"/>
        <v>1</v>
      </c>
      <c r="P6" s="117">
        <f t="shared" ref="P6:P15" si="21">S6/7</f>
        <v>0.5714285714285714</v>
      </c>
      <c r="Q6" s="118">
        <v>4</v>
      </c>
      <c r="R6" s="118">
        <v>0</v>
      </c>
      <c r="S6" s="117">
        <f t="shared" si="12"/>
        <v>4</v>
      </c>
      <c r="T6" s="118">
        <v>3878</v>
      </c>
      <c r="U6" s="118">
        <v>0</v>
      </c>
      <c r="V6" s="117">
        <f t="shared" si="13"/>
        <v>3878</v>
      </c>
      <c r="W6" s="118">
        <v>4704</v>
      </c>
      <c r="X6" s="118">
        <v>0</v>
      </c>
      <c r="Y6" s="117">
        <f t="shared" si="3"/>
        <v>4704</v>
      </c>
      <c r="Z6" s="117">
        <f t="shared" si="14"/>
        <v>6585.6</v>
      </c>
      <c r="AA6" s="119">
        <f t="shared" si="4"/>
        <v>8.5544972759818289E-2</v>
      </c>
      <c r="AB6" s="117">
        <f t="shared" si="15"/>
        <v>492.36</v>
      </c>
      <c r="AC6" s="118">
        <v>1704.5900000000001</v>
      </c>
      <c r="AD6" s="119">
        <f t="shared" si="5"/>
        <v>0.36237032312925171</v>
      </c>
      <c r="AE6" s="118">
        <v>162.39999999999998</v>
      </c>
      <c r="AF6" s="118"/>
      <c r="AG6" s="118">
        <v>225</v>
      </c>
      <c r="AH6" s="118">
        <v>0</v>
      </c>
      <c r="AI6" s="152">
        <f t="shared" si="16"/>
        <v>152.82612800000004</v>
      </c>
      <c r="AJ6" s="118">
        <v>0</v>
      </c>
      <c r="AK6" s="120">
        <f t="shared" si="17"/>
        <v>38.78</v>
      </c>
      <c r="AL6" s="121">
        <f t="shared" si="18"/>
        <v>1928.043872</v>
      </c>
      <c r="AM6" s="122"/>
      <c r="AN6" s="123">
        <f t="shared" si="6"/>
        <v>1176</v>
      </c>
      <c r="AO6" s="124">
        <f t="shared" si="7"/>
        <v>123.09</v>
      </c>
      <c r="AP6" s="124">
        <f t="shared" si="8"/>
        <v>426.14750000000004</v>
      </c>
      <c r="AQ6" s="124">
        <f t="shared" si="19"/>
        <v>40.599999999999994</v>
      </c>
      <c r="AR6" s="124">
        <f t="shared" si="20"/>
        <v>56.25</v>
      </c>
      <c r="AS6" s="124">
        <f t="array" ref="AS6">_xlfn.IFS(S6=0,AL6,S6&lt;0,AL6/-S6,S6&gt;0,AL6/S6)</f>
        <v>482.01096799999999</v>
      </c>
      <c r="AT6" s="119">
        <f t="shared" ref="AT6:AT15" si="22">IF(AN6=0,0,AS6/AN6)</f>
        <v>0.40987327210884356</v>
      </c>
      <c r="AU6" s="119">
        <f t="shared" ref="AU6:AU15" si="23">IF(AO6=0,0,AS6/AO6)</f>
        <v>3.9159230481761309</v>
      </c>
      <c r="AV6" s="125"/>
      <c r="AW6" s="120">
        <f t="shared" si="11"/>
        <v>0</v>
      </c>
    </row>
    <row r="7" spans="1:49" outlineLevel="1">
      <c r="A7" s="114"/>
      <c r="B7" s="115">
        <v>445291724</v>
      </c>
      <c r="C7" s="115" t="s">
        <v>97</v>
      </c>
      <c r="D7" s="116" t="s">
        <v>93</v>
      </c>
      <c r="E7" s="118"/>
      <c r="F7" s="117"/>
      <c r="G7" s="117"/>
      <c r="H7" s="238">
        <v>284</v>
      </c>
      <c r="I7" s="117">
        <v>123.09</v>
      </c>
      <c r="J7" s="117">
        <f t="shared" si="0"/>
        <v>0</v>
      </c>
      <c r="K7" s="114"/>
      <c r="L7" s="114">
        <v>0</v>
      </c>
      <c r="M7" s="114">
        <v>0</v>
      </c>
      <c r="N7" s="114">
        <v>0</v>
      </c>
      <c r="O7" s="213">
        <f t="shared" si="1"/>
        <v>0</v>
      </c>
      <c r="P7" s="117">
        <f t="shared" si="21"/>
        <v>0</v>
      </c>
      <c r="Q7" s="118">
        <v>0</v>
      </c>
      <c r="R7" s="118">
        <v>0</v>
      </c>
      <c r="S7" s="117">
        <f t="shared" si="12"/>
        <v>0</v>
      </c>
      <c r="T7" s="118">
        <v>0</v>
      </c>
      <c r="U7" s="118">
        <v>0</v>
      </c>
      <c r="V7" s="117">
        <f t="shared" si="13"/>
        <v>0</v>
      </c>
      <c r="W7" s="118">
        <v>0</v>
      </c>
      <c r="X7" s="118">
        <v>0</v>
      </c>
      <c r="Y7" s="117">
        <f t="shared" si="3"/>
        <v>0</v>
      </c>
      <c r="Z7" s="117">
        <f t="shared" si="14"/>
        <v>0</v>
      </c>
      <c r="AA7" s="119">
        <f t="shared" si="4"/>
        <v>0</v>
      </c>
      <c r="AB7" s="117">
        <f t="shared" si="15"/>
        <v>0</v>
      </c>
      <c r="AC7" s="118">
        <v>0</v>
      </c>
      <c r="AD7" s="119">
        <f t="shared" si="5"/>
        <v>0</v>
      </c>
      <c r="AE7" s="118">
        <v>0</v>
      </c>
      <c r="AF7" s="118"/>
      <c r="AG7" s="118">
        <v>1</v>
      </c>
      <c r="AH7" s="118">
        <v>0</v>
      </c>
      <c r="AI7" s="152">
        <f t="shared" si="16"/>
        <v>119.23796800000002</v>
      </c>
      <c r="AJ7" s="118">
        <v>0</v>
      </c>
      <c r="AK7" s="120">
        <f t="shared" si="17"/>
        <v>0</v>
      </c>
      <c r="AL7" s="121">
        <f t="shared" si="18"/>
        <v>-120.23796800000002</v>
      </c>
      <c r="AM7" s="122"/>
      <c r="AN7" s="123">
        <f t="shared" si="6"/>
        <v>0</v>
      </c>
      <c r="AO7" s="124">
        <f t="shared" si="7"/>
        <v>123.09</v>
      </c>
      <c r="AP7" s="124">
        <f t="shared" si="8"/>
        <v>0</v>
      </c>
      <c r="AQ7" s="124">
        <f t="shared" si="19"/>
        <v>0</v>
      </c>
      <c r="AR7" s="124">
        <f t="shared" si="20"/>
        <v>0</v>
      </c>
      <c r="AS7" s="124">
        <f t="array" ref="AS7">_xlfn.IFS(S7=0,AL7,S7&lt;0,AL7/-S7,S7&gt;0,AL7/S7)</f>
        <v>-120.23796800000002</v>
      </c>
      <c r="AT7" s="119">
        <f t="shared" si="22"/>
        <v>0</v>
      </c>
      <c r="AU7" s="119">
        <f t="shared" si="23"/>
        <v>-0.97682970184417917</v>
      </c>
      <c r="AV7" s="125"/>
      <c r="AW7" s="120">
        <f t="shared" si="11"/>
        <v>0</v>
      </c>
    </row>
    <row r="8" spans="1:49" outlineLevel="1">
      <c r="A8" s="114"/>
      <c r="B8" s="115">
        <v>445336740</v>
      </c>
      <c r="C8" s="115" t="s">
        <v>98</v>
      </c>
      <c r="D8" s="116" t="s">
        <v>93</v>
      </c>
      <c r="E8" s="118"/>
      <c r="F8" s="117"/>
      <c r="G8" s="117"/>
      <c r="H8" s="238">
        <v>227</v>
      </c>
      <c r="I8" s="117">
        <v>123.09</v>
      </c>
      <c r="J8" s="117">
        <f t="shared" si="0"/>
        <v>0</v>
      </c>
      <c r="K8" s="114"/>
      <c r="L8" s="114">
        <v>43</v>
      </c>
      <c r="M8" s="114">
        <v>1222</v>
      </c>
      <c r="N8" s="114">
        <v>62</v>
      </c>
      <c r="O8" s="213">
        <f t="shared" si="1"/>
        <v>6.1428571428571432</v>
      </c>
      <c r="P8" s="117">
        <f t="shared" si="21"/>
        <v>5</v>
      </c>
      <c r="Q8" s="118">
        <v>35</v>
      </c>
      <c r="R8" s="118">
        <v>0</v>
      </c>
      <c r="S8" s="117">
        <f t="shared" si="12"/>
        <v>35</v>
      </c>
      <c r="T8" s="118">
        <v>36160.549999999996</v>
      </c>
      <c r="U8" s="118">
        <v>0</v>
      </c>
      <c r="V8" s="117">
        <f t="shared" si="13"/>
        <v>36160.549999999996</v>
      </c>
      <c r="W8" s="118">
        <v>42771.850000000006</v>
      </c>
      <c r="X8" s="118">
        <v>0</v>
      </c>
      <c r="Y8" s="117">
        <f t="shared" si="3"/>
        <v>42771.850000000006</v>
      </c>
      <c r="Z8" s="117">
        <f t="shared" si="14"/>
        <v>32578.52</v>
      </c>
      <c r="AA8" s="119">
        <f t="shared" si="4"/>
        <v>0.77783094029273692</v>
      </c>
      <c r="AB8" s="117">
        <f t="shared" si="15"/>
        <v>4308.1500000000005</v>
      </c>
      <c r="AC8" s="118">
        <v>15437.540000000008</v>
      </c>
      <c r="AD8" s="119">
        <f t="shared" si="5"/>
        <v>0.36092757269091719</v>
      </c>
      <c r="AE8" s="118">
        <v>3317.2500000000018</v>
      </c>
      <c r="AF8" s="118"/>
      <c r="AG8" s="118">
        <v>3587</v>
      </c>
      <c r="AH8" s="118">
        <v>0</v>
      </c>
      <c r="AI8" s="152">
        <f t="shared" si="16"/>
        <v>95.306404000000015</v>
      </c>
      <c r="AJ8" s="118">
        <v>0</v>
      </c>
      <c r="AK8" s="120">
        <f t="shared" si="17"/>
        <v>361.60549999999995</v>
      </c>
      <c r="AL8" s="121">
        <f t="shared" si="18"/>
        <v>15664.998095999996</v>
      </c>
      <c r="AM8" s="122"/>
      <c r="AN8" s="123">
        <f t="shared" si="6"/>
        <v>1222.0528571428574</v>
      </c>
      <c r="AO8" s="124">
        <f t="shared" si="7"/>
        <v>123.09</v>
      </c>
      <c r="AP8" s="124">
        <f t="shared" si="8"/>
        <v>441.07257142857168</v>
      </c>
      <c r="AQ8" s="124">
        <f t="shared" si="19"/>
        <v>94.778571428571482</v>
      </c>
      <c r="AR8" s="124">
        <f t="shared" si="20"/>
        <v>102.48571428571428</v>
      </c>
      <c r="AS8" s="124">
        <f t="array" ref="AS8">_xlfn.IFS(S8=0,AL8,S8&lt;0,AL8/-S8,S8&gt;0,AL8/S8)</f>
        <v>447.57137417142843</v>
      </c>
      <c r="AT8" s="119">
        <f t="shared" si="22"/>
        <v>0.36624551184949894</v>
      </c>
      <c r="AU8" s="119">
        <f t="shared" si="23"/>
        <v>3.636131076216008</v>
      </c>
      <c r="AV8" s="125"/>
      <c r="AW8" s="120">
        <f t="shared" si="11"/>
        <v>0</v>
      </c>
    </row>
    <row r="9" spans="1:49" outlineLevel="1">
      <c r="A9" s="114"/>
      <c r="B9" s="115">
        <v>445341507</v>
      </c>
      <c r="C9" s="115" t="s">
        <v>99</v>
      </c>
      <c r="D9" s="116" t="s">
        <v>93</v>
      </c>
      <c r="E9" s="118"/>
      <c r="F9" s="117"/>
      <c r="G9" s="117"/>
      <c r="H9" s="238">
        <v>270</v>
      </c>
      <c r="I9" s="117">
        <v>169.89</v>
      </c>
      <c r="J9" s="117">
        <f t="shared" si="0"/>
        <v>0</v>
      </c>
      <c r="K9" s="114"/>
      <c r="L9" s="114">
        <v>5</v>
      </c>
      <c r="M9" s="114">
        <v>1230</v>
      </c>
      <c r="N9" s="114">
        <v>25</v>
      </c>
      <c r="O9" s="213">
        <f t="shared" si="1"/>
        <v>0.7142857142857143</v>
      </c>
      <c r="P9" s="117">
        <f t="shared" si="21"/>
        <v>0.14285714285714285</v>
      </c>
      <c r="Q9" s="118">
        <v>1</v>
      </c>
      <c r="R9" s="118">
        <v>0</v>
      </c>
      <c r="S9" s="117">
        <f t="shared" si="12"/>
        <v>1</v>
      </c>
      <c r="T9" s="118">
        <v>1014</v>
      </c>
      <c r="U9" s="118">
        <v>0</v>
      </c>
      <c r="V9" s="117">
        <f t="shared" si="13"/>
        <v>1014</v>
      </c>
      <c r="W9" s="118">
        <v>1230</v>
      </c>
      <c r="X9" s="118">
        <v>0</v>
      </c>
      <c r="Y9" s="117">
        <f t="shared" si="3"/>
        <v>1230</v>
      </c>
      <c r="Z9" s="117">
        <f t="shared" si="14"/>
        <v>1537.5</v>
      </c>
      <c r="AA9" s="119">
        <f t="shared" si="4"/>
        <v>2.2368264560921874E-2</v>
      </c>
      <c r="AB9" s="117">
        <f t="shared" si="15"/>
        <v>169.89</v>
      </c>
      <c r="AC9" s="118">
        <v>443.62</v>
      </c>
      <c r="AD9" s="119">
        <f t="shared" si="5"/>
        <v>0.36066666666666669</v>
      </c>
      <c r="AE9" s="118">
        <v>348.65</v>
      </c>
      <c r="AF9" s="118"/>
      <c r="AG9" s="118">
        <v>296</v>
      </c>
      <c r="AH9" s="118">
        <v>0</v>
      </c>
      <c r="AI9" s="152">
        <f t="shared" si="16"/>
        <v>113.36004000000001</v>
      </c>
      <c r="AJ9" s="118">
        <v>0</v>
      </c>
      <c r="AK9" s="120">
        <f t="shared" si="17"/>
        <v>10.14</v>
      </c>
      <c r="AL9" s="121">
        <f t="shared" si="18"/>
        <v>-151.66003999999987</v>
      </c>
      <c r="AM9" s="122"/>
      <c r="AN9" s="123">
        <f t="shared" si="6"/>
        <v>1230</v>
      </c>
      <c r="AO9" s="124">
        <f t="shared" si="7"/>
        <v>169.89</v>
      </c>
      <c r="AP9" s="124">
        <f t="shared" si="8"/>
        <v>443.62</v>
      </c>
      <c r="AQ9" s="124">
        <f t="shared" si="19"/>
        <v>348.65</v>
      </c>
      <c r="AR9" s="124">
        <f t="shared" si="20"/>
        <v>296</v>
      </c>
      <c r="AS9" s="124">
        <f t="array" ref="AS9">_xlfn.IFS(S9=0,AL9,S9&lt;0,AL9/-S9,S9&gt;0,AL9/S9)</f>
        <v>-151.66003999999987</v>
      </c>
      <c r="AT9" s="119">
        <f t="shared" si="22"/>
        <v>-0.12330084552845517</v>
      </c>
      <c r="AU9" s="119">
        <f t="shared" si="23"/>
        <v>-0.89269550885867255</v>
      </c>
      <c r="AV9" s="125"/>
      <c r="AW9" s="120">
        <f t="shared" si="11"/>
        <v>0</v>
      </c>
    </row>
    <row r="10" spans="1:49" outlineLevel="1">
      <c r="A10" s="114"/>
      <c r="B10" s="115">
        <v>497825485</v>
      </c>
      <c r="C10" s="115" t="s">
        <v>100</v>
      </c>
      <c r="D10" s="116" t="s">
        <v>93</v>
      </c>
      <c r="E10" s="118"/>
      <c r="F10" s="117"/>
      <c r="G10" s="117"/>
      <c r="H10" s="238">
        <v>42</v>
      </c>
      <c r="I10" s="117">
        <v>169.89</v>
      </c>
      <c r="J10" s="117">
        <f t="shared" si="0"/>
        <v>0</v>
      </c>
      <c r="K10" s="114"/>
      <c r="L10" s="114">
        <v>1</v>
      </c>
      <c r="M10" s="114">
        <v>1199</v>
      </c>
      <c r="N10" s="114">
        <v>0</v>
      </c>
      <c r="O10" s="213">
        <f t="shared" si="1"/>
        <v>0.14285714285714285</v>
      </c>
      <c r="P10" s="117">
        <f t="shared" si="21"/>
        <v>0</v>
      </c>
      <c r="Q10" s="118">
        <v>0</v>
      </c>
      <c r="R10" s="118">
        <v>0</v>
      </c>
      <c r="S10" s="117">
        <f t="shared" si="12"/>
        <v>0</v>
      </c>
      <c r="T10" s="118">
        <v>0</v>
      </c>
      <c r="U10" s="118">
        <v>0</v>
      </c>
      <c r="V10" s="117">
        <f t="shared" si="13"/>
        <v>0</v>
      </c>
      <c r="W10" s="118">
        <v>0</v>
      </c>
      <c r="X10" s="118">
        <v>0</v>
      </c>
      <c r="Y10" s="117">
        <f t="shared" si="3"/>
        <v>0</v>
      </c>
      <c r="Z10" s="117">
        <f t="shared" si="14"/>
        <v>0</v>
      </c>
      <c r="AA10" s="119">
        <f t="shared" si="4"/>
        <v>0</v>
      </c>
      <c r="AB10" s="117">
        <f t="shared" si="15"/>
        <v>0</v>
      </c>
      <c r="AC10" s="118">
        <v>0</v>
      </c>
      <c r="AD10" s="119">
        <f t="shared" si="5"/>
        <v>0</v>
      </c>
      <c r="AE10" s="118">
        <v>0</v>
      </c>
      <c r="AF10" s="118"/>
      <c r="AG10" s="118"/>
      <c r="AH10" s="118">
        <v>0</v>
      </c>
      <c r="AI10" s="152">
        <f t="shared" si="16"/>
        <v>17.633784000000002</v>
      </c>
      <c r="AJ10" s="118">
        <v>0</v>
      </c>
      <c r="AK10" s="120">
        <f t="shared" si="17"/>
        <v>0</v>
      </c>
      <c r="AL10" s="121">
        <f t="shared" si="18"/>
        <v>-17.633784000000002</v>
      </c>
      <c r="AM10" s="122"/>
      <c r="AN10" s="123">
        <f t="shared" si="6"/>
        <v>0</v>
      </c>
      <c r="AO10" s="124">
        <f t="shared" si="7"/>
        <v>169.89</v>
      </c>
      <c r="AP10" s="124">
        <f t="shared" si="8"/>
        <v>0</v>
      </c>
      <c r="AQ10" s="124">
        <f t="shared" si="19"/>
        <v>0</v>
      </c>
      <c r="AR10" s="124">
        <f t="shared" si="20"/>
        <v>0</v>
      </c>
      <c r="AS10" s="124">
        <f t="array" ref="AS10">_xlfn.IFS(S10=0,AL10,S10&lt;0,AL10/-S10,S10&gt;0,AL10/S10)</f>
        <v>-17.633784000000002</v>
      </c>
      <c r="AT10" s="119">
        <f t="shared" si="22"/>
        <v>0</v>
      </c>
      <c r="AU10" s="119">
        <f t="shared" si="23"/>
        <v>-0.10379530284301609</v>
      </c>
      <c r="AV10" s="125"/>
      <c r="AW10" s="120">
        <f t="shared" si="11"/>
        <v>0</v>
      </c>
    </row>
    <row r="11" spans="1:49" outlineLevel="1">
      <c r="A11" s="114"/>
      <c r="B11" s="115">
        <v>497825962</v>
      </c>
      <c r="C11" s="115" t="s">
        <v>101</v>
      </c>
      <c r="D11" s="116" t="s">
        <v>93</v>
      </c>
      <c r="E11" s="118"/>
      <c r="F11" s="117"/>
      <c r="G11" s="117"/>
      <c r="H11" s="238">
        <v>41</v>
      </c>
      <c r="I11" s="117">
        <v>169.89</v>
      </c>
      <c r="J11" s="117">
        <f t="shared" si="0"/>
        <v>0</v>
      </c>
      <c r="K11" s="114"/>
      <c r="L11" s="114">
        <v>0</v>
      </c>
      <c r="M11" s="114">
        <v>0</v>
      </c>
      <c r="N11" s="114">
        <v>0</v>
      </c>
      <c r="O11" s="213">
        <f t="shared" si="1"/>
        <v>0</v>
      </c>
      <c r="P11" s="117">
        <f t="shared" si="21"/>
        <v>0.14285714285714285</v>
      </c>
      <c r="Q11" s="118">
        <v>1</v>
      </c>
      <c r="R11" s="118">
        <v>0</v>
      </c>
      <c r="S11" s="117">
        <f t="shared" si="12"/>
        <v>1</v>
      </c>
      <c r="T11" s="118">
        <v>944</v>
      </c>
      <c r="U11" s="118">
        <v>0</v>
      </c>
      <c r="V11" s="117">
        <f t="shared" si="13"/>
        <v>944</v>
      </c>
      <c r="W11" s="118">
        <v>1145</v>
      </c>
      <c r="X11" s="118">
        <v>0</v>
      </c>
      <c r="Y11" s="117">
        <f t="shared" si="3"/>
        <v>1145</v>
      </c>
      <c r="Z11" s="117">
        <f t="shared" si="14"/>
        <v>0</v>
      </c>
      <c r="AA11" s="119">
        <f t="shared" si="4"/>
        <v>2.0822490180695565E-2</v>
      </c>
      <c r="AB11" s="117">
        <f t="shared" si="15"/>
        <v>169.89</v>
      </c>
      <c r="AC11" s="118">
        <v>413.08000000000004</v>
      </c>
      <c r="AD11" s="119">
        <f t="shared" si="5"/>
        <v>0.36076855895196508</v>
      </c>
      <c r="AE11" s="118">
        <v>56.55</v>
      </c>
      <c r="AF11" s="118"/>
      <c r="AG11" s="118"/>
      <c r="AH11" s="118">
        <v>0</v>
      </c>
      <c r="AI11" s="152">
        <f t="shared" si="16"/>
        <v>17.213932</v>
      </c>
      <c r="AJ11" s="118">
        <v>0</v>
      </c>
      <c r="AK11" s="120">
        <f t="shared" si="17"/>
        <v>9.44</v>
      </c>
      <c r="AL11" s="121">
        <f t="shared" si="18"/>
        <v>478.82606799999996</v>
      </c>
      <c r="AM11" s="122"/>
      <c r="AN11" s="123">
        <f t="shared" si="6"/>
        <v>1145</v>
      </c>
      <c r="AO11" s="124">
        <f t="shared" si="7"/>
        <v>169.89</v>
      </c>
      <c r="AP11" s="124">
        <f t="shared" si="8"/>
        <v>413.08000000000004</v>
      </c>
      <c r="AQ11" s="124">
        <f t="shared" si="19"/>
        <v>56.55</v>
      </c>
      <c r="AR11" s="124">
        <f t="shared" si="20"/>
        <v>0</v>
      </c>
      <c r="AS11" s="124">
        <f t="array" ref="AS11">_xlfn.IFS(S11=0,AL11,S11&lt;0,AL11/-S11,S11&gt;0,AL11/S11)</f>
        <v>478.82606799999996</v>
      </c>
      <c r="AT11" s="119">
        <f t="shared" si="22"/>
        <v>0.41818870567685584</v>
      </c>
      <c r="AU11" s="119">
        <f t="shared" si="23"/>
        <v>2.8184476308199424</v>
      </c>
      <c r="AV11" s="125"/>
      <c r="AW11" s="120">
        <f t="shared" si="11"/>
        <v>0</v>
      </c>
    </row>
    <row r="12" spans="1:49" outlineLevel="1">
      <c r="A12" s="114"/>
      <c r="B12" s="115">
        <v>497821775</v>
      </c>
      <c r="C12" s="115" t="s">
        <v>102</v>
      </c>
      <c r="D12" s="116" t="s">
        <v>93</v>
      </c>
      <c r="E12" s="118"/>
      <c r="F12" s="117"/>
      <c r="G12" s="117"/>
      <c r="H12" s="238">
        <v>46</v>
      </c>
      <c r="I12" s="117">
        <v>169.89</v>
      </c>
      <c r="J12" s="117">
        <f t="shared" si="0"/>
        <v>0</v>
      </c>
      <c r="K12" s="114"/>
      <c r="L12" s="114">
        <v>0</v>
      </c>
      <c r="M12" s="114">
        <v>0</v>
      </c>
      <c r="N12" s="114">
        <v>0</v>
      </c>
      <c r="O12" s="213">
        <f t="shared" si="1"/>
        <v>0</v>
      </c>
      <c r="P12" s="117">
        <f t="shared" si="21"/>
        <v>0</v>
      </c>
      <c r="Q12" s="118">
        <v>0</v>
      </c>
      <c r="R12" s="118">
        <v>0</v>
      </c>
      <c r="S12" s="117">
        <f t="shared" si="12"/>
        <v>0</v>
      </c>
      <c r="T12" s="118">
        <v>0</v>
      </c>
      <c r="U12" s="118">
        <v>0</v>
      </c>
      <c r="V12" s="117">
        <f t="shared" si="13"/>
        <v>0</v>
      </c>
      <c r="W12" s="118">
        <v>0</v>
      </c>
      <c r="X12" s="118">
        <v>0</v>
      </c>
      <c r="Y12" s="117">
        <f t="shared" si="3"/>
        <v>0</v>
      </c>
      <c r="Z12" s="117">
        <f t="shared" si="14"/>
        <v>0</v>
      </c>
      <c r="AA12" s="119">
        <f t="shared" si="4"/>
        <v>0</v>
      </c>
      <c r="AB12" s="117">
        <f t="shared" si="15"/>
        <v>0</v>
      </c>
      <c r="AC12" s="118">
        <v>0</v>
      </c>
      <c r="AD12" s="119">
        <f t="shared" si="5"/>
        <v>0</v>
      </c>
      <c r="AE12" s="118">
        <v>0</v>
      </c>
      <c r="AF12" s="118"/>
      <c r="AG12" s="118"/>
      <c r="AH12" s="118">
        <v>0</v>
      </c>
      <c r="AI12" s="152">
        <f t="shared" si="16"/>
        <v>19.313192000000001</v>
      </c>
      <c r="AJ12" s="118">
        <v>0</v>
      </c>
      <c r="AK12" s="120">
        <f t="shared" si="17"/>
        <v>0</v>
      </c>
      <c r="AL12" s="121">
        <f t="shared" si="18"/>
        <v>-19.313192000000001</v>
      </c>
      <c r="AM12" s="122"/>
      <c r="AN12" s="123">
        <f t="shared" si="6"/>
        <v>0</v>
      </c>
      <c r="AO12" s="124">
        <f t="shared" si="7"/>
        <v>169.89</v>
      </c>
      <c r="AP12" s="124">
        <f t="shared" si="8"/>
        <v>0</v>
      </c>
      <c r="AQ12" s="124">
        <f t="shared" si="19"/>
        <v>0</v>
      </c>
      <c r="AR12" s="124">
        <f t="shared" si="20"/>
        <v>0</v>
      </c>
      <c r="AS12" s="124">
        <f t="array" ref="AS12">_xlfn.IFS(S12=0,AL12,S12&lt;0,AL12/-S12,S12&gt;0,AL12/S12)</f>
        <v>-19.313192000000001</v>
      </c>
      <c r="AT12" s="119">
        <f t="shared" si="22"/>
        <v>0</v>
      </c>
      <c r="AU12" s="119">
        <f t="shared" si="23"/>
        <v>-0.11368056978044619</v>
      </c>
      <c r="AV12" s="125"/>
      <c r="AW12" s="120">
        <f t="shared" si="11"/>
        <v>0</v>
      </c>
    </row>
    <row r="13" spans="1:49" outlineLevel="1">
      <c r="A13" s="114"/>
      <c r="B13" s="115">
        <v>497823770</v>
      </c>
      <c r="C13" s="115" t="s">
        <v>103</v>
      </c>
      <c r="D13" s="116" t="s">
        <v>93</v>
      </c>
      <c r="E13" s="118"/>
      <c r="F13" s="117"/>
      <c r="G13" s="117"/>
      <c r="H13" s="238">
        <v>12</v>
      </c>
      <c r="I13" s="117">
        <v>169.89</v>
      </c>
      <c r="J13" s="117">
        <f t="shared" si="0"/>
        <v>0</v>
      </c>
      <c r="K13" s="114"/>
      <c r="L13" s="114">
        <v>0</v>
      </c>
      <c r="M13" s="114">
        <v>0</v>
      </c>
      <c r="N13" s="114">
        <v>0</v>
      </c>
      <c r="O13" s="213">
        <f t="shared" si="1"/>
        <v>0</v>
      </c>
      <c r="P13" s="117">
        <f t="shared" si="21"/>
        <v>0</v>
      </c>
      <c r="Q13" s="118">
        <v>0</v>
      </c>
      <c r="R13" s="118">
        <v>0</v>
      </c>
      <c r="S13" s="117">
        <f t="shared" si="12"/>
        <v>0</v>
      </c>
      <c r="T13" s="118">
        <v>0</v>
      </c>
      <c r="U13" s="118">
        <v>0</v>
      </c>
      <c r="V13" s="117">
        <f t="shared" si="13"/>
        <v>0</v>
      </c>
      <c r="W13" s="118">
        <v>0</v>
      </c>
      <c r="X13" s="118">
        <v>0</v>
      </c>
      <c r="Y13" s="117">
        <f t="shared" si="3"/>
        <v>0</v>
      </c>
      <c r="Z13" s="117">
        <f t="shared" si="14"/>
        <v>0</v>
      </c>
      <c r="AA13" s="119">
        <f t="shared" si="4"/>
        <v>0</v>
      </c>
      <c r="AB13" s="117">
        <f t="shared" si="15"/>
        <v>0</v>
      </c>
      <c r="AC13" s="118">
        <v>0</v>
      </c>
      <c r="AD13" s="119">
        <f t="shared" si="5"/>
        <v>0</v>
      </c>
      <c r="AE13" s="118">
        <v>0</v>
      </c>
      <c r="AF13" s="118"/>
      <c r="AG13" s="118"/>
      <c r="AH13" s="118">
        <v>0</v>
      </c>
      <c r="AI13" s="152">
        <f t="shared" si="16"/>
        <v>5.0382240000000005</v>
      </c>
      <c r="AJ13" s="118">
        <v>0</v>
      </c>
      <c r="AK13" s="120">
        <f t="shared" si="17"/>
        <v>0</v>
      </c>
      <c r="AL13" s="121">
        <f t="shared" si="18"/>
        <v>-5.0382240000000005</v>
      </c>
      <c r="AM13" s="122"/>
      <c r="AN13" s="123">
        <f t="shared" si="6"/>
        <v>0</v>
      </c>
      <c r="AO13" s="124">
        <f t="shared" si="7"/>
        <v>169.89</v>
      </c>
      <c r="AP13" s="124">
        <f t="shared" si="8"/>
        <v>0</v>
      </c>
      <c r="AQ13" s="124">
        <f t="shared" si="19"/>
        <v>0</v>
      </c>
      <c r="AR13" s="124">
        <f t="shared" si="20"/>
        <v>0</v>
      </c>
      <c r="AS13" s="124">
        <f t="array" ref="AS13">_xlfn.IFS(S13=0,AL13,S13&lt;0,AL13/-S13,S13&gt;0,AL13/S13)</f>
        <v>-5.0382240000000005</v>
      </c>
      <c r="AT13" s="119">
        <f t="shared" si="22"/>
        <v>0</v>
      </c>
      <c r="AU13" s="119">
        <f t="shared" si="23"/>
        <v>-2.9655800812290311E-2</v>
      </c>
      <c r="AV13" s="125"/>
      <c r="AW13" s="120">
        <f t="shared" si="11"/>
        <v>0</v>
      </c>
    </row>
    <row r="14" spans="1:49" outlineLevel="1">
      <c r="A14" s="114"/>
      <c r="B14" s="115">
        <v>497824253</v>
      </c>
      <c r="C14" s="115" t="s">
        <v>104</v>
      </c>
      <c r="D14" s="116" t="s">
        <v>93</v>
      </c>
      <c r="E14" s="118"/>
      <c r="F14" s="117"/>
      <c r="G14" s="117"/>
      <c r="H14" s="238">
        <v>65</v>
      </c>
      <c r="I14" s="117">
        <v>169.89</v>
      </c>
      <c r="J14" s="117">
        <f t="shared" si="0"/>
        <v>0</v>
      </c>
      <c r="K14" s="114"/>
      <c r="L14" s="114">
        <v>0</v>
      </c>
      <c r="M14" s="114">
        <v>0</v>
      </c>
      <c r="N14" s="114">
        <v>0</v>
      </c>
      <c r="O14" s="213">
        <f t="shared" si="1"/>
        <v>0</v>
      </c>
      <c r="P14" s="117">
        <f t="shared" si="21"/>
        <v>0</v>
      </c>
      <c r="Q14" s="118">
        <v>0</v>
      </c>
      <c r="R14" s="118">
        <v>0</v>
      </c>
      <c r="S14" s="117">
        <f t="shared" si="12"/>
        <v>0</v>
      </c>
      <c r="T14" s="118">
        <v>0</v>
      </c>
      <c r="U14" s="118">
        <v>0</v>
      </c>
      <c r="V14" s="117">
        <f t="shared" si="13"/>
        <v>0</v>
      </c>
      <c r="W14" s="118">
        <v>0</v>
      </c>
      <c r="X14" s="118">
        <v>0</v>
      </c>
      <c r="Y14" s="117">
        <f t="shared" si="3"/>
        <v>0</v>
      </c>
      <c r="Z14" s="117">
        <f t="shared" si="14"/>
        <v>0</v>
      </c>
      <c r="AA14" s="119">
        <f t="shared" si="4"/>
        <v>0</v>
      </c>
      <c r="AB14" s="117">
        <f t="shared" si="15"/>
        <v>0</v>
      </c>
      <c r="AC14" s="118">
        <v>0</v>
      </c>
      <c r="AD14" s="119">
        <f t="shared" si="5"/>
        <v>0</v>
      </c>
      <c r="AE14" s="118">
        <v>0</v>
      </c>
      <c r="AF14" s="118"/>
      <c r="AG14" s="118"/>
      <c r="AH14" s="118">
        <v>0</v>
      </c>
      <c r="AI14" s="152">
        <f t="shared" si="16"/>
        <v>27.290380000000006</v>
      </c>
      <c r="AJ14" s="118">
        <v>0</v>
      </c>
      <c r="AK14" s="120">
        <f t="shared" si="17"/>
        <v>0</v>
      </c>
      <c r="AL14" s="121">
        <f t="shared" si="18"/>
        <v>-27.290380000000006</v>
      </c>
      <c r="AM14" s="122"/>
      <c r="AN14" s="123">
        <f t="shared" si="6"/>
        <v>0</v>
      </c>
      <c r="AO14" s="124">
        <f t="shared" si="7"/>
        <v>169.89</v>
      </c>
      <c r="AP14" s="124">
        <f t="shared" si="8"/>
        <v>0</v>
      </c>
      <c r="AQ14" s="124">
        <f t="shared" si="19"/>
        <v>0</v>
      </c>
      <c r="AR14" s="124">
        <f t="shared" si="20"/>
        <v>0</v>
      </c>
      <c r="AS14" s="124">
        <f t="array" ref="AS14">_xlfn.IFS(S14=0,AL14,S14&lt;0,AL14/-S14,S14&gt;0,AL14/S14)</f>
        <v>-27.290380000000006</v>
      </c>
      <c r="AT14" s="119">
        <f t="shared" si="22"/>
        <v>0</v>
      </c>
      <c r="AU14" s="119">
        <f t="shared" si="23"/>
        <v>-0.16063558773323922</v>
      </c>
      <c r="AV14" s="125"/>
      <c r="AW14" s="120">
        <f t="shared" si="11"/>
        <v>0</v>
      </c>
    </row>
    <row r="15" spans="1:49" outlineLevel="1">
      <c r="A15" s="114"/>
      <c r="B15" s="115">
        <v>497824944</v>
      </c>
      <c r="C15" s="115" t="s">
        <v>105</v>
      </c>
      <c r="D15" s="116" t="s">
        <v>93</v>
      </c>
      <c r="E15" s="118"/>
      <c r="F15" s="117"/>
      <c r="G15" s="117"/>
      <c r="H15" s="238">
        <v>37</v>
      </c>
      <c r="I15" s="117">
        <v>169.89</v>
      </c>
      <c r="J15" s="117">
        <f t="shared" si="0"/>
        <v>0</v>
      </c>
      <c r="K15" s="114"/>
      <c r="L15" s="114">
        <v>0</v>
      </c>
      <c r="M15" s="114">
        <v>0</v>
      </c>
      <c r="N15" s="114">
        <v>0</v>
      </c>
      <c r="O15" s="213">
        <f t="shared" si="1"/>
        <v>0</v>
      </c>
      <c r="P15" s="117">
        <f t="shared" si="21"/>
        <v>0</v>
      </c>
      <c r="Q15" s="118">
        <v>0</v>
      </c>
      <c r="R15" s="118">
        <v>0</v>
      </c>
      <c r="S15" s="117">
        <f t="shared" si="12"/>
        <v>0</v>
      </c>
      <c r="T15" s="118">
        <v>0</v>
      </c>
      <c r="U15" s="118">
        <v>0</v>
      </c>
      <c r="V15" s="117">
        <f t="shared" si="13"/>
        <v>0</v>
      </c>
      <c r="W15" s="118">
        <v>0</v>
      </c>
      <c r="X15" s="118">
        <v>0</v>
      </c>
      <c r="Y15" s="117">
        <f t="shared" si="3"/>
        <v>0</v>
      </c>
      <c r="Z15" s="117">
        <f t="shared" si="14"/>
        <v>0</v>
      </c>
      <c r="AA15" s="119">
        <f t="shared" si="4"/>
        <v>0</v>
      </c>
      <c r="AB15" s="117">
        <f t="shared" si="15"/>
        <v>0</v>
      </c>
      <c r="AC15" s="118">
        <v>0</v>
      </c>
      <c r="AD15" s="119">
        <f t="shared" si="5"/>
        <v>0</v>
      </c>
      <c r="AE15" s="118">
        <v>0</v>
      </c>
      <c r="AF15" s="118"/>
      <c r="AG15" s="118"/>
      <c r="AH15" s="118">
        <v>0</v>
      </c>
      <c r="AI15" s="152">
        <f t="shared" si="16"/>
        <v>15.534524000000001</v>
      </c>
      <c r="AJ15" s="118">
        <v>0</v>
      </c>
      <c r="AK15" s="120">
        <f t="shared" si="17"/>
        <v>0</v>
      </c>
      <c r="AL15" s="121">
        <f t="shared" si="18"/>
        <v>-15.534524000000001</v>
      </c>
      <c r="AM15" s="122"/>
      <c r="AN15" s="123">
        <f t="shared" si="6"/>
        <v>0</v>
      </c>
      <c r="AO15" s="124">
        <f t="shared" si="7"/>
        <v>169.89</v>
      </c>
      <c r="AP15" s="124">
        <f t="shared" si="8"/>
        <v>0</v>
      </c>
      <c r="AQ15" s="124">
        <f t="shared" si="19"/>
        <v>0</v>
      </c>
      <c r="AR15" s="124">
        <f t="shared" si="20"/>
        <v>0</v>
      </c>
      <c r="AS15" s="124">
        <f t="array" ref="AS15">_xlfn.IFS(S15=0,AL15,S15&lt;0,AL15/-S15,S15&gt;0,AL15/S15)</f>
        <v>-15.534524000000001</v>
      </c>
      <c r="AT15" s="119">
        <f t="shared" si="22"/>
        <v>0</v>
      </c>
      <c r="AU15" s="119">
        <f t="shared" si="23"/>
        <v>-9.143871917122845E-2</v>
      </c>
      <c r="AV15" s="125"/>
      <c r="AW15" s="120">
        <f t="shared" si="11"/>
        <v>0</v>
      </c>
    </row>
    <row r="16" spans="1:49" s="140" customFormat="1" outlineLevel="1">
      <c r="A16" s="127"/>
      <c r="B16" s="128"/>
      <c r="C16" s="129"/>
      <c r="D16" s="130"/>
      <c r="E16" s="131"/>
      <c r="F16" s="131"/>
      <c r="G16" s="131"/>
      <c r="H16" s="131"/>
      <c r="I16" s="131"/>
      <c r="J16" s="131"/>
      <c r="K16" s="129"/>
      <c r="L16" s="129"/>
      <c r="M16" s="129"/>
      <c r="N16" s="129"/>
      <c r="O16" s="131"/>
      <c r="P16" s="131"/>
      <c r="Q16" s="132"/>
      <c r="R16" s="132"/>
      <c r="S16" s="131"/>
      <c r="T16" s="118"/>
      <c r="U16" s="118"/>
      <c r="V16" s="131"/>
      <c r="W16" s="132"/>
      <c r="X16" s="132"/>
      <c r="Y16" s="131"/>
      <c r="Z16" s="131"/>
      <c r="AA16" s="133"/>
      <c r="AB16" s="131"/>
      <c r="AC16" s="132"/>
      <c r="AD16" s="133"/>
      <c r="AE16" s="132"/>
      <c r="AF16" s="132"/>
      <c r="AG16" s="132"/>
      <c r="AH16" s="132"/>
      <c r="AI16" s="134"/>
      <c r="AJ16" s="132"/>
      <c r="AK16" s="135"/>
      <c r="AL16" s="136"/>
      <c r="AM16" s="137"/>
      <c r="AN16" s="138">
        <f t="shared" ref="AN16:AU16" si="24">AVERAGE(AN3:AN6)</f>
        <v>615.11062500000003</v>
      </c>
      <c r="AO16" s="138">
        <f t="shared" si="24"/>
        <v>128.0625</v>
      </c>
      <c r="AP16" s="138">
        <f t="shared" si="24"/>
        <v>222.49875000000003</v>
      </c>
      <c r="AQ16" s="138">
        <f t="shared" si="24"/>
        <v>51.287499999999994</v>
      </c>
      <c r="AR16" s="138">
        <f t="shared" si="24"/>
        <v>53.3125</v>
      </c>
      <c r="AS16" s="138">
        <f t="shared" si="24"/>
        <v>125.30325125000002</v>
      </c>
      <c r="AT16" s="139">
        <f t="shared" si="24"/>
        <v>0.16057989425580813</v>
      </c>
      <c r="AU16" s="138">
        <f t="shared" si="24"/>
        <v>0.93362513214123299</v>
      </c>
      <c r="AV16" s="125"/>
      <c r="AW16" s="135"/>
    </row>
    <row r="17" spans="1:49" s="148" customFormat="1">
      <c r="A17" s="141" t="s">
        <v>106</v>
      </c>
      <c r="B17" s="142"/>
      <c r="C17" s="143"/>
      <c r="D17" s="143"/>
      <c r="E17" s="143">
        <f t="shared" ref="E17:G17" si="25">SUM(E3:E15)</f>
        <v>0</v>
      </c>
      <c r="F17" s="143">
        <f t="shared" si="25"/>
        <v>0</v>
      </c>
      <c r="G17" s="143">
        <f t="shared" si="25"/>
        <v>0</v>
      </c>
      <c r="H17" s="143">
        <f>SUM(H3:H15)</f>
        <v>2500</v>
      </c>
      <c r="I17" s="143"/>
      <c r="J17" s="143">
        <f>SUM(J3:J15)</f>
        <v>0</v>
      </c>
      <c r="K17" s="143"/>
      <c r="L17" s="143">
        <f>SUM(L3:L15)</f>
        <v>66</v>
      </c>
      <c r="M17" s="143"/>
      <c r="N17" s="143"/>
      <c r="O17" s="143"/>
      <c r="P17" s="143"/>
      <c r="Q17" s="143">
        <f>SUM(Q3:Q15)</f>
        <v>45</v>
      </c>
      <c r="R17" s="143">
        <f t="shared" ref="R17:Z17" si="26">SUM(R3:R15)</f>
        <v>0</v>
      </c>
      <c r="S17" s="143">
        <f t="shared" si="26"/>
        <v>45</v>
      </c>
      <c r="T17" s="143">
        <f t="shared" si="26"/>
        <v>46145.63</v>
      </c>
      <c r="U17" s="143">
        <f t="shared" si="26"/>
        <v>0</v>
      </c>
      <c r="V17" s="143">
        <f t="shared" si="26"/>
        <v>46145.63</v>
      </c>
      <c r="W17" s="143">
        <f t="shared" si="26"/>
        <v>54988.62000000001</v>
      </c>
      <c r="X17" s="143">
        <f t="shared" si="26"/>
        <v>0</v>
      </c>
      <c r="Y17" s="143">
        <f t="shared" si="26"/>
        <v>54988.62000000001</v>
      </c>
      <c r="Z17" s="143">
        <f t="shared" si="26"/>
        <v>47981.62</v>
      </c>
      <c r="AA17" s="144">
        <f>SUM(AA3:AA15)</f>
        <v>1</v>
      </c>
      <c r="AB17" s="145">
        <f>SUM(AB3:AB15)</f>
        <v>5712.2100000000009</v>
      </c>
      <c r="AC17" s="145">
        <f>SUM(AC3:AC15)</f>
        <v>19854.220000000008</v>
      </c>
      <c r="AD17" s="144">
        <f>AC17/Y17</f>
        <v>0.36106052488678575</v>
      </c>
      <c r="AE17" s="143">
        <f>SUM(AE3:AE15)</f>
        <v>4543.050000000002</v>
      </c>
      <c r="AF17" s="143">
        <f t="shared" ref="AF17:AL17" si="27">SUM(AF3:AF15)</f>
        <v>0</v>
      </c>
      <c r="AG17" s="143">
        <f t="shared" si="27"/>
        <v>4738</v>
      </c>
      <c r="AH17" s="143">
        <f t="shared" si="27"/>
        <v>0</v>
      </c>
      <c r="AI17" s="143">
        <f>SUM(AI3:AI15)</f>
        <v>1049.6300000000001</v>
      </c>
      <c r="AJ17" s="143">
        <f>SUM(AJ3:AJ15)</f>
        <v>0</v>
      </c>
      <c r="AK17" s="143">
        <f t="shared" si="27"/>
        <v>461.45629999999994</v>
      </c>
      <c r="AL17" s="143">
        <f t="shared" si="27"/>
        <v>18630.053699999997</v>
      </c>
      <c r="AM17" s="146"/>
      <c r="AN17" s="143"/>
      <c r="AO17" s="143"/>
      <c r="AP17" s="143"/>
      <c r="AQ17" s="143"/>
      <c r="AR17" s="143">
        <f>(AF17+AG17)/Q17</f>
        <v>105.28888888888889</v>
      </c>
      <c r="AS17" s="143"/>
      <c r="AT17" s="143"/>
      <c r="AU17" s="143"/>
      <c r="AV17" s="147"/>
      <c r="AW17" s="143">
        <f>SUM(AW3:AW6)</f>
        <v>0</v>
      </c>
    </row>
    <row r="18" spans="1:49">
      <c r="A18" s="114"/>
      <c r="B18" s="115"/>
      <c r="C18" s="115"/>
      <c r="D18" s="149"/>
      <c r="E18" s="118"/>
      <c r="F18" s="118"/>
      <c r="G18" s="118"/>
      <c r="H18" s="118"/>
      <c r="I18" s="118"/>
      <c r="J18" s="118"/>
      <c r="K18" s="114"/>
      <c r="L18" s="114"/>
      <c r="M18" s="114"/>
      <c r="N18" s="114"/>
      <c r="O18" s="118"/>
      <c r="P18" s="118"/>
      <c r="Q18" s="118"/>
      <c r="R18" s="118"/>
      <c r="S18" s="118"/>
      <c r="T18" s="118"/>
      <c r="U18" s="118"/>
      <c r="V18" s="118"/>
      <c r="W18" s="118"/>
      <c r="X18" s="118"/>
      <c r="Y18" s="118"/>
      <c r="Z18" s="118"/>
      <c r="AA18" s="150"/>
      <c r="AB18" s="118"/>
      <c r="AC18" s="118"/>
      <c r="AD18" s="150"/>
      <c r="AE18" s="118"/>
      <c r="AF18" s="346"/>
      <c r="AG18" s="346"/>
      <c r="AH18" s="236"/>
      <c r="AI18" s="152"/>
      <c r="AJ18" s="118"/>
      <c r="AK18" s="153"/>
      <c r="AL18" s="154"/>
      <c r="AM18" s="122"/>
      <c r="AN18" s="155"/>
      <c r="AO18" s="156"/>
      <c r="AP18" s="156"/>
      <c r="AQ18" s="156"/>
      <c r="AR18" s="156"/>
      <c r="AS18" s="156"/>
      <c r="AT18" s="157"/>
      <c r="AU18" s="157"/>
      <c r="AV18" s="125"/>
      <c r="AW18" s="153"/>
    </row>
    <row r="19" spans="1:49" hidden="1" outlineLevel="1">
      <c r="A19" s="114"/>
      <c r="B19" s="115"/>
      <c r="C19" s="115"/>
      <c r="D19" s="116"/>
      <c r="E19" s="117">
        <f t="shared" ref="E19:E50" si="28">SUM(F19:H19)</f>
        <v>0</v>
      </c>
      <c r="F19" s="117"/>
      <c r="G19" s="117"/>
      <c r="H19" s="117"/>
      <c r="I19" s="117"/>
      <c r="J19" s="117">
        <f t="shared" ref="J19:J70" si="29">E19*I19</f>
        <v>0</v>
      </c>
      <c r="K19" s="114"/>
      <c r="L19" s="114"/>
      <c r="M19" s="114"/>
      <c r="N19" s="114"/>
      <c r="O19" s="117">
        <f t="shared" ref="O19:O70" si="30">L19/7</f>
        <v>0</v>
      </c>
      <c r="P19" s="117">
        <f t="shared" ref="P19:P70" si="31">S19/7</f>
        <v>0</v>
      </c>
      <c r="Q19" s="118"/>
      <c r="R19" s="118"/>
      <c r="S19" s="117">
        <f t="shared" ref="S19:S70" si="32">Q19+R19</f>
        <v>0</v>
      </c>
      <c r="T19" s="117"/>
      <c r="U19" s="117"/>
      <c r="V19" s="117">
        <f t="shared" ref="V19:V70" si="33">T19+U19</f>
        <v>0</v>
      </c>
      <c r="W19" s="118"/>
      <c r="X19" s="118"/>
      <c r="Y19" s="117">
        <f t="shared" ref="Y19:Y70" si="34">W19+X19</f>
        <v>0</v>
      </c>
      <c r="Z19" s="117">
        <f t="shared" ref="Z19:Z65" si="35">L19*M19*N19/100</f>
        <v>0</v>
      </c>
      <c r="AA19" s="119">
        <f>Y19/$Y$74</f>
        <v>0</v>
      </c>
      <c r="AB19" s="117">
        <f t="shared" ref="AB19:AB70" si="36">S19*I19</f>
        <v>0</v>
      </c>
      <c r="AC19" s="118"/>
      <c r="AD19" s="119">
        <f t="shared" ref="AD19:AD70" si="37">IF(Y19=0,0,AC19/Y19)</f>
        <v>0</v>
      </c>
      <c r="AE19" s="118"/>
      <c r="AF19" s="118"/>
      <c r="AG19" s="118"/>
      <c r="AH19" s="118"/>
      <c r="AI19" s="152">
        <f t="shared" ref="AI19:AI70" si="38">$AI$74*H19/$H$74</f>
        <v>0</v>
      </c>
      <c r="AJ19" s="118"/>
      <c r="AK19" s="120">
        <f t="shared" ref="AK19:AK70" si="39">V19*1%</f>
        <v>0</v>
      </c>
      <c r="AL19" s="121">
        <f t="shared" ref="AL19:AL70" si="40">Y19-AB19-AC19-AE19-AF19-AG19-AH19-AI19-AK19-AJ19</f>
        <v>0</v>
      </c>
      <c r="AM19" s="122"/>
      <c r="AN19" s="123">
        <f t="shared" ref="AN19:AN70" si="41">IF(S19=0,0,Y19/S19)</f>
        <v>0</v>
      </c>
      <c r="AO19" s="124">
        <f t="shared" ref="AO19:AO70" si="42">I19</f>
        <v>0</v>
      </c>
      <c r="AP19" s="124">
        <f t="shared" ref="AP19:AP70" si="43">IF(S19=0,0,AC19/S19)</f>
        <v>0</v>
      </c>
      <c r="AQ19" s="124">
        <f t="shared" ref="AQ19:AQ70" si="44">IF(Q19=0,AE19/1,AE19/Q19)</f>
        <v>0</v>
      </c>
      <c r="AR19" s="124">
        <f t="shared" ref="AR19:AR70" si="45">IF(Q19=0,0,(AF19+AG19)/Q19)</f>
        <v>0</v>
      </c>
      <c r="AS19" s="124">
        <f t="array" ref="AS19">_xlfn.IFS(S19=0,AL19,S19&lt;0,AL19/-S19,S19&gt;0,AL19/S19)</f>
        <v>0</v>
      </c>
      <c r="AT19" s="119">
        <f t="shared" ref="AT19:AT70" si="46">IF(AN19=0,0,AS19/AN19)</f>
        <v>0</v>
      </c>
      <c r="AU19" s="119">
        <f t="shared" ref="AU19:AU70" si="47">IF(AO19=0,0,AS19/AO19)</f>
        <v>0</v>
      </c>
      <c r="AV19" s="125"/>
      <c r="AW19" s="120">
        <f t="shared" ref="AW19:AW70" si="48">AS19*E19</f>
        <v>0</v>
      </c>
    </row>
    <row r="20" spans="1:49" hidden="1" outlineLevel="1">
      <c r="A20" s="114"/>
      <c r="B20" s="115"/>
      <c r="C20" s="115"/>
      <c r="D20" s="116"/>
      <c r="E20" s="117">
        <f t="shared" si="28"/>
        <v>0</v>
      </c>
      <c r="F20" s="117"/>
      <c r="G20" s="117"/>
      <c r="H20" s="117"/>
      <c r="I20" s="117"/>
      <c r="J20" s="117">
        <f t="shared" si="29"/>
        <v>0</v>
      </c>
      <c r="K20" s="114"/>
      <c r="L20" s="114"/>
      <c r="M20" s="114"/>
      <c r="N20" s="114"/>
      <c r="O20" s="117">
        <f t="shared" si="30"/>
        <v>0</v>
      </c>
      <c r="P20" s="117">
        <f t="shared" si="31"/>
        <v>0</v>
      </c>
      <c r="Q20" s="118"/>
      <c r="R20" s="118"/>
      <c r="S20" s="117">
        <f t="shared" si="32"/>
        <v>0</v>
      </c>
      <c r="T20" s="117"/>
      <c r="U20" s="117"/>
      <c r="V20" s="117">
        <f t="shared" si="33"/>
        <v>0</v>
      </c>
      <c r="W20" s="118"/>
      <c r="X20" s="118"/>
      <c r="Y20" s="117">
        <f t="shared" si="34"/>
        <v>0</v>
      </c>
      <c r="Z20" s="117">
        <f t="shared" si="35"/>
        <v>0</v>
      </c>
      <c r="AA20" s="119">
        <f t="shared" ref="AA20:AA70" si="49">Y20/$Y$74</f>
        <v>0</v>
      </c>
      <c r="AB20" s="117">
        <f t="shared" si="36"/>
        <v>0</v>
      </c>
      <c r="AC20" s="118"/>
      <c r="AD20" s="119">
        <f t="shared" si="37"/>
        <v>0</v>
      </c>
      <c r="AE20" s="118"/>
      <c r="AF20" s="118"/>
      <c r="AG20" s="118"/>
      <c r="AH20" s="118"/>
      <c r="AI20" s="152">
        <f t="shared" si="38"/>
        <v>0</v>
      </c>
      <c r="AJ20" s="118"/>
      <c r="AK20" s="120">
        <f t="shared" si="39"/>
        <v>0</v>
      </c>
      <c r="AL20" s="121">
        <f t="shared" si="40"/>
        <v>0</v>
      </c>
      <c r="AM20" s="122"/>
      <c r="AN20" s="123">
        <f t="shared" si="41"/>
        <v>0</v>
      </c>
      <c r="AO20" s="124">
        <f t="shared" si="42"/>
        <v>0</v>
      </c>
      <c r="AP20" s="124">
        <f t="shared" si="43"/>
        <v>0</v>
      </c>
      <c r="AQ20" s="124">
        <f t="shared" si="44"/>
        <v>0</v>
      </c>
      <c r="AR20" s="124">
        <f t="shared" si="45"/>
        <v>0</v>
      </c>
      <c r="AS20" s="124">
        <f t="array" ref="AS20">_xlfn.IFS(S20=0,AL20,S20&lt;0,AL20/-S20,S20&gt;0,AL20/S20)</f>
        <v>0</v>
      </c>
      <c r="AT20" s="119">
        <f t="shared" si="46"/>
        <v>0</v>
      </c>
      <c r="AU20" s="119">
        <f t="shared" si="47"/>
        <v>0</v>
      </c>
      <c r="AV20" s="125"/>
      <c r="AW20" s="120">
        <f t="shared" si="48"/>
        <v>0</v>
      </c>
    </row>
    <row r="21" spans="1:49" hidden="1" outlineLevel="1">
      <c r="A21" s="114"/>
      <c r="B21" s="115"/>
      <c r="C21" s="115"/>
      <c r="D21" s="116"/>
      <c r="E21" s="117">
        <f t="shared" si="28"/>
        <v>0</v>
      </c>
      <c r="F21" s="117"/>
      <c r="G21" s="117"/>
      <c r="H21" s="117"/>
      <c r="I21" s="117"/>
      <c r="J21" s="117">
        <f t="shared" si="29"/>
        <v>0</v>
      </c>
      <c r="K21" s="114"/>
      <c r="L21" s="114"/>
      <c r="M21" s="114"/>
      <c r="N21" s="114"/>
      <c r="O21" s="117">
        <f t="shared" si="30"/>
        <v>0</v>
      </c>
      <c r="P21" s="117">
        <f t="shared" si="31"/>
        <v>0</v>
      </c>
      <c r="Q21" s="118"/>
      <c r="R21" s="118"/>
      <c r="S21" s="117">
        <f t="shared" si="32"/>
        <v>0</v>
      </c>
      <c r="T21" s="117"/>
      <c r="U21" s="117"/>
      <c r="V21" s="117">
        <f t="shared" si="33"/>
        <v>0</v>
      </c>
      <c r="W21" s="118"/>
      <c r="X21" s="118"/>
      <c r="Y21" s="117">
        <f t="shared" si="34"/>
        <v>0</v>
      </c>
      <c r="Z21" s="117">
        <f t="shared" si="35"/>
        <v>0</v>
      </c>
      <c r="AA21" s="119">
        <f t="shared" si="49"/>
        <v>0</v>
      </c>
      <c r="AB21" s="117">
        <f t="shared" si="36"/>
        <v>0</v>
      </c>
      <c r="AC21" s="118"/>
      <c r="AD21" s="119">
        <f t="shared" si="37"/>
        <v>0</v>
      </c>
      <c r="AE21" s="118"/>
      <c r="AF21" s="118"/>
      <c r="AG21" s="118"/>
      <c r="AH21" s="118"/>
      <c r="AI21" s="152">
        <f t="shared" si="38"/>
        <v>0</v>
      </c>
      <c r="AJ21" s="118"/>
      <c r="AK21" s="120">
        <f t="shared" si="39"/>
        <v>0</v>
      </c>
      <c r="AL21" s="121">
        <f t="shared" si="40"/>
        <v>0</v>
      </c>
      <c r="AM21" s="122"/>
      <c r="AN21" s="123">
        <f t="shared" si="41"/>
        <v>0</v>
      </c>
      <c r="AO21" s="124">
        <f t="shared" si="42"/>
        <v>0</v>
      </c>
      <c r="AP21" s="124">
        <f t="shared" si="43"/>
        <v>0</v>
      </c>
      <c r="AQ21" s="124">
        <f t="shared" si="44"/>
        <v>0</v>
      </c>
      <c r="AR21" s="124">
        <f t="shared" si="45"/>
        <v>0</v>
      </c>
      <c r="AS21" s="124">
        <f t="array" ref="AS21">_xlfn.IFS(S21=0,AL21,S21&lt;0,AL21/-S21,S21&gt;0,AL21/S21)</f>
        <v>0</v>
      </c>
      <c r="AT21" s="119">
        <f t="shared" si="46"/>
        <v>0</v>
      </c>
      <c r="AU21" s="119">
        <f t="shared" si="47"/>
        <v>0</v>
      </c>
      <c r="AV21" s="125"/>
      <c r="AW21" s="120">
        <f t="shared" si="48"/>
        <v>0</v>
      </c>
    </row>
    <row r="22" spans="1:49" hidden="1" outlineLevel="1">
      <c r="A22" s="114"/>
      <c r="B22" s="115"/>
      <c r="C22" s="115"/>
      <c r="D22" s="116"/>
      <c r="E22" s="117">
        <f t="shared" si="28"/>
        <v>0</v>
      </c>
      <c r="F22" s="117"/>
      <c r="G22" s="117"/>
      <c r="H22" s="117"/>
      <c r="I22" s="117"/>
      <c r="J22" s="117">
        <f t="shared" si="29"/>
        <v>0</v>
      </c>
      <c r="K22" s="114"/>
      <c r="L22" s="114"/>
      <c r="M22" s="114"/>
      <c r="N22" s="114"/>
      <c r="O22" s="117">
        <f t="shared" si="30"/>
        <v>0</v>
      </c>
      <c r="P22" s="117">
        <f t="shared" si="31"/>
        <v>0</v>
      </c>
      <c r="Q22" s="118"/>
      <c r="R22" s="118"/>
      <c r="S22" s="117">
        <f t="shared" si="32"/>
        <v>0</v>
      </c>
      <c r="T22" s="117"/>
      <c r="U22" s="117"/>
      <c r="V22" s="117">
        <f t="shared" si="33"/>
        <v>0</v>
      </c>
      <c r="W22" s="118"/>
      <c r="X22" s="118"/>
      <c r="Y22" s="117">
        <f t="shared" si="34"/>
        <v>0</v>
      </c>
      <c r="Z22" s="117">
        <f t="shared" si="35"/>
        <v>0</v>
      </c>
      <c r="AA22" s="119">
        <f t="shared" si="49"/>
        <v>0</v>
      </c>
      <c r="AB22" s="117">
        <f t="shared" si="36"/>
        <v>0</v>
      </c>
      <c r="AC22" s="118"/>
      <c r="AD22" s="119">
        <f t="shared" si="37"/>
        <v>0</v>
      </c>
      <c r="AE22" s="118"/>
      <c r="AF22" s="118"/>
      <c r="AG22" s="118"/>
      <c r="AH22" s="118"/>
      <c r="AI22" s="152">
        <f t="shared" si="38"/>
        <v>0</v>
      </c>
      <c r="AJ22" s="118"/>
      <c r="AK22" s="120">
        <f t="shared" si="39"/>
        <v>0</v>
      </c>
      <c r="AL22" s="121">
        <f t="shared" si="40"/>
        <v>0</v>
      </c>
      <c r="AM22" s="122"/>
      <c r="AN22" s="123">
        <f t="shared" si="41"/>
        <v>0</v>
      </c>
      <c r="AO22" s="124">
        <f t="shared" si="42"/>
        <v>0</v>
      </c>
      <c r="AP22" s="124">
        <f t="shared" si="43"/>
        <v>0</v>
      </c>
      <c r="AQ22" s="124">
        <f t="shared" si="44"/>
        <v>0</v>
      </c>
      <c r="AR22" s="124">
        <f t="shared" si="45"/>
        <v>0</v>
      </c>
      <c r="AS22" s="124">
        <f t="array" ref="AS22">_xlfn.IFS(S22=0,AL22,S22&lt;0,AL22/-S22,S22&gt;0,AL22/S22)</f>
        <v>0</v>
      </c>
      <c r="AT22" s="119">
        <f t="shared" si="46"/>
        <v>0</v>
      </c>
      <c r="AU22" s="119">
        <f t="shared" si="47"/>
        <v>0</v>
      </c>
      <c r="AV22" s="125"/>
      <c r="AW22" s="120">
        <f t="shared" si="48"/>
        <v>0</v>
      </c>
    </row>
    <row r="23" spans="1:49" hidden="1" outlineLevel="1">
      <c r="A23" s="114"/>
      <c r="B23" s="115"/>
      <c r="C23" s="115"/>
      <c r="D23" s="116"/>
      <c r="E23" s="117">
        <f t="shared" si="28"/>
        <v>0</v>
      </c>
      <c r="F23" s="117"/>
      <c r="G23" s="117"/>
      <c r="H23" s="117"/>
      <c r="I23" s="117"/>
      <c r="J23" s="117">
        <f t="shared" si="29"/>
        <v>0</v>
      </c>
      <c r="K23" s="114"/>
      <c r="L23" s="114"/>
      <c r="M23" s="114"/>
      <c r="N23" s="114"/>
      <c r="O23" s="117">
        <f t="shared" si="30"/>
        <v>0</v>
      </c>
      <c r="P23" s="117">
        <f t="shared" si="31"/>
        <v>0</v>
      </c>
      <c r="Q23" s="118"/>
      <c r="R23" s="118"/>
      <c r="S23" s="117">
        <f t="shared" si="32"/>
        <v>0</v>
      </c>
      <c r="T23" s="117"/>
      <c r="U23" s="117"/>
      <c r="V23" s="117">
        <f t="shared" si="33"/>
        <v>0</v>
      </c>
      <c r="W23" s="118"/>
      <c r="X23" s="118"/>
      <c r="Y23" s="117">
        <f t="shared" si="34"/>
        <v>0</v>
      </c>
      <c r="Z23" s="117">
        <f t="shared" si="35"/>
        <v>0</v>
      </c>
      <c r="AA23" s="119">
        <f t="shared" si="49"/>
        <v>0</v>
      </c>
      <c r="AB23" s="117">
        <f t="shared" si="36"/>
        <v>0</v>
      </c>
      <c r="AC23" s="118"/>
      <c r="AD23" s="119">
        <f t="shared" si="37"/>
        <v>0</v>
      </c>
      <c r="AE23" s="118"/>
      <c r="AF23" s="118"/>
      <c r="AG23" s="118"/>
      <c r="AH23" s="118"/>
      <c r="AI23" s="152">
        <f t="shared" si="38"/>
        <v>0</v>
      </c>
      <c r="AJ23" s="118"/>
      <c r="AK23" s="120">
        <f t="shared" si="39"/>
        <v>0</v>
      </c>
      <c r="AL23" s="121">
        <f t="shared" si="40"/>
        <v>0</v>
      </c>
      <c r="AM23" s="122"/>
      <c r="AN23" s="123">
        <f t="shared" si="41"/>
        <v>0</v>
      </c>
      <c r="AO23" s="124">
        <f t="shared" si="42"/>
        <v>0</v>
      </c>
      <c r="AP23" s="124">
        <f t="shared" si="43"/>
        <v>0</v>
      </c>
      <c r="AQ23" s="124">
        <f t="shared" si="44"/>
        <v>0</v>
      </c>
      <c r="AR23" s="124">
        <f t="shared" si="45"/>
        <v>0</v>
      </c>
      <c r="AS23" s="124">
        <f t="array" ref="AS23">_xlfn.IFS(S23=0,AL23,S23&lt;0,AL23/-S23,S23&gt;0,AL23/S23)</f>
        <v>0</v>
      </c>
      <c r="AT23" s="119">
        <f t="shared" si="46"/>
        <v>0</v>
      </c>
      <c r="AU23" s="119">
        <f t="shared" si="47"/>
        <v>0</v>
      </c>
      <c r="AV23" s="125"/>
      <c r="AW23" s="120">
        <f t="shared" si="48"/>
        <v>0</v>
      </c>
    </row>
    <row r="24" spans="1:49" hidden="1" outlineLevel="1">
      <c r="A24" s="114"/>
      <c r="B24" s="115"/>
      <c r="C24" s="115"/>
      <c r="D24" s="116"/>
      <c r="E24" s="117">
        <f t="shared" si="28"/>
        <v>0</v>
      </c>
      <c r="F24" s="117"/>
      <c r="G24" s="117"/>
      <c r="H24" s="117"/>
      <c r="I24" s="117"/>
      <c r="J24" s="117">
        <f t="shared" si="29"/>
        <v>0</v>
      </c>
      <c r="K24" s="114"/>
      <c r="L24" s="114"/>
      <c r="M24" s="114"/>
      <c r="N24" s="114"/>
      <c r="O24" s="117">
        <f t="shared" si="30"/>
        <v>0</v>
      </c>
      <c r="P24" s="117">
        <f t="shared" si="31"/>
        <v>0</v>
      </c>
      <c r="Q24" s="118"/>
      <c r="R24" s="118"/>
      <c r="S24" s="117">
        <f t="shared" si="32"/>
        <v>0</v>
      </c>
      <c r="T24" s="117"/>
      <c r="U24" s="117"/>
      <c r="V24" s="117">
        <f t="shared" si="33"/>
        <v>0</v>
      </c>
      <c r="W24" s="118"/>
      <c r="X24" s="118"/>
      <c r="Y24" s="117">
        <f t="shared" si="34"/>
        <v>0</v>
      </c>
      <c r="Z24" s="117">
        <f t="shared" si="35"/>
        <v>0</v>
      </c>
      <c r="AA24" s="119">
        <f t="shared" si="49"/>
        <v>0</v>
      </c>
      <c r="AB24" s="117">
        <f t="shared" si="36"/>
        <v>0</v>
      </c>
      <c r="AC24" s="118"/>
      <c r="AD24" s="119">
        <f t="shared" si="37"/>
        <v>0</v>
      </c>
      <c r="AE24" s="118"/>
      <c r="AF24" s="118"/>
      <c r="AG24" s="118"/>
      <c r="AH24" s="118"/>
      <c r="AI24" s="152">
        <f t="shared" si="38"/>
        <v>0</v>
      </c>
      <c r="AJ24" s="118"/>
      <c r="AK24" s="120">
        <f t="shared" si="39"/>
        <v>0</v>
      </c>
      <c r="AL24" s="121">
        <f t="shared" si="40"/>
        <v>0</v>
      </c>
      <c r="AM24" s="122"/>
      <c r="AN24" s="123">
        <f t="shared" si="41"/>
        <v>0</v>
      </c>
      <c r="AO24" s="124">
        <f t="shared" si="42"/>
        <v>0</v>
      </c>
      <c r="AP24" s="124">
        <f t="shared" si="43"/>
        <v>0</v>
      </c>
      <c r="AQ24" s="124">
        <f t="shared" si="44"/>
        <v>0</v>
      </c>
      <c r="AR24" s="124">
        <f t="shared" si="45"/>
        <v>0</v>
      </c>
      <c r="AS24" s="124">
        <f t="array" ref="AS24">_xlfn.IFS(S24=0,AL24,S24&lt;0,AL24/-S24,S24&gt;0,AL24/S24)</f>
        <v>0</v>
      </c>
      <c r="AT24" s="119">
        <f t="shared" si="46"/>
        <v>0</v>
      </c>
      <c r="AU24" s="119">
        <f t="shared" si="47"/>
        <v>0</v>
      </c>
      <c r="AV24" s="125"/>
      <c r="AW24" s="120">
        <f t="shared" si="48"/>
        <v>0</v>
      </c>
    </row>
    <row r="25" spans="1:49" hidden="1" outlineLevel="1">
      <c r="A25" s="114"/>
      <c r="B25" s="115"/>
      <c r="C25" s="115"/>
      <c r="D25" s="116"/>
      <c r="E25" s="117">
        <f t="shared" si="28"/>
        <v>0</v>
      </c>
      <c r="F25" s="117"/>
      <c r="G25" s="117"/>
      <c r="H25" s="117"/>
      <c r="I25" s="117"/>
      <c r="J25" s="117">
        <f t="shared" si="29"/>
        <v>0</v>
      </c>
      <c r="K25" s="114"/>
      <c r="L25" s="114"/>
      <c r="M25" s="114"/>
      <c r="N25" s="114"/>
      <c r="O25" s="117">
        <f t="shared" si="30"/>
        <v>0</v>
      </c>
      <c r="P25" s="117">
        <f t="shared" si="31"/>
        <v>0</v>
      </c>
      <c r="Q25" s="118"/>
      <c r="R25" s="118"/>
      <c r="S25" s="117">
        <f t="shared" si="32"/>
        <v>0</v>
      </c>
      <c r="T25" s="117"/>
      <c r="U25" s="117"/>
      <c r="V25" s="117">
        <f t="shared" si="33"/>
        <v>0</v>
      </c>
      <c r="W25" s="118"/>
      <c r="X25" s="118"/>
      <c r="Y25" s="117">
        <f t="shared" si="34"/>
        <v>0</v>
      </c>
      <c r="Z25" s="117">
        <f t="shared" si="35"/>
        <v>0</v>
      </c>
      <c r="AA25" s="119">
        <f t="shared" si="49"/>
        <v>0</v>
      </c>
      <c r="AB25" s="117">
        <f t="shared" si="36"/>
        <v>0</v>
      </c>
      <c r="AC25" s="118"/>
      <c r="AD25" s="119">
        <f t="shared" si="37"/>
        <v>0</v>
      </c>
      <c r="AE25" s="118"/>
      <c r="AF25" s="118"/>
      <c r="AG25" s="118"/>
      <c r="AH25" s="118"/>
      <c r="AI25" s="152">
        <f t="shared" si="38"/>
        <v>0</v>
      </c>
      <c r="AJ25" s="118"/>
      <c r="AK25" s="120">
        <f t="shared" si="39"/>
        <v>0</v>
      </c>
      <c r="AL25" s="121">
        <f t="shared" si="40"/>
        <v>0</v>
      </c>
      <c r="AM25" s="122"/>
      <c r="AN25" s="123">
        <f t="shared" si="41"/>
        <v>0</v>
      </c>
      <c r="AO25" s="124">
        <f t="shared" si="42"/>
        <v>0</v>
      </c>
      <c r="AP25" s="124">
        <f t="shared" si="43"/>
        <v>0</v>
      </c>
      <c r="AQ25" s="124">
        <f t="shared" si="44"/>
        <v>0</v>
      </c>
      <c r="AR25" s="124">
        <f t="shared" si="45"/>
        <v>0</v>
      </c>
      <c r="AS25" s="124">
        <f t="array" ref="AS25">_xlfn.IFS(S25=0,AL25,S25&lt;0,AL25/-S25,S25&gt;0,AL25/S25)</f>
        <v>0</v>
      </c>
      <c r="AT25" s="119">
        <f t="shared" si="46"/>
        <v>0</v>
      </c>
      <c r="AU25" s="119">
        <f t="shared" si="47"/>
        <v>0</v>
      </c>
      <c r="AV25" s="125"/>
      <c r="AW25" s="120">
        <f t="shared" si="48"/>
        <v>0</v>
      </c>
    </row>
    <row r="26" spans="1:49" hidden="1" outlineLevel="1">
      <c r="A26" s="114"/>
      <c r="B26" s="115"/>
      <c r="C26" s="115"/>
      <c r="D26" s="116"/>
      <c r="E26" s="117">
        <f t="shared" si="28"/>
        <v>0</v>
      </c>
      <c r="F26" s="117"/>
      <c r="G26" s="117"/>
      <c r="H26" s="117"/>
      <c r="I26" s="117"/>
      <c r="J26" s="117">
        <f t="shared" si="29"/>
        <v>0</v>
      </c>
      <c r="K26" s="114"/>
      <c r="L26" s="114"/>
      <c r="M26" s="114"/>
      <c r="N26" s="114"/>
      <c r="O26" s="117">
        <f t="shared" si="30"/>
        <v>0</v>
      </c>
      <c r="P26" s="117">
        <f t="shared" si="31"/>
        <v>0</v>
      </c>
      <c r="Q26" s="118"/>
      <c r="R26" s="118"/>
      <c r="S26" s="117">
        <f t="shared" si="32"/>
        <v>0</v>
      </c>
      <c r="T26" s="117"/>
      <c r="U26" s="117"/>
      <c r="V26" s="117">
        <f t="shared" si="33"/>
        <v>0</v>
      </c>
      <c r="W26" s="118"/>
      <c r="X26" s="118"/>
      <c r="Y26" s="117">
        <f t="shared" si="34"/>
        <v>0</v>
      </c>
      <c r="Z26" s="117">
        <f t="shared" si="35"/>
        <v>0</v>
      </c>
      <c r="AA26" s="119">
        <f t="shared" si="49"/>
        <v>0</v>
      </c>
      <c r="AB26" s="117">
        <f t="shared" si="36"/>
        <v>0</v>
      </c>
      <c r="AC26" s="118"/>
      <c r="AD26" s="119">
        <f t="shared" si="37"/>
        <v>0</v>
      </c>
      <c r="AE26" s="118"/>
      <c r="AF26" s="118"/>
      <c r="AG26" s="118"/>
      <c r="AH26" s="118"/>
      <c r="AI26" s="152">
        <f t="shared" si="38"/>
        <v>0</v>
      </c>
      <c r="AJ26" s="118"/>
      <c r="AK26" s="120">
        <f t="shared" si="39"/>
        <v>0</v>
      </c>
      <c r="AL26" s="121">
        <f t="shared" si="40"/>
        <v>0</v>
      </c>
      <c r="AM26" s="122"/>
      <c r="AN26" s="123">
        <f t="shared" si="41"/>
        <v>0</v>
      </c>
      <c r="AO26" s="124">
        <f t="shared" si="42"/>
        <v>0</v>
      </c>
      <c r="AP26" s="124">
        <f t="shared" si="43"/>
        <v>0</v>
      </c>
      <c r="AQ26" s="124">
        <f t="shared" si="44"/>
        <v>0</v>
      </c>
      <c r="AR26" s="124">
        <f t="shared" si="45"/>
        <v>0</v>
      </c>
      <c r="AS26" s="124">
        <f t="array" ref="AS26">_xlfn.IFS(S26=0,AL26,S26&lt;0,AL26/-S26,S26&gt;0,AL26/S26)</f>
        <v>0</v>
      </c>
      <c r="AT26" s="119">
        <f t="shared" si="46"/>
        <v>0</v>
      </c>
      <c r="AU26" s="119">
        <f t="shared" si="47"/>
        <v>0</v>
      </c>
      <c r="AV26" s="125"/>
      <c r="AW26" s="120">
        <f t="shared" si="48"/>
        <v>0</v>
      </c>
    </row>
    <row r="27" spans="1:49" hidden="1" outlineLevel="1">
      <c r="A27" s="114"/>
      <c r="B27" s="115"/>
      <c r="C27" s="115"/>
      <c r="D27" s="116"/>
      <c r="E27" s="117">
        <f t="shared" si="28"/>
        <v>0</v>
      </c>
      <c r="F27" s="117"/>
      <c r="G27" s="117"/>
      <c r="H27" s="117"/>
      <c r="I27" s="117"/>
      <c r="J27" s="117">
        <f t="shared" si="29"/>
        <v>0</v>
      </c>
      <c r="K27" s="114"/>
      <c r="L27" s="114"/>
      <c r="M27" s="114"/>
      <c r="N27" s="114"/>
      <c r="O27" s="117">
        <f t="shared" si="30"/>
        <v>0</v>
      </c>
      <c r="P27" s="117">
        <f t="shared" si="31"/>
        <v>0</v>
      </c>
      <c r="Q27" s="118"/>
      <c r="R27" s="118"/>
      <c r="S27" s="117">
        <f t="shared" si="32"/>
        <v>0</v>
      </c>
      <c r="T27" s="117"/>
      <c r="U27" s="117"/>
      <c r="V27" s="117">
        <f t="shared" si="33"/>
        <v>0</v>
      </c>
      <c r="W27" s="118"/>
      <c r="X27" s="118"/>
      <c r="Y27" s="117">
        <f t="shared" si="34"/>
        <v>0</v>
      </c>
      <c r="Z27" s="117">
        <f t="shared" si="35"/>
        <v>0</v>
      </c>
      <c r="AA27" s="119">
        <f t="shared" si="49"/>
        <v>0</v>
      </c>
      <c r="AB27" s="117">
        <f t="shared" si="36"/>
        <v>0</v>
      </c>
      <c r="AC27" s="118"/>
      <c r="AD27" s="119">
        <f t="shared" si="37"/>
        <v>0</v>
      </c>
      <c r="AE27" s="118"/>
      <c r="AF27" s="118"/>
      <c r="AG27" s="118"/>
      <c r="AH27" s="118"/>
      <c r="AI27" s="152">
        <f t="shared" si="38"/>
        <v>0</v>
      </c>
      <c r="AJ27" s="118"/>
      <c r="AK27" s="120">
        <f t="shared" si="39"/>
        <v>0</v>
      </c>
      <c r="AL27" s="121">
        <f t="shared" si="40"/>
        <v>0</v>
      </c>
      <c r="AM27" s="122"/>
      <c r="AN27" s="123">
        <f t="shared" si="41"/>
        <v>0</v>
      </c>
      <c r="AO27" s="124">
        <f t="shared" si="42"/>
        <v>0</v>
      </c>
      <c r="AP27" s="124">
        <f t="shared" si="43"/>
        <v>0</v>
      </c>
      <c r="AQ27" s="124">
        <f t="shared" si="44"/>
        <v>0</v>
      </c>
      <c r="AR27" s="124">
        <f t="shared" si="45"/>
        <v>0</v>
      </c>
      <c r="AS27" s="124">
        <f t="array" ref="AS27">_xlfn.IFS(S27=0,AL27,S27&lt;0,AL27/-S27,S27&gt;0,AL27/S27)</f>
        <v>0</v>
      </c>
      <c r="AT27" s="119">
        <f t="shared" si="46"/>
        <v>0</v>
      </c>
      <c r="AU27" s="119">
        <f t="shared" si="47"/>
        <v>0</v>
      </c>
      <c r="AV27" s="125"/>
      <c r="AW27" s="120">
        <f t="shared" si="48"/>
        <v>0</v>
      </c>
    </row>
    <row r="28" spans="1:49" hidden="1" outlineLevel="1">
      <c r="A28" s="114"/>
      <c r="B28" s="115"/>
      <c r="C28" s="115"/>
      <c r="D28" s="116"/>
      <c r="E28" s="117">
        <f t="shared" si="28"/>
        <v>0</v>
      </c>
      <c r="F28" s="117"/>
      <c r="G28" s="117"/>
      <c r="H28" s="117"/>
      <c r="I28" s="117"/>
      <c r="J28" s="117">
        <f t="shared" si="29"/>
        <v>0</v>
      </c>
      <c r="K28" s="114"/>
      <c r="L28" s="114"/>
      <c r="M28" s="114"/>
      <c r="N28" s="114"/>
      <c r="O28" s="117">
        <f t="shared" si="30"/>
        <v>0</v>
      </c>
      <c r="P28" s="117">
        <f t="shared" si="31"/>
        <v>0</v>
      </c>
      <c r="Q28" s="118"/>
      <c r="R28" s="118"/>
      <c r="S28" s="117">
        <f t="shared" si="32"/>
        <v>0</v>
      </c>
      <c r="T28" s="117"/>
      <c r="U28" s="117"/>
      <c r="V28" s="117">
        <f t="shared" si="33"/>
        <v>0</v>
      </c>
      <c r="W28" s="118"/>
      <c r="X28" s="118"/>
      <c r="Y28" s="117">
        <f t="shared" si="34"/>
        <v>0</v>
      </c>
      <c r="Z28" s="117">
        <f t="shared" si="35"/>
        <v>0</v>
      </c>
      <c r="AA28" s="119">
        <f t="shared" si="49"/>
        <v>0</v>
      </c>
      <c r="AB28" s="117">
        <f t="shared" si="36"/>
        <v>0</v>
      </c>
      <c r="AC28" s="118"/>
      <c r="AD28" s="119">
        <f t="shared" si="37"/>
        <v>0</v>
      </c>
      <c r="AE28" s="118"/>
      <c r="AF28" s="118"/>
      <c r="AG28" s="118"/>
      <c r="AH28" s="118"/>
      <c r="AI28" s="152">
        <f t="shared" si="38"/>
        <v>0</v>
      </c>
      <c r="AJ28" s="118"/>
      <c r="AK28" s="120">
        <f t="shared" si="39"/>
        <v>0</v>
      </c>
      <c r="AL28" s="121">
        <f t="shared" si="40"/>
        <v>0</v>
      </c>
      <c r="AM28" s="122"/>
      <c r="AN28" s="123">
        <f t="shared" si="41"/>
        <v>0</v>
      </c>
      <c r="AO28" s="124">
        <f t="shared" si="42"/>
        <v>0</v>
      </c>
      <c r="AP28" s="124">
        <f t="shared" si="43"/>
        <v>0</v>
      </c>
      <c r="AQ28" s="124">
        <f t="shared" si="44"/>
        <v>0</v>
      </c>
      <c r="AR28" s="124">
        <f t="shared" si="45"/>
        <v>0</v>
      </c>
      <c r="AS28" s="124">
        <f t="array" ref="AS28">_xlfn.IFS(S28=0,AL28,S28&lt;0,AL28/-S28,S28&gt;0,AL28/S28)</f>
        <v>0</v>
      </c>
      <c r="AT28" s="119">
        <f t="shared" si="46"/>
        <v>0</v>
      </c>
      <c r="AU28" s="119">
        <f t="shared" si="47"/>
        <v>0</v>
      </c>
      <c r="AV28" s="125"/>
      <c r="AW28" s="120">
        <f t="shared" si="48"/>
        <v>0</v>
      </c>
    </row>
    <row r="29" spans="1:49" hidden="1" outlineLevel="1">
      <c r="A29" s="114"/>
      <c r="B29" s="115"/>
      <c r="C29" s="115"/>
      <c r="D29" s="116"/>
      <c r="E29" s="117">
        <f t="shared" si="28"/>
        <v>0</v>
      </c>
      <c r="F29" s="117"/>
      <c r="G29" s="117"/>
      <c r="H29" s="117"/>
      <c r="I29" s="117"/>
      <c r="J29" s="117">
        <f t="shared" si="29"/>
        <v>0</v>
      </c>
      <c r="K29" s="114"/>
      <c r="L29" s="114"/>
      <c r="M29" s="114"/>
      <c r="N29" s="114"/>
      <c r="O29" s="117">
        <f t="shared" si="30"/>
        <v>0</v>
      </c>
      <c r="P29" s="117">
        <f t="shared" si="31"/>
        <v>0</v>
      </c>
      <c r="Q29" s="118"/>
      <c r="R29" s="118"/>
      <c r="S29" s="117">
        <f t="shared" si="32"/>
        <v>0</v>
      </c>
      <c r="T29" s="117"/>
      <c r="U29" s="117"/>
      <c r="V29" s="117">
        <f t="shared" si="33"/>
        <v>0</v>
      </c>
      <c r="W29" s="118"/>
      <c r="X29" s="118"/>
      <c r="Y29" s="117">
        <f t="shared" si="34"/>
        <v>0</v>
      </c>
      <c r="Z29" s="117">
        <f t="shared" si="35"/>
        <v>0</v>
      </c>
      <c r="AA29" s="119">
        <f t="shared" si="49"/>
        <v>0</v>
      </c>
      <c r="AB29" s="117">
        <f t="shared" si="36"/>
        <v>0</v>
      </c>
      <c r="AC29" s="118"/>
      <c r="AD29" s="119">
        <f t="shared" si="37"/>
        <v>0</v>
      </c>
      <c r="AE29" s="118"/>
      <c r="AF29" s="118"/>
      <c r="AG29" s="118"/>
      <c r="AH29" s="118"/>
      <c r="AI29" s="152">
        <f t="shared" si="38"/>
        <v>0</v>
      </c>
      <c r="AJ29" s="118"/>
      <c r="AK29" s="120">
        <f t="shared" si="39"/>
        <v>0</v>
      </c>
      <c r="AL29" s="121">
        <f t="shared" si="40"/>
        <v>0</v>
      </c>
      <c r="AM29" s="122"/>
      <c r="AN29" s="123">
        <f t="shared" si="41"/>
        <v>0</v>
      </c>
      <c r="AO29" s="124">
        <f t="shared" si="42"/>
        <v>0</v>
      </c>
      <c r="AP29" s="124">
        <f t="shared" si="43"/>
        <v>0</v>
      </c>
      <c r="AQ29" s="124">
        <f t="shared" si="44"/>
        <v>0</v>
      </c>
      <c r="AR29" s="124">
        <f t="shared" si="45"/>
        <v>0</v>
      </c>
      <c r="AS29" s="124">
        <f t="array" ref="AS29">_xlfn.IFS(S29=0,AL29,S29&lt;0,AL29/-S29,S29&gt;0,AL29/S29)</f>
        <v>0</v>
      </c>
      <c r="AT29" s="119">
        <f t="shared" si="46"/>
        <v>0</v>
      </c>
      <c r="AU29" s="119">
        <f t="shared" si="47"/>
        <v>0</v>
      </c>
      <c r="AV29" s="125"/>
      <c r="AW29" s="120">
        <f t="shared" si="48"/>
        <v>0</v>
      </c>
    </row>
    <row r="30" spans="1:49" hidden="1" outlineLevel="1">
      <c r="A30" s="114"/>
      <c r="B30" s="115"/>
      <c r="C30" s="115"/>
      <c r="D30" s="116"/>
      <c r="E30" s="117">
        <f t="shared" si="28"/>
        <v>0</v>
      </c>
      <c r="F30" s="117"/>
      <c r="G30" s="117"/>
      <c r="H30" s="117"/>
      <c r="I30" s="117"/>
      <c r="J30" s="117">
        <f t="shared" si="29"/>
        <v>0</v>
      </c>
      <c r="K30" s="114"/>
      <c r="L30" s="114"/>
      <c r="M30" s="114"/>
      <c r="N30" s="114"/>
      <c r="O30" s="117">
        <f t="shared" si="30"/>
        <v>0</v>
      </c>
      <c r="P30" s="117">
        <f t="shared" si="31"/>
        <v>0</v>
      </c>
      <c r="Q30" s="118"/>
      <c r="R30" s="118"/>
      <c r="S30" s="117">
        <f t="shared" si="32"/>
        <v>0</v>
      </c>
      <c r="T30" s="117"/>
      <c r="U30" s="117"/>
      <c r="V30" s="117">
        <f t="shared" si="33"/>
        <v>0</v>
      </c>
      <c r="W30" s="118"/>
      <c r="X30" s="118"/>
      <c r="Y30" s="117">
        <f t="shared" si="34"/>
        <v>0</v>
      </c>
      <c r="Z30" s="117">
        <f t="shared" si="35"/>
        <v>0</v>
      </c>
      <c r="AA30" s="119">
        <f t="shared" si="49"/>
        <v>0</v>
      </c>
      <c r="AB30" s="117">
        <f t="shared" si="36"/>
        <v>0</v>
      </c>
      <c r="AC30" s="118"/>
      <c r="AD30" s="119">
        <f t="shared" si="37"/>
        <v>0</v>
      </c>
      <c r="AE30" s="118"/>
      <c r="AF30" s="118"/>
      <c r="AG30" s="118"/>
      <c r="AH30" s="118"/>
      <c r="AI30" s="152">
        <f t="shared" si="38"/>
        <v>0</v>
      </c>
      <c r="AJ30" s="118"/>
      <c r="AK30" s="120">
        <f t="shared" si="39"/>
        <v>0</v>
      </c>
      <c r="AL30" s="121">
        <f t="shared" si="40"/>
        <v>0</v>
      </c>
      <c r="AM30" s="122"/>
      <c r="AN30" s="123">
        <f t="shared" si="41"/>
        <v>0</v>
      </c>
      <c r="AO30" s="124">
        <f t="shared" si="42"/>
        <v>0</v>
      </c>
      <c r="AP30" s="124">
        <f t="shared" si="43"/>
        <v>0</v>
      </c>
      <c r="AQ30" s="124">
        <f t="shared" si="44"/>
        <v>0</v>
      </c>
      <c r="AR30" s="124">
        <f t="shared" si="45"/>
        <v>0</v>
      </c>
      <c r="AS30" s="124">
        <f t="array" ref="AS30">_xlfn.IFS(S30=0,AL30,S30&lt;0,AL30/-S30,S30&gt;0,AL30/S30)</f>
        <v>0</v>
      </c>
      <c r="AT30" s="119">
        <f t="shared" si="46"/>
        <v>0</v>
      </c>
      <c r="AU30" s="119">
        <f t="shared" si="47"/>
        <v>0</v>
      </c>
      <c r="AV30" s="125"/>
      <c r="AW30" s="120">
        <f t="shared" si="48"/>
        <v>0</v>
      </c>
    </row>
    <row r="31" spans="1:49" hidden="1" outlineLevel="1">
      <c r="A31" s="114"/>
      <c r="B31" s="115"/>
      <c r="C31" s="115"/>
      <c r="D31" s="116"/>
      <c r="E31" s="117">
        <f t="shared" si="28"/>
        <v>0</v>
      </c>
      <c r="F31" s="117"/>
      <c r="G31" s="117"/>
      <c r="H31" s="117"/>
      <c r="I31" s="117"/>
      <c r="J31" s="117">
        <f t="shared" si="29"/>
        <v>0</v>
      </c>
      <c r="K31" s="114"/>
      <c r="L31" s="114"/>
      <c r="M31" s="114"/>
      <c r="N31" s="114"/>
      <c r="O31" s="117">
        <f t="shared" si="30"/>
        <v>0</v>
      </c>
      <c r="P31" s="117">
        <f t="shared" si="31"/>
        <v>0</v>
      </c>
      <c r="Q31" s="118"/>
      <c r="R31" s="118"/>
      <c r="S31" s="117">
        <f t="shared" si="32"/>
        <v>0</v>
      </c>
      <c r="T31" s="117"/>
      <c r="U31" s="117"/>
      <c r="V31" s="117">
        <f t="shared" si="33"/>
        <v>0</v>
      </c>
      <c r="W31" s="118"/>
      <c r="X31" s="118"/>
      <c r="Y31" s="117">
        <f t="shared" si="34"/>
        <v>0</v>
      </c>
      <c r="Z31" s="117">
        <f t="shared" si="35"/>
        <v>0</v>
      </c>
      <c r="AA31" s="119">
        <f t="shared" si="49"/>
        <v>0</v>
      </c>
      <c r="AB31" s="117">
        <f t="shared" si="36"/>
        <v>0</v>
      </c>
      <c r="AC31" s="118"/>
      <c r="AD31" s="119">
        <f t="shared" si="37"/>
        <v>0</v>
      </c>
      <c r="AE31" s="118"/>
      <c r="AF31" s="118"/>
      <c r="AG31" s="118"/>
      <c r="AH31" s="118"/>
      <c r="AI31" s="152">
        <f t="shared" si="38"/>
        <v>0</v>
      </c>
      <c r="AJ31" s="118"/>
      <c r="AK31" s="120">
        <f t="shared" si="39"/>
        <v>0</v>
      </c>
      <c r="AL31" s="121">
        <f t="shared" si="40"/>
        <v>0</v>
      </c>
      <c r="AM31" s="122"/>
      <c r="AN31" s="123">
        <f t="shared" si="41"/>
        <v>0</v>
      </c>
      <c r="AO31" s="124">
        <f t="shared" si="42"/>
        <v>0</v>
      </c>
      <c r="AP31" s="124">
        <f t="shared" si="43"/>
        <v>0</v>
      </c>
      <c r="AQ31" s="124">
        <f t="shared" si="44"/>
        <v>0</v>
      </c>
      <c r="AR31" s="124">
        <f t="shared" si="45"/>
        <v>0</v>
      </c>
      <c r="AS31" s="124">
        <f t="array" ref="AS31">_xlfn.IFS(S31=0,AL31,S31&lt;0,AL31/-S31,S31&gt;0,AL31/S31)</f>
        <v>0</v>
      </c>
      <c r="AT31" s="119">
        <f t="shared" si="46"/>
        <v>0</v>
      </c>
      <c r="AU31" s="119">
        <f t="shared" si="47"/>
        <v>0</v>
      </c>
      <c r="AV31" s="125"/>
      <c r="AW31" s="120">
        <f t="shared" si="48"/>
        <v>0</v>
      </c>
    </row>
    <row r="32" spans="1:49" hidden="1" outlineLevel="1">
      <c r="A32" s="114"/>
      <c r="B32" s="115"/>
      <c r="C32" s="115"/>
      <c r="D32" s="116"/>
      <c r="E32" s="117">
        <f t="shared" si="28"/>
        <v>0</v>
      </c>
      <c r="F32" s="117"/>
      <c r="G32" s="117"/>
      <c r="H32" s="117"/>
      <c r="I32" s="117"/>
      <c r="J32" s="117">
        <f t="shared" si="29"/>
        <v>0</v>
      </c>
      <c r="K32" s="114"/>
      <c r="L32" s="114"/>
      <c r="M32" s="114"/>
      <c r="N32" s="114"/>
      <c r="O32" s="117">
        <f t="shared" si="30"/>
        <v>0</v>
      </c>
      <c r="P32" s="117">
        <f t="shared" si="31"/>
        <v>0</v>
      </c>
      <c r="Q32" s="118"/>
      <c r="R32" s="118"/>
      <c r="S32" s="117">
        <f t="shared" si="32"/>
        <v>0</v>
      </c>
      <c r="T32" s="117"/>
      <c r="U32" s="117"/>
      <c r="V32" s="117">
        <f t="shared" si="33"/>
        <v>0</v>
      </c>
      <c r="W32" s="118"/>
      <c r="X32" s="118"/>
      <c r="Y32" s="117">
        <f t="shared" si="34"/>
        <v>0</v>
      </c>
      <c r="Z32" s="117">
        <f t="shared" si="35"/>
        <v>0</v>
      </c>
      <c r="AA32" s="119">
        <f t="shared" si="49"/>
        <v>0</v>
      </c>
      <c r="AB32" s="117">
        <f t="shared" si="36"/>
        <v>0</v>
      </c>
      <c r="AC32" s="118"/>
      <c r="AD32" s="119">
        <f t="shared" si="37"/>
        <v>0</v>
      </c>
      <c r="AE32" s="118"/>
      <c r="AF32" s="118"/>
      <c r="AG32" s="118"/>
      <c r="AH32" s="118"/>
      <c r="AI32" s="152">
        <f t="shared" si="38"/>
        <v>0</v>
      </c>
      <c r="AJ32" s="118"/>
      <c r="AK32" s="120">
        <f t="shared" si="39"/>
        <v>0</v>
      </c>
      <c r="AL32" s="121">
        <f t="shared" si="40"/>
        <v>0</v>
      </c>
      <c r="AM32" s="122"/>
      <c r="AN32" s="123">
        <f t="shared" si="41"/>
        <v>0</v>
      </c>
      <c r="AO32" s="124">
        <f t="shared" si="42"/>
        <v>0</v>
      </c>
      <c r="AP32" s="124">
        <f t="shared" si="43"/>
        <v>0</v>
      </c>
      <c r="AQ32" s="124">
        <f t="shared" si="44"/>
        <v>0</v>
      </c>
      <c r="AR32" s="124">
        <f t="shared" si="45"/>
        <v>0</v>
      </c>
      <c r="AS32" s="124">
        <f t="array" ref="AS32">_xlfn.IFS(S32=0,AL32,S32&lt;0,AL32/-S32,S32&gt;0,AL32/S32)</f>
        <v>0</v>
      </c>
      <c r="AT32" s="119">
        <f t="shared" si="46"/>
        <v>0</v>
      </c>
      <c r="AU32" s="119">
        <f t="shared" si="47"/>
        <v>0</v>
      </c>
      <c r="AV32" s="125"/>
      <c r="AW32" s="120">
        <f t="shared" si="48"/>
        <v>0</v>
      </c>
    </row>
    <row r="33" spans="1:49" hidden="1" outlineLevel="1">
      <c r="A33" s="114"/>
      <c r="B33" s="115"/>
      <c r="C33" s="115"/>
      <c r="D33" s="116"/>
      <c r="E33" s="117">
        <f t="shared" si="28"/>
        <v>0</v>
      </c>
      <c r="F33" s="117"/>
      <c r="G33" s="117"/>
      <c r="H33" s="117"/>
      <c r="I33" s="117"/>
      <c r="J33" s="117">
        <f t="shared" si="29"/>
        <v>0</v>
      </c>
      <c r="K33" s="114"/>
      <c r="L33" s="114"/>
      <c r="M33" s="114"/>
      <c r="N33" s="114"/>
      <c r="O33" s="117">
        <f t="shared" si="30"/>
        <v>0</v>
      </c>
      <c r="P33" s="117">
        <f t="shared" si="31"/>
        <v>0</v>
      </c>
      <c r="Q33" s="118"/>
      <c r="R33" s="118"/>
      <c r="S33" s="117">
        <f t="shared" si="32"/>
        <v>0</v>
      </c>
      <c r="T33" s="117"/>
      <c r="U33" s="117"/>
      <c r="V33" s="117">
        <f t="shared" si="33"/>
        <v>0</v>
      </c>
      <c r="W33" s="118"/>
      <c r="X33" s="118"/>
      <c r="Y33" s="117">
        <f t="shared" si="34"/>
        <v>0</v>
      </c>
      <c r="Z33" s="117">
        <f t="shared" si="35"/>
        <v>0</v>
      </c>
      <c r="AA33" s="119">
        <f t="shared" si="49"/>
        <v>0</v>
      </c>
      <c r="AB33" s="117">
        <f t="shared" si="36"/>
        <v>0</v>
      </c>
      <c r="AC33" s="118"/>
      <c r="AD33" s="119">
        <f t="shared" si="37"/>
        <v>0</v>
      </c>
      <c r="AE33" s="118"/>
      <c r="AF33" s="118"/>
      <c r="AG33" s="118"/>
      <c r="AH33" s="118"/>
      <c r="AI33" s="152">
        <f t="shared" si="38"/>
        <v>0</v>
      </c>
      <c r="AJ33" s="118"/>
      <c r="AK33" s="120">
        <f t="shared" si="39"/>
        <v>0</v>
      </c>
      <c r="AL33" s="121">
        <f t="shared" si="40"/>
        <v>0</v>
      </c>
      <c r="AM33" s="122"/>
      <c r="AN33" s="123">
        <f t="shared" si="41"/>
        <v>0</v>
      </c>
      <c r="AO33" s="124">
        <f t="shared" si="42"/>
        <v>0</v>
      </c>
      <c r="AP33" s="124">
        <f t="shared" si="43"/>
        <v>0</v>
      </c>
      <c r="AQ33" s="124">
        <f t="shared" si="44"/>
        <v>0</v>
      </c>
      <c r="AR33" s="124">
        <f t="shared" si="45"/>
        <v>0</v>
      </c>
      <c r="AS33" s="124">
        <f t="array" ref="AS33">_xlfn.IFS(S33=0,AL33,S33&lt;0,AL33/-S33,S33&gt;0,AL33/S33)</f>
        <v>0</v>
      </c>
      <c r="AT33" s="119">
        <f t="shared" si="46"/>
        <v>0</v>
      </c>
      <c r="AU33" s="119">
        <f t="shared" si="47"/>
        <v>0</v>
      </c>
      <c r="AV33" s="125"/>
      <c r="AW33" s="120">
        <f t="shared" si="48"/>
        <v>0</v>
      </c>
    </row>
    <row r="34" spans="1:49" hidden="1" outlineLevel="1">
      <c r="A34" s="114"/>
      <c r="B34" s="115"/>
      <c r="C34" s="115"/>
      <c r="D34" s="116"/>
      <c r="E34" s="117">
        <f t="shared" si="28"/>
        <v>0</v>
      </c>
      <c r="F34" s="117"/>
      <c r="G34" s="117"/>
      <c r="H34" s="117"/>
      <c r="I34" s="117"/>
      <c r="J34" s="117">
        <f t="shared" si="29"/>
        <v>0</v>
      </c>
      <c r="K34" s="114"/>
      <c r="L34" s="114"/>
      <c r="M34" s="114"/>
      <c r="N34" s="114"/>
      <c r="O34" s="117">
        <f t="shared" si="30"/>
        <v>0</v>
      </c>
      <c r="P34" s="117">
        <f t="shared" si="31"/>
        <v>0</v>
      </c>
      <c r="Q34" s="118"/>
      <c r="R34" s="118"/>
      <c r="S34" s="117">
        <f t="shared" si="32"/>
        <v>0</v>
      </c>
      <c r="T34" s="117"/>
      <c r="U34" s="117"/>
      <c r="V34" s="117">
        <f t="shared" si="33"/>
        <v>0</v>
      </c>
      <c r="W34" s="118"/>
      <c r="X34" s="118"/>
      <c r="Y34" s="117">
        <f t="shared" si="34"/>
        <v>0</v>
      </c>
      <c r="Z34" s="117">
        <f t="shared" si="35"/>
        <v>0</v>
      </c>
      <c r="AA34" s="119">
        <f t="shared" si="49"/>
        <v>0</v>
      </c>
      <c r="AB34" s="117">
        <f t="shared" si="36"/>
        <v>0</v>
      </c>
      <c r="AC34" s="118"/>
      <c r="AD34" s="119">
        <f t="shared" si="37"/>
        <v>0</v>
      </c>
      <c r="AE34" s="118"/>
      <c r="AF34" s="118"/>
      <c r="AG34" s="118"/>
      <c r="AH34" s="118"/>
      <c r="AI34" s="152">
        <f t="shared" si="38"/>
        <v>0</v>
      </c>
      <c r="AJ34" s="118"/>
      <c r="AK34" s="120">
        <f t="shared" si="39"/>
        <v>0</v>
      </c>
      <c r="AL34" s="121">
        <f t="shared" si="40"/>
        <v>0</v>
      </c>
      <c r="AM34" s="122"/>
      <c r="AN34" s="123">
        <f t="shared" si="41"/>
        <v>0</v>
      </c>
      <c r="AO34" s="124">
        <f t="shared" si="42"/>
        <v>0</v>
      </c>
      <c r="AP34" s="124">
        <f t="shared" si="43"/>
        <v>0</v>
      </c>
      <c r="AQ34" s="124">
        <f t="shared" si="44"/>
        <v>0</v>
      </c>
      <c r="AR34" s="124">
        <f t="shared" si="45"/>
        <v>0</v>
      </c>
      <c r="AS34" s="124">
        <f t="array" ref="AS34">_xlfn.IFS(S34=0,AL34,S34&lt;0,AL34/-S34,S34&gt;0,AL34/S34)</f>
        <v>0</v>
      </c>
      <c r="AT34" s="119">
        <f t="shared" si="46"/>
        <v>0</v>
      </c>
      <c r="AU34" s="119">
        <f t="shared" si="47"/>
        <v>0</v>
      </c>
      <c r="AV34" s="125"/>
      <c r="AW34" s="120">
        <f t="shared" si="48"/>
        <v>0</v>
      </c>
    </row>
    <row r="35" spans="1:49" hidden="1" outlineLevel="1">
      <c r="A35" s="114"/>
      <c r="B35" s="115"/>
      <c r="C35" s="115"/>
      <c r="D35" s="116"/>
      <c r="E35" s="117">
        <f t="shared" si="28"/>
        <v>0</v>
      </c>
      <c r="F35" s="117"/>
      <c r="G35" s="117"/>
      <c r="H35" s="117"/>
      <c r="I35" s="117"/>
      <c r="J35" s="117">
        <f t="shared" si="29"/>
        <v>0</v>
      </c>
      <c r="K35" s="114"/>
      <c r="L35" s="114"/>
      <c r="M35" s="114"/>
      <c r="N35" s="114"/>
      <c r="O35" s="117">
        <f t="shared" si="30"/>
        <v>0</v>
      </c>
      <c r="P35" s="117">
        <f t="shared" si="31"/>
        <v>0</v>
      </c>
      <c r="Q35" s="118"/>
      <c r="R35" s="118"/>
      <c r="S35" s="117">
        <f t="shared" si="32"/>
        <v>0</v>
      </c>
      <c r="T35" s="117"/>
      <c r="U35" s="117"/>
      <c r="V35" s="117">
        <f t="shared" si="33"/>
        <v>0</v>
      </c>
      <c r="W35" s="118"/>
      <c r="X35" s="118"/>
      <c r="Y35" s="117">
        <f t="shared" si="34"/>
        <v>0</v>
      </c>
      <c r="Z35" s="117">
        <f t="shared" si="35"/>
        <v>0</v>
      </c>
      <c r="AA35" s="119">
        <f t="shared" si="49"/>
        <v>0</v>
      </c>
      <c r="AB35" s="117">
        <f t="shared" si="36"/>
        <v>0</v>
      </c>
      <c r="AC35" s="118"/>
      <c r="AD35" s="119">
        <f t="shared" si="37"/>
        <v>0</v>
      </c>
      <c r="AE35" s="118"/>
      <c r="AF35" s="118"/>
      <c r="AG35" s="118"/>
      <c r="AH35" s="118"/>
      <c r="AI35" s="152">
        <f t="shared" si="38"/>
        <v>0</v>
      </c>
      <c r="AJ35" s="118"/>
      <c r="AK35" s="120">
        <f t="shared" si="39"/>
        <v>0</v>
      </c>
      <c r="AL35" s="121">
        <f t="shared" si="40"/>
        <v>0</v>
      </c>
      <c r="AM35" s="122"/>
      <c r="AN35" s="123">
        <f t="shared" si="41"/>
        <v>0</v>
      </c>
      <c r="AO35" s="124">
        <f t="shared" si="42"/>
        <v>0</v>
      </c>
      <c r="AP35" s="124">
        <f t="shared" si="43"/>
        <v>0</v>
      </c>
      <c r="AQ35" s="124">
        <f t="shared" si="44"/>
        <v>0</v>
      </c>
      <c r="AR35" s="124">
        <f t="shared" si="45"/>
        <v>0</v>
      </c>
      <c r="AS35" s="124">
        <f t="array" ref="AS35">_xlfn.IFS(S35=0,AL35,S35&lt;0,AL35/-S35,S35&gt;0,AL35/S35)</f>
        <v>0</v>
      </c>
      <c r="AT35" s="119">
        <f t="shared" si="46"/>
        <v>0</v>
      </c>
      <c r="AU35" s="119">
        <f t="shared" si="47"/>
        <v>0</v>
      </c>
      <c r="AV35" s="125"/>
      <c r="AW35" s="120">
        <f t="shared" si="48"/>
        <v>0</v>
      </c>
    </row>
    <row r="36" spans="1:49" hidden="1" outlineLevel="1">
      <c r="A36" s="114"/>
      <c r="B36" s="115"/>
      <c r="C36" s="115"/>
      <c r="D36" s="116"/>
      <c r="E36" s="117">
        <f t="shared" si="28"/>
        <v>0</v>
      </c>
      <c r="F36" s="117"/>
      <c r="G36" s="117"/>
      <c r="H36" s="117"/>
      <c r="I36" s="117"/>
      <c r="J36" s="117">
        <f t="shared" si="29"/>
        <v>0</v>
      </c>
      <c r="K36" s="114"/>
      <c r="L36" s="114"/>
      <c r="M36" s="114"/>
      <c r="N36" s="114"/>
      <c r="O36" s="117">
        <f t="shared" si="30"/>
        <v>0</v>
      </c>
      <c r="P36" s="117">
        <f t="shared" si="31"/>
        <v>0</v>
      </c>
      <c r="Q36" s="118"/>
      <c r="R36" s="118"/>
      <c r="S36" s="117">
        <f t="shared" si="32"/>
        <v>0</v>
      </c>
      <c r="T36" s="117"/>
      <c r="U36" s="117"/>
      <c r="V36" s="117">
        <f t="shared" si="33"/>
        <v>0</v>
      </c>
      <c r="W36" s="118"/>
      <c r="X36" s="118"/>
      <c r="Y36" s="117">
        <f t="shared" si="34"/>
        <v>0</v>
      </c>
      <c r="Z36" s="117">
        <f t="shared" si="35"/>
        <v>0</v>
      </c>
      <c r="AA36" s="119">
        <f t="shared" si="49"/>
        <v>0</v>
      </c>
      <c r="AB36" s="117">
        <f t="shared" si="36"/>
        <v>0</v>
      </c>
      <c r="AC36" s="118"/>
      <c r="AD36" s="119">
        <f t="shared" si="37"/>
        <v>0</v>
      </c>
      <c r="AE36" s="118"/>
      <c r="AF36" s="118"/>
      <c r="AG36" s="118"/>
      <c r="AH36" s="118"/>
      <c r="AI36" s="152">
        <f t="shared" si="38"/>
        <v>0</v>
      </c>
      <c r="AJ36" s="118"/>
      <c r="AK36" s="120">
        <f t="shared" si="39"/>
        <v>0</v>
      </c>
      <c r="AL36" s="121">
        <f t="shared" si="40"/>
        <v>0</v>
      </c>
      <c r="AM36" s="122"/>
      <c r="AN36" s="123">
        <f t="shared" si="41"/>
        <v>0</v>
      </c>
      <c r="AO36" s="124">
        <f t="shared" si="42"/>
        <v>0</v>
      </c>
      <c r="AP36" s="124">
        <f t="shared" si="43"/>
        <v>0</v>
      </c>
      <c r="AQ36" s="124">
        <f t="shared" si="44"/>
        <v>0</v>
      </c>
      <c r="AR36" s="124">
        <f t="shared" si="45"/>
        <v>0</v>
      </c>
      <c r="AS36" s="124">
        <f t="array" ref="AS36">_xlfn.IFS(S36=0,AL36,S36&lt;0,AL36/-S36,S36&gt;0,AL36/S36)</f>
        <v>0</v>
      </c>
      <c r="AT36" s="119">
        <f t="shared" si="46"/>
        <v>0</v>
      </c>
      <c r="AU36" s="119">
        <f t="shared" si="47"/>
        <v>0</v>
      </c>
      <c r="AV36" s="125"/>
      <c r="AW36" s="120">
        <f t="shared" si="48"/>
        <v>0</v>
      </c>
    </row>
    <row r="37" spans="1:49" hidden="1" outlineLevel="1">
      <c r="A37" s="114"/>
      <c r="B37" s="115"/>
      <c r="C37" s="115"/>
      <c r="D37" s="116"/>
      <c r="E37" s="117">
        <f t="shared" si="28"/>
        <v>0</v>
      </c>
      <c r="F37" s="117"/>
      <c r="G37" s="117"/>
      <c r="H37" s="117"/>
      <c r="I37" s="117"/>
      <c r="J37" s="117">
        <f t="shared" si="29"/>
        <v>0</v>
      </c>
      <c r="K37" s="114"/>
      <c r="L37" s="114"/>
      <c r="M37" s="114"/>
      <c r="N37" s="114"/>
      <c r="O37" s="117">
        <f t="shared" si="30"/>
        <v>0</v>
      </c>
      <c r="P37" s="117">
        <f t="shared" si="31"/>
        <v>0</v>
      </c>
      <c r="Q37" s="118"/>
      <c r="R37" s="118"/>
      <c r="S37" s="117">
        <f t="shared" si="32"/>
        <v>0</v>
      </c>
      <c r="T37" s="117"/>
      <c r="U37" s="117"/>
      <c r="V37" s="117">
        <f t="shared" si="33"/>
        <v>0</v>
      </c>
      <c r="W37" s="118"/>
      <c r="X37" s="118"/>
      <c r="Y37" s="117">
        <f t="shared" si="34"/>
        <v>0</v>
      </c>
      <c r="Z37" s="117">
        <f t="shared" si="35"/>
        <v>0</v>
      </c>
      <c r="AA37" s="119">
        <f t="shared" si="49"/>
        <v>0</v>
      </c>
      <c r="AB37" s="117">
        <f t="shared" si="36"/>
        <v>0</v>
      </c>
      <c r="AC37" s="118"/>
      <c r="AD37" s="119">
        <f t="shared" si="37"/>
        <v>0</v>
      </c>
      <c r="AE37" s="118"/>
      <c r="AF37" s="118"/>
      <c r="AG37" s="118"/>
      <c r="AH37" s="118"/>
      <c r="AI37" s="152">
        <f t="shared" si="38"/>
        <v>0</v>
      </c>
      <c r="AJ37" s="118"/>
      <c r="AK37" s="120">
        <f t="shared" si="39"/>
        <v>0</v>
      </c>
      <c r="AL37" s="121">
        <f t="shared" si="40"/>
        <v>0</v>
      </c>
      <c r="AM37" s="122"/>
      <c r="AN37" s="123">
        <f t="shared" si="41"/>
        <v>0</v>
      </c>
      <c r="AO37" s="124">
        <f t="shared" si="42"/>
        <v>0</v>
      </c>
      <c r="AP37" s="124">
        <f t="shared" si="43"/>
        <v>0</v>
      </c>
      <c r="AQ37" s="124">
        <f t="shared" si="44"/>
        <v>0</v>
      </c>
      <c r="AR37" s="124">
        <f t="shared" si="45"/>
        <v>0</v>
      </c>
      <c r="AS37" s="124">
        <f t="array" ref="AS37">_xlfn.IFS(S37=0,AL37,S37&lt;0,AL37/-S37,S37&gt;0,AL37/S37)</f>
        <v>0</v>
      </c>
      <c r="AT37" s="119">
        <f t="shared" si="46"/>
        <v>0</v>
      </c>
      <c r="AU37" s="119">
        <f t="shared" si="47"/>
        <v>0</v>
      </c>
      <c r="AV37" s="125"/>
      <c r="AW37" s="120">
        <f t="shared" si="48"/>
        <v>0</v>
      </c>
    </row>
    <row r="38" spans="1:49" hidden="1" outlineLevel="1">
      <c r="A38" s="114"/>
      <c r="B38" s="115"/>
      <c r="C38" s="115"/>
      <c r="D38" s="116"/>
      <c r="E38" s="117">
        <f t="shared" si="28"/>
        <v>0</v>
      </c>
      <c r="F38" s="117"/>
      <c r="G38" s="117"/>
      <c r="H38" s="117"/>
      <c r="I38" s="117"/>
      <c r="J38" s="117">
        <f t="shared" si="29"/>
        <v>0</v>
      </c>
      <c r="K38" s="114"/>
      <c r="L38" s="114"/>
      <c r="M38" s="114"/>
      <c r="N38" s="114"/>
      <c r="O38" s="117">
        <f t="shared" si="30"/>
        <v>0</v>
      </c>
      <c r="P38" s="117">
        <f t="shared" si="31"/>
        <v>0</v>
      </c>
      <c r="Q38" s="118"/>
      <c r="R38" s="118"/>
      <c r="S38" s="117">
        <f t="shared" si="32"/>
        <v>0</v>
      </c>
      <c r="T38" s="117"/>
      <c r="U38" s="117"/>
      <c r="V38" s="117">
        <f t="shared" si="33"/>
        <v>0</v>
      </c>
      <c r="W38" s="118"/>
      <c r="X38" s="118"/>
      <c r="Y38" s="117">
        <f t="shared" si="34"/>
        <v>0</v>
      </c>
      <c r="Z38" s="117">
        <f t="shared" si="35"/>
        <v>0</v>
      </c>
      <c r="AA38" s="119">
        <f t="shared" si="49"/>
        <v>0</v>
      </c>
      <c r="AB38" s="117">
        <f t="shared" si="36"/>
        <v>0</v>
      </c>
      <c r="AC38" s="118"/>
      <c r="AD38" s="119">
        <f t="shared" si="37"/>
        <v>0</v>
      </c>
      <c r="AE38" s="118"/>
      <c r="AF38" s="118"/>
      <c r="AG38" s="118"/>
      <c r="AH38" s="118"/>
      <c r="AI38" s="152">
        <f t="shared" si="38"/>
        <v>0</v>
      </c>
      <c r="AJ38" s="118"/>
      <c r="AK38" s="120">
        <f t="shared" si="39"/>
        <v>0</v>
      </c>
      <c r="AL38" s="121">
        <f t="shared" si="40"/>
        <v>0</v>
      </c>
      <c r="AM38" s="122"/>
      <c r="AN38" s="123">
        <f t="shared" si="41"/>
        <v>0</v>
      </c>
      <c r="AO38" s="124">
        <f t="shared" si="42"/>
        <v>0</v>
      </c>
      <c r="AP38" s="124">
        <f t="shared" si="43"/>
        <v>0</v>
      </c>
      <c r="AQ38" s="124">
        <f t="shared" si="44"/>
        <v>0</v>
      </c>
      <c r="AR38" s="124">
        <f t="shared" si="45"/>
        <v>0</v>
      </c>
      <c r="AS38" s="124">
        <f t="array" ref="AS38">_xlfn.IFS(S38=0,AL38,S38&lt;0,AL38/-S38,S38&gt;0,AL38/S38)</f>
        <v>0</v>
      </c>
      <c r="AT38" s="119">
        <f t="shared" si="46"/>
        <v>0</v>
      </c>
      <c r="AU38" s="119">
        <f t="shared" si="47"/>
        <v>0</v>
      </c>
      <c r="AV38" s="125"/>
      <c r="AW38" s="120">
        <f t="shared" si="48"/>
        <v>0</v>
      </c>
    </row>
    <row r="39" spans="1:49" hidden="1" outlineLevel="1">
      <c r="A39" s="114"/>
      <c r="B39" s="115"/>
      <c r="C39" s="115"/>
      <c r="D39" s="116"/>
      <c r="E39" s="117">
        <f t="shared" si="28"/>
        <v>0</v>
      </c>
      <c r="F39" s="117"/>
      <c r="G39" s="117"/>
      <c r="H39" s="117"/>
      <c r="I39" s="117"/>
      <c r="J39" s="117">
        <f t="shared" si="29"/>
        <v>0</v>
      </c>
      <c r="K39" s="114"/>
      <c r="L39" s="114"/>
      <c r="M39" s="114"/>
      <c r="N39" s="114"/>
      <c r="O39" s="117">
        <f t="shared" si="30"/>
        <v>0</v>
      </c>
      <c r="P39" s="117">
        <f t="shared" si="31"/>
        <v>0</v>
      </c>
      <c r="Q39" s="118"/>
      <c r="R39" s="118"/>
      <c r="S39" s="117">
        <f t="shared" si="32"/>
        <v>0</v>
      </c>
      <c r="T39" s="117"/>
      <c r="U39" s="117"/>
      <c r="V39" s="117">
        <f t="shared" si="33"/>
        <v>0</v>
      </c>
      <c r="W39" s="118"/>
      <c r="X39" s="118"/>
      <c r="Y39" s="117">
        <f t="shared" si="34"/>
        <v>0</v>
      </c>
      <c r="Z39" s="117">
        <f t="shared" si="35"/>
        <v>0</v>
      </c>
      <c r="AA39" s="119">
        <f t="shared" si="49"/>
        <v>0</v>
      </c>
      <c r="AB39" s="117">
        <f t="shared" si="36"/>
        <v>0</v>
      </c>
      <c r="AC39" s="118"/>
      <c r="AD39" s="119">
        <f t="shared" si="37"/>
        <v>0</v>
      </c>
      <c r="AE39" s="118"/>
      <c r="AF39" s="118"/>
      <c r="AG39" s="118"/>
      <c r="AH39" s="118"/>
      <c r="AI39" s="152">
        <f t="shared" si="38"/>
        <v>0</v>
      </c>
      <c r="AJ39" s="118"/>
      <c r="AK39" s="120">
        <f t="shared" si="39"/>
        <v>0</v>
      </c>
      <c r="AL39" s="121">
        <f t="shared" si="40"/>
        <v>0</v>
      </c>
      <c r="AM39" s="122"/>
      <c r="AN39" s="123">
        <f t="shared" si="41"/>
        <v>0</v>
      </c>
      <c r="AO39" s="124">
        <f t="shared" si="42"/>
        <v>0</v>
      </c>
      <c r="AP39" s="124">
        <f t="shared" si="43"/>
        <v>0</v>
      </c>
      <c r="AQ39" s="124">
        <f t="shared" si="44"/>
        <v>0</v>
      </c>
      <c r="AR39" s="124">
        <f t="shared" si="45"/>
        <v>0</v>
      </c>
      <c r="AS39" s="124">
        <f t="array" ref="AS39">_xlfn.IFS(S39=0,AL39,S39&lt;0,AL39/-S39,S39&gt;0,AL39/S39)</f>
        <v>0</v>
      </c>
      <c r="AT39" s="119">
        <f t="shared" si="46"/>
        <v>0</v>
      </c>
      <c r="AU39" s="119">
        <f t="shared" si="47"/>
        <v>0</v>
      </c>
      <c r="AV39" s="125"/>
      <c r="AW39" s="120">
        <f t="shared" si="48"/>
        <v>0</v>
      </c>
    </row>
    <row r="40" spans="1:49" hidden="1" outlineLevel="1">
      <c r="A40" s="114"/>
      <c r="B40" s="115"/>
      <c r="C40" s="115"/>
      <c r="D40" s="116"/>
      <c r="E40" s="117">
        <f t="shared" si="28"/>
        <v>0</v>
      </c>
      <c r="F40" s="117"/>
      <c r="G40" s="117"/>
      <c r="H40" s="117"/>
      <c r="I40" s="117"/>
      <c r="J40" s="117">
        <f t="shared" si="29"/>
        <v>0</v>
      </c>
      <c r="K40" s="114"/>
      <c r="L40" s="114"/>
      <c r="M40" s="114"/>
      <c r="N40" s="114"/>
      <c r="O40" s="117">
        <f t="shared" si="30"/>
        <v>0</v>
      </c>
      <c r="P40" s="117">
        <f t="shared" si="31"/>
        <v>0</v>
      </c>
      <c r="Q40" s="118"/>
      <c r="R40" s="118"/>
      <c r="S40" s="117">
        <f t="shared" si="32"/>
        <v>0</v>
      </c>
      <c r="T40" s="117"/>
      <c r="U40" s="117"/>
      <c r="V40" s="117">
        <f t="shared" si="33"/>
        <v>0</v>
      </c>
      <c r="W40" s="118"/>
      <c r="X40" s="118"/>
      <c r="Y40" s="117">
        <f t="shared" si="34"/>
        <v>0</v>
      </c>
      <c r="Z40" s="117">
        <f t="shared" si="35"/>
        <v>0</v>
      </c>
      <c r="AA40" s="119">
        <f t="shared" si="49"/>
        <v>0</v>
      </c>
      <c r="AB40" s="117">
        <f t="shared" si="36"/>
        <v>0</v>
      </c>
      <c r="AC40" s="118"/>
      <c r="AD40" s="119">
        <f t="shared" si="37"/>
        <v>0</v>
      </c>
      <c r="AE40" s="118"/>
      <c r="AF40" s="118"/>
      <c r="AG40" s="118"/>
      <c r="AH40" s="118"/>
      <c r="AI40" s="152">
        <f t="shared" si="38"/>
        <v>0</v>
      </c>
      <c r="AJ40" s="118"/>
      <c r="AK40" s="120">
        <f t="shared" si="39"/>
        <v>0</v>
      </c>
      <c r="AL40" s="121">
        <f t="shared" si="40"/>
        <v>0</v>
      </c>
      <c r="AM40" s="122"/>
      <c r="AN40" s="123">
        <f t="shared" si="41"/>
        <v>0</v>
      </c>
      <c r="AO40" s="124">
        <f t="shared" si="42"/>
        <v>0</v>
      </c>
      <c r="AP40" s="124">
        <f t="shared" si="43"/>
        <v>0</v>
      </c>
      <c r="AQ40" s="124">
        <f t="shared" si="44"/>
        <v>0</v>
      </c>
      <c r="AR40" s="124">
        <f t="shared" si="45"/>
        <v>0</v>
      </c>
      <c r="AS40" s="124">
        <f t="array" ref="AS40">_xlfn.IFS(S40=0,AL40,S40&lt;0,AL40/-S40,S40&gt;0,AL40/S40)</f>
        <v>0</v>
      </c>
      <c r="AT40" s="119">
        <f t="shared" si="46"/>
        <v>0</v>
      </c>
      <c r="AU40" s="119">
        <f t="shared" si="47"/>
        <v>0</v>
      </c>
      <c r="AV40" s="125"/>
      <c r="AW40" s="120">
        <f t="shared" si="48"/>
        <v>0</v>
      </c>
    </row>
    <row r="41" spans="1:49" hidden="1" outlineLevel="1">
      <c r="A41" s="114"/>
      <c r="B41" s="115"/>
      <c r="C41" s="115"/>
      <c r="D41" s="116"/>
      <c r="E41" s="117">
        <f t="shared" si="28"/>
        <v>0</v>
      </c>
      <c r="F41" s="117"/>
      <c r="G41" s="117"/>
      <c r="H41" s="117"/>
      <c r="I41" s="117"/>
      <c r="J41" s="117">
        <f t="shared" si="29"/>
        <v>0</v>
      </c>
      <c r="K41" s="114"/>
      <c r="L41" s="114"/>
      <c r="M41" s="114"/>
      <c r="N41" s="114"/>
      <c r="O41" s="117">
        <f t="shared" si="30"/>
        <v>0</v>
      </c>
      <c r="P41" s="117">
        <f t="shared" si="31"/>
        <v>0</v>
      </c>
      <c r="Q41" s="118"/>
      <c r="R41" s="118"/>
      <c r="S41" s="117">
        <f t="shared" si="32"/>
        <v>0</v>
      </c>
      <c r="T41" s="117"/>
      <c r="U41" s="117"/>
      <c r="V41" s="117">
        <f t="shared" si="33"/>
        <v>0</v>
      </c>
      <c r="W41" s="118"/>
      <c r="X41" s="118"/>
      <c r="Y41" s="117">
        <f t="shared" si="34"/>
        <v>0</v>
      </c>
      <c r="Z41" s="117">
        <f t="shared" si="35"/>
        <v>0</v>
      </c>
      <c r="AA41" s="119">
        <f t="shared" si="49"/>
        <v>0</v>
      </c>
      <c r="AB41" s="117">
        <f t="shared" si="36"/>
        <v>0</v>
      </c>
      <c r="AC41" s="118"/>
      <c r="AD41" s="119">
        <f t="shared" si="37"/>
        <v>0</v>
      </c>
      <c r="AE41" s="118"/>
      <c r="AF41" s="118"/>
      <c r="AG41" s="118"/>
      <c r="AH41" s="118"/>
      <c r="AI41" s="152">
        <f t="shared" si="38"/>
        <v>0</v>
      </c>
      <c r="AJ41" s="118"/>
      <c r="AK41" s="120">
        <f t="shared" si="39"/>
        <v>0</v>
      </c>
      <c r="AL41" s="121">
        <f t="shared" si="40"/>
        <v>0</v>
      </c>
      <c r="AM41" s="122"/>
      <c r="AN41" s="123">
        <f t="shared" si="41"/>
        <v>0</v>
      </c>
      <c r="AO41" s="124">
        <f t="shared" si="42"/>
        <v>0</v>
      </c>
      <c r="AP41" s="124">
        <f t="shared" si="43"/>
        <v>0</v>
      </c>
      <c r="AQ41" s="124">
        <f t="shared" si="44"/>
        <v>0</v>
      </c>
      <c r="AR41" s="124">
        <f t="shared" si="45"/>
        <v>0</v>
      </c>
      <c r="AS41" s="124">
        <f t="array" ref="AS41">_xlfn.IFS(S41=0,AL41,S41&lt;0,AL41/-S41,S41&gt;0,AL41/S41)</f>
        <v>0</v>
      </c>
      <c r="AT41" s="119">
        <f t="shared" si="46"/>
        <v>0</v>
      </c>
      <c r="AU41" s="119">
        <f t="shared" si="47"/>
        <v>0</v>
      </c>
      <c r="AV41" s="125"/>
      <c r="AW41" s="120">
        <f t="shared" si="48"/>
        <v>0</v>
      </c>
    </row>
    <row r="42" spans="1:49" hidden="1" outlineLevel="1">
      <c r="A42" s="114"/>
      <c r="B42" s="115"/>
      <c r="C42" s="115"/>
      <c r="D42" s="116"/>
      <c r="E42" s="117">
        <f t="shared" si="28"/>
        <v>0</v>
      </c>
      <c r="F42" s="117"/>
      <c r="G42" s="117"/>
      <c r="H42" s="117"/>
      <c r="I42" s="117"/>
      <c r="J42" s="117">
        <f t="shared" si="29"/>
        <v>0</v>
      </c>
      <c r="K42" s="114"/>
      <c r="L42" s="114"/>
      <c r="M42" s="114"/>
      <c r="N42" s="114"/>
      <c r="O42" s="117">
        <f t="shared" si="30"/>
        <v>0</v>
      </c>
      <c r="P42" s="117">
        <f t="shared" si="31"/>
        <v>0</v>
      </c>
      <c r="Q42" s="118"/>
      <c r="R42" s="118"/>
      <c r="S42" s="117">
        <f t="shared" si="32"/>
        <v>0</v>
      </c>
      <c r="T42" s="117"/>
      <c r="U42" s="117"/>
      <c r="V42" s="117">
        <f t="shared" si="33"/>
        <v>0</v>
      </c>
      <c r="W42" s="118"/>
      <c r="X42" s="118"/>
      <c r="Y42" s="117">
        <f t="shared" si="34"/>
        <v>0</v>
      </c>
      <c r="Z42" s="117">
        <f t="shared" si="35"/>
        <v>0</v>
      </c>
      <c r="AA42" s="119">
        <f t="shared" si="49"/>
        <v>0</v>
      </c>
      <c r="AB42" s="117">
        <f t="shared" si="36"/>
        <v>0</v>
      </c>
      <c r="AC42" s="118"/>
      <c r="AD42" s="119">
        <f t="shared" si="37"/>
        <v>0</v>
      </c>
      <c r="AE42" s="118"/>
      <c r="AF42" s="118"/>
      <c r="AG42" s="118"/>
      <c r="AH42" s="118"/>
      <c r="AI42" s="152">
        <f t="shared" si="38"/>
        <v>0</v>
      </c>
      <c r="AJ42" s="118"/>
      <c r="AK42" s="120">
        <f t="shared" si="39"/>
        <v>0</v>
      </c>
      <c r="AL42" s="121">
        <f t="shared" si="40"/>
        <v>0</v>
      </c>
      <c r="AM42" s="122"/>
      <c r="AN42" s="123">
        <f t="shared" si="41"/>
        <v>0</v>
      </c>
      <c r="AO42" s="124">
        <f t="shared" si="42"/>
        <v>0</v>
      </c>
      <c r="AP42" s="124">
        <f t="shared" si="43"/>
        <v>0</v>
      </c>
      <c r="AQ42" s="124">
        <f t="shared" si="44"/>
        <v>0</v>
      </c>
      <c r="AR42" s="124">
        <f t="shared" si="45"/>
        <v>0</v>
      </c>
      <c r="AS42" s="124">
        <f t="array" ref="AS42">_xlfn.IFS(S42=0,AL42,S42&lt;0,AL42/-S42,S42&gt;0,AL42/S42)</f>
        <v>0</v>
      </c>
      <c r="AT42" s="119">
        <f t="shared" si="46"/>
        <v>0</v>
      </c>
      <c r="AU42" s="119">
        <f t="shared" si="47"/>
        <v>0</v>
      </c>
      <c r="AV42" s="125"/>
      <c r="AW42" s="120">
        <f t="shared" si="48"/>
        <v>0</v>
      </c>
    </row>
    <row r="43" spans="1:49" hidden="1" outlineLevel="1">
      <c r="A43" s="114"/>
      <c r="B43" s="115"/>
      <c r="C43" s="115"/>
      <c r="D43" s="116"/>
      <c r="E43" s="117">
        <f t="shared" si="28"/>
        <v>0</v>
      </c>
      <c r="F43" s="117"/>
      <c r="G43" s="117"/>
      <c r="H43" s="117"/>
      <c r="I43" s="117"/>
      <c r="J43" s="117">
        <f t="shared" si="29"/>
        <v>0</v>
      </c>
      <c r="K43" s="114"/>
      <c r="L43" s="114"/>
      <c r="M43" s="114"/>
      <c r="N43" s="114"/>
      <c r="O43" s="117">
        <f t="shared" si="30"/>
        <v>0</v>
      </c>
      <c r="P43" s="117">
        <f t="shared" si="31"/>
        <v>0</v>
      </c>
      <c r="Q43" s="118"/>
      <c r="R43" s="118"/>
      <c r="S43" s="117">
        <f t="shared" si="32"/>
        <v>0</v>
      </c>
      <c r="T43" s="117"/>
      <c r="U43" s="117"/>
      <c r="V43" s="117">
        <f t="shared" si="33"/>
        <v>0</v>
      </c>
      <c r="W43" s="118"/>
      <c r="X43" s="118"/>
      <c r="Y43" s="117">
        <f t="shared" si="34"/>
        <v>0</v>
      </c>
      <c r="Z43" s="117">
        <f t="shared" si="35"/>
        <v>0</v>
      </c>
      <c r="AA43" s="119">
        <f t="shared" si="49"/>
        <v>0</v>
      </c>
      <c r="AB43" s="117">
        <f t="shared" si="36"/>
        <v>0</v>
      </c>
      <c r="AC43" s="118"/>
      <c r="AD43" s="119">
        <f t="shared" si="37"/>
        <v>0</v>
      </c>
      <c r="AE43" s="118"/>
      <c r="AF43" s="118"/>
      <c r="AG43" s="118"/>
      <c r="AH43" s="118"/>
      <c r="AI43" s="152">
        <f t="shared" si="38"/>
        <v>0</v>
      </c>
      <c r="AJ43" s="118"/>
      <c r="AK43" s="120">
        <f t="shared" si="39"/>
        <v>0</v>
      </c>
      <c r="AL43" s="121">
        <f t="shared" si="40"/>
        <v>0</v>
      </c>
      <c r="AM43" s="122"/>
      <c r="AN43" s="123">
        <f t="shared" si="41"/>
        <v>0</v>
      </c>
      <c r="AO43" s="124">
        <f t="shared" si="42"/>
        <v>0</v>
      </c>
      <c r="AP43" s="124">
        <f t="shared" si="43"/>
        <v>0</v>
      </c>
      <c r="AQ43" s="124">
        <f t="shared" si="44"/>
        <v>0</v>
      </c>
      <c r="AR43" s="124">
        <f t="shared" si="45"/>
        <v>0</v>
      </c>
      <c r="AS43" s="124">
        <f t="array" ref="AS43">_xlfn.IFS(S43=0,AL43,S43&lt;0,AL43/-S43,S43&gt;0,AL43/S43)</f>
        <v>0</v>
      </c>
      <c r="AT43" s="119">
        <f t="shared" si="46"/>
        <v>0</v>
      </c>
      <c r="AU43" s="119">
        <f t="shared" si="47"/>
        <v>0</v>
      </c>
      <c r="AV43" s="125"/>
      <c r="AW43" s="120">
        <f t="shared" si="48"/>
        <v>0</v>
      </c>
    </row>
    <row r="44" spans="1:49" hidden="1" outlineLevel="1">
      <c r="A44" s="114"/>
      <c r="B44" s="115"/>
      <c r="C44" s="115"/>
      <c r="D44" s="149"/>
      <c r="E44" s="118">
        <f t="shared" si="28"/>
        <v>0</v>
      </c>
      <c r="F44" s="117"/>
      <c r="G44" s="117"/>
      <c r="H44" s="117"/>
      <c r="I44" s="117"/>
      <c r="J44" s="117">
        <f t="shared" si="29"/>
        <v>0</v>
      </c>
      <c r="K44" s="114"/>
      <c r="L44" s="114"/>
      <c r="M44" s="114"/>
      <c r="N44" s="114"/>
      <c r="O44" s="117">
        <f t="shared" si="30"/>
        <v>0</v>
      </c>
      <c r="P44" s="117">
        <f t="shared" si="31"/>
        <v>0</v>
      </c>
      <c r="Q44" s="118"/>
      <c r="R44" s="118"/>
      <c r="S44" s="117">
        <f t="shared" si="32"/>
        <v>0</v>
      </c>
      <c r="T44" s="117"/>
      <c r="U44" s="117"/>
      <c r="V44" s="117">
        <f t="shared" si="33"/>
        <v>0</v>
      </c>
      <c r="W44" s="118"/>
      <c r="X44" s="118"/>
      <c r="Y44" s="117">
        <f t="shared" si="34"/>
        <v>0</v>
      </c>
      <c r="Z44" s="117">
        <f t="shared" si="35"/>
        <v>0</v>
      </c>
      <c r="AA44" s="119">
        <f t="shared" si="49"/>
        <v>0</v>
      </c>
      <c r="AB44" s="117">
        <f t="shared" si="36"/>
        <v>0</v>
      </c>
      <c r="AC44" s="118"/>
      <c r="AD44" s="119">
        <f t="shared" si="37"/>
        <v>0</v>
      </c>
      <c r="AE44" s="118"/>
      <c r="AF44" s="118"/>
      <c r="AG44" s="118"/>
      <c r="AH44" s="118"/>
      <c r="AI44" s="152">
        <f t="shared" si="38"/>
        <v>0</v>
      </c>
      <c r="AJ44" s="118"/>
      <c r="AK44" s="120">
        <f t="shared" si="39"/>
        <v>0</v>
      </c>
      <c r="AL44" s="121">
        <f t="shared" si="40"/>
        <v>0</v>
      </c>
      <c r="AM44" s="122"/>
      <c r="AN44" s="123">
        <f t="shared" si="41"/>
        <v>0</v>
      </c>
      <c r="AO44" s="124">
        <f t="shared" si="42"/>
        <v>0</v>
      </c>
      <c r="AP44" s="124">
        <f t="shared" si="43"/>
        <v>0</v>
      </c>
      <c r="AQ44" s="124">
        <f t="shared" si="44"/>
        <v>0</v>
      </c>
      <c r="AR44" s="124">
        <f t="shared" si="45"/>
        <v>0</v>
      </c>
      <c r="AS44" s="124">
        <f t="array" ref="AS44">_xlfn.IFS(S44=0,AL44,S44&lt;0,AL44/-S44,S44&gt;0,AL44/S44)</f>
        <v>0</v>
      </c>
      <c r="AT44" s="119">
        <f t="shared" si="46"/>
        <v>0</v>
      </c>
      <c r="AU44" s="119">
        <f t="shared" si="47"/>
        <v>0</v>
      </c>
      <c r="AV44" s="125"/>
      <c r="AW44" s="120">
        <f t="shared" si="48"/>
        <v>0</v>
      </c>
    </row>
    <row r="45" spans="1:49" hidden="1" outlineLevel="1">
      <c r="A45" s="114"/>
      <c r="B45" s="115"/>
      <c r="C45" s="115"/>
      <c r="D45" s="149"/>
      <c r="E45" s="118">
        <f t="shared" si="28"/>
        <v>0</v>
      </c>
      <c r="F45" s="117"/>
      <c r="G45" s="117"/>
      <c r="H45" s="117"/>
      <c r="I45" s="117"/>
      <c r="J45" s="117">
        <f t="shared" si="29"/>
        <v>0</v>
      </c>
      <c r="K45" s="114"/>
      <c r="L45" s="114"/>
      <c r="M45" s="114"/>
      <c r="N45" s="114"/>
      <c r="O45" s="117">
        <f t="shared" si="30"/>
        <v>0</v>
      </c>
      <c r="P45" s="117">
        <f t="shared" si="31"/>
        <v>0</v>
      </c>
      <c r="Q45" s="118"/>
      <c r="R45" s="118"/>
      <c r="S45" s="117">
        <f t="shared" si="32"/>
        <v>0</v>
      </c>
      <c r="T45" s="117"/>
      <c r="U45" s="117"/>
      <c r="V45" s="117">
        <f t="shared" si="33"/>
        <v>0</v>
      </c>
      <c r="W45" s="118"/>
      <c r="X45" s="118"/>
      <c r="Y45" s="117">
        <f t="shared" si="34"/>
        <v>0</v>
      </c>
      <c r="Z45" s="117">
        <f t="shared" si="35"/>
        <v>0</v>
      </c>
      <c r="AA45" s="119">
        <f t="shared" si="49"/>
        <v>0</v>
      </c>
      <c r="AB45" s="117">
        <f t="shared" si="36"/>
        <v>0</v>
      </c>
      <c r="AC45" s="118"/>
      <c r="AD45" s="119">
        <f t="shared" si="37"/>
        <v>0</v>
      </c>
      <c r="AE45" s="118"/>
      <c r="AF45" s="118"/>
      <c r="AG45" s="118"/>
      <c r="AH45" s="118"/>
      <c r="AI45" s="152">
        <f t="shared" si="38"/>
        <v>0</v>
      </c>
      <c r="AJ45" s="118"/>
      <c r="AK45" s="120">
        <f t="shared" si="39"/>
        <v>0</v>
      </c>
      <c r="AL45" s="121">
        <f t="shared" si="40"/>
        <v>0</v>
      </c>
      <c r="AM45" s="122"/>
      <c r="AN45" s="123">
        <f t="shared" si="41"/>
        <v>0</v>
      </c>
      <c r="AO45" s="124">
        <f t="shared" si="42"/>
        <v>0</v>
      </c>
      <c r="AP45" s="124">
        <f t="shared" si="43"/>
        <v>0</v>
      </c>
      <c r="AQ45" s="124">
        <f t="shared" si="44"/>
        <v>0</v>
      </c>
      <c r="AR45" s="124">
        <f t="shared" si="45"/>
        <v>0</v>
      </c>
      <c r="AS45" s="124">
        <f t="array" ref="AS45">_xlfn.IFS(S45=0,AL45,S45&lt;0,AL45/-S45,S45&gt;0,AL45/S45)</f>
        <v>0</v>
      </c>
      <c r="AT45" s="119">
        <f t="shared" si="46"/>
        <v>0</v>
      </c>
      <c r="AU45" s="119">
        <f t="shared" si="47"/>
        <v>0</v>
      </c>
      <c r="AV45" s="125"/>
      <c r="AW45" s="120">
        <f t="shared" si="48"/>
        <v>0</v>
      </c>
    </row>
    <row r="46" spans="1:49" hidden="1" outlineLevel="1">
      <c r="A46" s="114"/>
      <c r="B46" s="115"/>
      <c r="C46" s="115"/>
      <c r="D46" s="149"/>
      <c r="E46" s="118">
        <f t="shared" si="28"/>
        <v>0</v>
      </c>
      <c r="F46" s="117"/>
      <c r="G46" s="117"/>
      <c r="H46" s="117"/>
      <c r="I46" s="117"/>
      <c r="J46" s="117">
        <f t="shared" si="29"/>
        <v>0</v>
      </c>
      <c r="K46" s="114"/>
      <c r="L46" s="114"/>
      <c r="M46" s="114"/>
      <c r="N46" s="114"/>
      <c r="O46" s="117">
        <f t="shared" si="30"/>
        <v>0</v>
      </c>
      <c r="P46" s="117">
        <f t="shared" si="31"/>
        <v>0</v>
      </c>
      <c r="Q46" s="118"/>
      <c r="R46" s="118"/>
      <c r="S46" s="117">
        <f t="shared" si="32"/>
        <v>0</v>
      </c>
      <c r="T46" s="117"/>
      <c r="U46" s="117"/>
      <c r="V46" s="117">
        <f t="shared" si="33"/>
        <v>0</v>
      </c>
      <c r="W46" s="118"/>
      <c r="X46" s="118"/>
      <c r="Y46" s="117">
        <f t="shared" si="34"/>
        <v>0</v>
      </c>
      <c r="Z46" s="117">
        <f t="shared" si="35"/>
        <v>0</v>
      </c>
      <c r="AA46" s="119">
        <f t="shared" si="49"/>
        <v>0</v>
      </c>
      <c r="AB46" s="117">
        <f t="shared" si="36"/>
        <v>0</v>
      </c>
      <c r="AC46" s="118"/>
      <c r="AD46" s="119">
        <f t="shared" si="37"/>
        <v>0</v>
      </c>
      <c r="AE46" s="118"/>
      <c r="AF46" s="118"/>
      <c r="AG46" s="118"/>
      <c r="AH46" s="118"/>
      <c r="AI46" s="152">
        <f t="shared" si="38"/>
        <v>0</v>
      </c>
      <c r="AJ46" s="118"/>
      <c r="AK46" s="120">
        <f t="shared" si="39"/>
        <v>0</v>
      </c>
      <c r="AL46" s="121">
        <f t="shared" si="40"/>
        <v>0</v>
      </c>
      <c r="AM46" s="122"/>
      <c r="AN46" s="123">
        <f t="shared" si="41"/>
        <v>0</v>
      </c>
      <c r="AO46" s="124">
        <f t="shared" si="42"/>
        <v>0</v>
      </c>
      <c r="AP46" s="124">
        <f t="shared" si="43"/>
        <v>0</v>
      </c>
      <c r="AQ46" s="124">
        <f t="shared" si="44"/>
        <v>0</v>
      </c>
      <c r="AR46" s="124">
        <f t="shared" si="45"/>
        <v>0</v>
      </c>
      <c r="AS46" s="124">
        <f t="array" ref="AS46">_xlfn.IFS(S46=0,AL46,S46&lt;0,AL46/-S46,S46&gt;0,AL46/S46)</f>
        <v>0</v>
      </c>
      <c r="AT46" s="119">
        <f t="shared" si="46"/>
        <v>0</v>
      </c>
      <c r="AU46" s="119">
        <f t="shared" si="47"/>
        <v>0</v>
      </c>
      <c r="AV46" s="125"/>
      <c r="AW46" s="120">
        <f t="shared" si="48"/>
        <v>0</v>
      </c>
    </row>
    <row r="47" spans="1:49" hidden="1" outlineLevel="1">
      <c r="A47" s="114"/>
      <c r="B47" s="115"/>
      <c r="C47" s="115"/>
      <c r="D47" s="116"/>
      <c r="E47" s="117">
        <f t="shared" si="28"/>
        <v>0</v>
      </c>
      <c r="F47" s="117"/>
      <c r="G47" s="117"/>
      <c r="H47" s="117"/>
      <c r="I47" s="117"/>
      <c r="J47" s="117">
        <f t="shared" si="29"/>
        <v>0</v>
      </c>
      <c r="K47" s="114"/>
      <c r="L47" s="114"/>
      <c r="M47" s="114"/>
      <c r="N47" s="114"/>
      <c r="O47" s="117">
        <f t="shared" si="30"/>
        <v>0</v>
      </c>
      <c r="P47" s="117">
        <f t="shared" si="31"/>
        <v>0</v>
      </c>
      <c r="Q47" s="118"/>
      <c r="R47" s="118"/>
      <c r="S47" s="117">
        <f t="shared" si="32"/>
        <v>0</v>
      </c>
      <c r="T47" s="117"/>
      <c r="U47" s="117"/>
      <c r="V47" s="117">
        <f t="shared" si="33"/>
        <v>0</v>
      </c>
      <c r="W47" s="118"/>
      <c r="X47" s="118"/>
      <c r="Y47" s="117">
        <f t="shared" si="34"/>
        <v>0</v>
      </c>
      <c r="Z47" s="117">
        <f t="shared" si="35"/>
        <v>0</v>
      </c>
      <c r="AA47" s="119">
        <f t="shared" si="49"/>
        <v>0</v>
      </c>
      <c r="AB47" s="117">
        <f t="shared" si="36"/>
        <v>0</v>
      </c>
      <c r="AC47" s="118"/>
      <c r="AD47" s="119">
        <f t="shared" si="37"/>
        <v>0</v>
      </c>
      <c r="AE47" s="118"/>
      <c r="AF47" s="118"/>
      <c r="AG47" s="118"/>
      <c r="AH47" s="118"/>
      <c r="AI47" s="152">
        <f t="shared" si="38"/>
        <v>0</v>
      </c>
      <c r="AJ47" s="118"/>
      <c r="AK47" s="120">
        <f t="shared" si="39"/>
        <v>0</v>
      </c>
      <c r="AL47" s="121">
        <f t="shared" si="40"/>
        <v>0</v>
      </c>
      <c r="AM47" s="122"/>
      <c r="AN47" s="123">
        <f t="shared" si="41"/>
        <v>0</v>
      </c>
      <c r="AO47" s="124">
        <f t="shared" si="42"/>
        <v>0</v>
      </c>
      <c r="AP47" s="124">
        <f t="shared" si="43"/>
        <v>0</v>
      </c>
      <c r="AQ47" s="124">
        <f t="shared" si="44"/>
        <v>0</v>
      </c>
      <c r="AR47" s="124">
        <f t="shared" si="45"/>
        <v>0</v>
      </c>
      <c r="AS47" s="124">
        <f t="array" ref="AS47">_xlfn.IFS(S47=0,AL47,S47&lt;0,AL47/-S47,S47&gt;0,AL47/S47)</f>
        <v>0</v>
      </c>
      <c r="AT47" s="119">
        <f t="shared" si="46"/>
        <v>0</v>
      </c>
      <c r="AU47" s="119">
        <f t="shared" si="47"/>
        <v>0</v>
      </c>
      <c r="AV47" s="125"/>
      <c r="AW47" s="120">
        <f t="shared" si="48"/>
        <v>0</v>
      </c>
    </row>
    <row r="48" spans="1:49" hidden="1" outlineLevel="1">
      <c r="A48" s="114"/>
      <c r="B48" s="115"/>
      <c r="C48" s="115"/>
      <c r="D48" s="116"/>
      <c r="E48" s="117">
        <f t="shared" si="28"/>
        <v>0</v>
      </c>
      <c r="F48" s="117"/>
      <c r="G48" s="117"/>
      <c r="H48" s="117"/>
      <c r="I48" s="117"/>
      <c r="J48" s="117">
        <f t="shared" si="29"/>
        <v>0</v>
      </c>
      <c r="K48" s="114"/>
      <c r="L48" s="114"/>
      <c r="M48" s="114"/>
      <c r="N48" s="114"/>
      <c r="O48" s="117">
        <f t="shared" si="30"/>
        <v>0</v>
      </c>
      <c r="P48" s="117">
        <f t="shared" si="31"/>
        <v>0</v>
      </c>
      <c r="Q48" s="118"/>
      <c r="R48" s="118"/>
      <c r="S48" s="117">
        <f t="shared" si="32"/>
        <v>0</v>
      </c>
      <c r="T48" s="117"/>
      <c r="U48" s="117"/>
      <c r="V48" s="117">
        <f t="shared" si="33"/>
        <v>0</v>
      </c>
      <c r="W48" s="118"/>
      <c r="X48" s="118"/>
      <c r="Y48" s="117">
        <f t="shared" si="34"/>
        <v>0</v>
      </c>
      <c r="Z48" s="117">
        <f t="shared" si="35"/>
        <v>0</v>
      </c>
      <c r="AA48" s="119">
        <f t="shared" si="49"/>
        <v>0</v>
      </c>
      <c r="AB48" s="117">
        <f t="shared" si="36"/>
        <v>0</v>
      </c>
      <c r="AC48" s="118"/>
      <c r="AD48" s="119">
        <f t="shared" si="37"/>
        <v>0</v>
      </c>
      <c r="AE48" s="118"/>
      <c r="AF48" s="118"/>
      <c r="AG48" s="118"/>
      <c r="AH48" s="118"/>
      <c r="AI48" s="152">
        <f t="shared" si="38"/>
        <v>0</v>
      </c>
      <c r="AJ48" s="118"/>
      <c r="AK48" s="120">
        <f t="shared" si="39"/>
        <v>0</v>
      </c>
      <c r="AL48" s="121">
        <f t="shared" si="40"/>
        <v>0</v>
      </c>
      <c r="AM48" s="122"/>
      <c r="AN48" s="123">
        <f t="shared" si="41"/>
        <v>0</v>
      </c>
      <c r="AO48" s="124">
        <f t="shared" si="42"/>
        <v>0</v>
      </c>
      <c r="AP48" s="124">
        <f t="shared" si="43"/>
        <v>0</v>
      </c>
      <c r="AQ48" s="124">
        <f t="shared" si="44"/>
        <v>0</v>
      </c>
      <c r="AR48" s="124">
        <f t="shared" si="45"/>
        <v>0</v>
      </c>
      <c r="AS48" s="124">
        <f t="array" ref="AS48">_xlfn.IFS(S48=0,AL48,S48&lt;0,AL48/-S48,S48&gt;0,AL48/S48)</f>
        <v>0</v>
      </c>
      <c r="AT48" s="119">
        <f t="shared" si="46"/>
        <v>0</v>
      </c>
      <c r="AU48" s="119">
        <f t="shared" si="47"/>
        <v>0</v>
      </c>
      <c r="AV48" s="125"/>
      <c r="AW48" s="120">
        <f t="shared" si="48"/>
        <v>0</v>
      </c>
    </row>
    <row r="49" spans="1:49" hidden="1" outlineLevel="1">
      <c r="A49" s="114"/>
      <c r="B49" s="115"/>
      <c r="C49" s="115"/>
      <c r="D49" s="116"/>
      <c r="E49" s="117">
        <f t="shared" si="28"/>
        <v>0</v>
      </c>
      <c r="F49" s="117"/>
      <c r="G49" s="117"/>
      <c r="H49" s="117"/>
      <c r="I49" s="117"/>
      <c r="J49" s="117">
        <f t="shared" si="29"/>
        <v>0</v>
      </c>
      <c r="K49" s="114"/>
      <c r="L49" s="114"/>
      <c r="M49" s="114"/>
      <c r="N49" s="114"/>
      <c r="O49" s="117">
        <f t="shared" si="30"/>
        <v>0</v>
      </c>
      <c r="P49" s="117">
        <f t="shared" si="31"/>
        <v>0</v>
      </c>
      <c r="Q49" s="118"/>
      <c r="R49" s="118"/>
      <c r="S49" s="117">
        <f t="shared" si="32"/>
        <v>0</v>
      </c>
      <c r="T49" s="117"/>
      <c r="U49" s="117"/>
      <c r="V49" s="117">
        <f t="shared" si="33"/>
        <v>0</v>
      </c>
      <c r="W49" s="118"/>
      <c r="X49" s="118"/>
      <c r="Y49" s="117">
        <f t="shared" si="34"/>
        <v>0</v>
      </c>
      <c r="Z49" s="117">
        <f t="shared" si="35"/>
        <v>0</v>
      </c>
      <c r="AA49" s="119">
        <f t="shared" si="49"/>
        <v>0</v>
      </c>
      <c r="AB49" s="117">
        <f t="shared" si="36"/>
        <v>0</v>
      </c>
      <c r="AC49" s="118"/>
      <c r="AD49" s="119">
        <f t="shared" si="37"/>
        <v>0</v>
      </c>
      <c r="AE49" s="118"/>
      <c r="AF49" s="118"/>
      <c r="AG49" s="118"/>
      <c r="AH49" s="118"/>
      <c r="AI49" s="152">
        <f t="shared" si="38"/>
        <v>0</v>
      </c>
      <c r="AJ49" s="118"/>
      <c r="AK49" s="120">
        <f t="shared" si="39"/>
        <v>0</v>
      </c>
      <c r="AL49" s="121">
        <f t="shared" si="40"/>
        <v>0</v>
      </c>
      <c r="AM49" s="122"/>
      <c r="AN49" s="123">
        <f t="shared" si="41"/>
        <v>0</v>
      </c>
      <c r="AO49" s="124">
        <f t="shared" si="42"/>
        <v>0</v>
      </c>
      <c r="AP49" s="124">
        <f t="shared" si="43"/>
        <v>0</v>
      </c>
      <c r="AQ49" s="124">
        <f t="shared" si="44"/>
        <v>0</v>
      </c>
      <c r="AR49" s="124">
        <f t="shared" si="45"/>
        <v>0</v>
      </c>
      <c r="AS49" s="124">
        <f t="array" ref="AS49">_xlfn.IFS(S49=0,AL49,S49&lt;0,AL49/-S49,S49&gt;0,AL49/S49)</f>
        <v>0</v>
      </c>
      <c r="AT49" s="119">
        <f t="shared" si="46"/>
        <v>0</v>
      </c>
      <c r="AU49" s="119">
        <f t="shared" si="47"/>
        <v>0</v>
      </c>
      <c r="AV49" s="125"/>
      <c r="AW49" s="120">
        <f t="shared" si="48"/>
        <v>0</v>
      </c>
    </row>
    <row r="50" spans="1:49" hidden="1" outlineLevel="1">
      <c r="A50" s="114"/>
      <c r="B50" s="115"/>
      <c r="C50" s="115"/>
      <c r="D50" s="116"/>
      <c r="E50" s="117">
        <f t="shared" si="28"/>
        <v>0</v>
      </c>
      <c r="F50" s="117"/>
      <c r="G50" s="117"/>
      <c r="H50" s="117"/>
      <c r="I50" s="117"/>
      <c r="J50" s="117">
        <f t="shared" si="29"/>
        <v>0</v>
      </c>
      <c r="K50" s="114"/>
      <c r="L50" s="114"/>
      <c r="M50" s="114"/>
      <c r="N50" s="114"/>
      <c r="O50" s="117">
        <f t="shared" si="30"/>
        <v>0</v>
      </c>
      <c r="P50" s="117">
        <f t="shared" si="31"/>
        <v>0</v>
      </c>
      <c r="Q50" s="118"/>
      <c r="R50" s="118"/>
      <c r="S50" s="117">
        <f t="shared" si="32"/>
        <v>0</v>
      </c>
      <c r="T50" s="117"/>
      <c r="U50" s="117"/>
      <c r="V50" s="117">
        <f t="shared" si="33"/>
        <v>0</v>
      </c>
      <c r="W50" s="118"/>
      <c r="X50" s="118"/>
      <c r="Y50" s="117">
        <f t="shared" si="34"/>
        <v>0</v>
      </c>
      <c r="Z50" s="117">
        <f t="shared" si="35"/>
        <v>0</v>
      </c>
      <c r="AA50" s="119">
        <f t="shared" si="49"/>
        <v>0</v>
      </c>
      <c r="AB50" s="117">
        <f t="shared" si="36"/>
        <v>0</v>
      </c>
      <c r="AC50" s="118"/>
      <c r="AD50" s="119">
        <f t="shared" si="37"/>
        <v>0</v>
      </c>
      <c r="AE50" s="118"/>
      <c r="AF50" s="118"/>
      <c r="AG50" s="118"/>
      <c r="AH50" s="118"/>
      <c r="AI50" s="152">
        <f t="shared" si="38"/>
        <v>0</v>
      </c>
      <c r="AJ50" s="118"/>
      <c r="AK50" s="120">
        <f t="shared" si="39"/>
        <v>0</v>
      </c>
      <c r="AL50" s="121">
        <f t="shared" si="40"/>
        <v>0</v>
      </c>
      <c r="AM50" s="122"/>
      <c r="AN50" s="123">
        <f t="shared" si="41"/>
        <v>0</v>
      </c>
      <c r="AO50" s="124">
        <f t="shared" si="42"/>
        <v>0</v>
      </c>
      <c r="AP50" s="124">
        <f t="shared" si="43"/>
        <v>0</v>
      </c>
      <c r="AQ50" s="124">
        <f t="shared" si="44"/>
        <v>0</v>
      </c>
      <c r="AR50" s="124">
        <f t="shared" si="45"/>
        <v>0</v>
      </c>
      <c r="AS50" s="124">
        <f t="array" ref="AS50">_xlfn.IFS(S50=0,AL50,S50&lt;0,AL50/-S50,S50&gt;0,AL50/S50)</f>
        <v>0</v>
      </c>
      <c r="AT50" s="119">
        <f t="shared" si="46"/>
        <v>0</v>
      </c>
      <c r="AU50" s="119">
        <f t="shared" si="47"/>
        <v>0</v>
      </c>
      <c r="AV50" s="125"/>
      <c r="AW50" s="120">
        <f t="shared" si="48"/>
        <v>0</v>
      </c>
    </row>
    <row r="51" spans="1:49" hidden="1" outlineLevel="1">
      <c r="A51" s="114"/>
      <c r="B51" s="115"/>
      <c r="C51" s="115"/>
      <c r="D51" s="116"/>
      <c r="E51" s="117">
        <f t="shared" ref="E51:E70" si="50">SUM(F51:H51)</f>
        <v>0</v>
      </c>
      <c r="F51" s="117"/>
      <c r="G51" s="117"/>
      <c r="H51" s="117"/>
      <c r="I51" s="117"/>
      <c r="J51" s="117">
        <f t="shared" si="29"/>
        <v>0</v>
      </c>
      <c r="K51" s="114"/>
      <c r="L51" s="114"/>
      <c r="M51" s="114"/>
      <c r="N51" s="114"/>
      <c r="O51" s="117">
        <f t="shared" si="30"/>
        <v>0</v>
      </c>
      <c r="P51" s="117">
        <f t="shared" si="31"/>
        <v>0</v>
      </c>
      <c r="Q51" s="118"/>
      <c r="R51" s="118"/>
      <c r="S51" s="117">
        <f t="shared" si="32"/>
        <v>0</v>
      </c>
      <c r="T51" s="117"/>
      <c r="U51" s="117"/>
      <c r="V51" s="117">
        <f t="shared" si="33"/>
        <v>0</v>
      </c>
      <c r="W51" s="118"/>
      <c r="X51" s="118"/>
      <c r="Y51" s="117">
        <f t="shared" si="34"/>
        <v>0</v>
      </c>
      <c r="Z51" s="117">
        <f t="shared" si="35"/>
        <v>0</v>
      </c>
      <c r="AA51" s="119">
        <f t="shared" si="49"/>
        <v>0</v>
      </c>
      <c r="AB51" s="117">
        <f t="shared" si="36"/>
        <v>0</v>
      </c>
      <c r="AC51" s="118"/>
      <c r="AD51" s="119">
        <f t="shared" si="37"/>
        <v>0</v>
      </c>
      <c r="AE51" s="118"/>
      <c r="AF51" s="118"/>
      <c r="AG51" s="118"/>
      <c r="AH51" s="118"/>
      <c r="AI51" s="152">
        <f t="shared" si="38"/>
        <v>0</v>
      </c>
      <c r="AJ51" s="118"/>
      <c r="AK51" s="120">
        <f t="shared" si="39"/>
        <v>0</v>
      </c>
      <c r="AL51" s="121">
        <f t="shared" si="40"/>
        <v>0</v>
      </c>
      <c r="AM51" s="122"/>
      <c r="AN51" s="123">
        <f t="shared" si="41"/>
        <v>0</v>
      </c>
      <c r="AO51" s="124">
        <f t="shared" si="42"/>
        <v>0</v>
      </c>
      <c r="AP51" s="124">
        <f t="shared" si="43"/>
        <v>0</v>
      </c>
      <c r="AQ51" s="124">
        <f t="shared" si="44"/>
        <v>0</v>
      </c>
      <c r="AR51" s="124">
        <f t="shared" si="45"/>
        <v>0</v>
      </c>
      <c r="AS51" s="124">
        <f t="array" ref="AS51">_xlfn.IFS(S51=0,AL51,S51&lt;0,AL51/-S51,S51&gt;0,AL51/S51)</f>
        <v>0</v>
      </c>
      <c r="AT51" s="119">
        <f t="shared" si="46"/>
        <v>0</v>
      </c>
      <c r="AU51" s="119">
        <f t="shared" si="47"/>
        <v>0</v>
      </c>
      <c r="AV51" s="125"/>
      <c r="AW51" s="120">
        <f t="shared" si="48"/>
        <v>0</v>
      </c>
    </row>
    <row r="52" spans="1:49" hidden="1" outlineLevel="1">
      <c r="A52" s="114"/>
      <c r="B52" s="115"/>
      <c r="C52" s="115"/>
      <c r="D52" s="116"/>
      <c r="E52" s="117">
        <f t="shared" si="50"/>
        <v>0</v>
      </c>
      <c r="F52" s="117"/>
      <c r="G52" s="117"/>
      <c r="H52" s="117"/>
      <c r="I52" s="117"/>
      <c r="J52" s="117">
        <f t="shared" si="29"/>
        <v>0</v>
      </c>
      <c r="K52" s="114"/>
      <c r="L52" s="114"/>
      <c r="M52" s="114"/>
      <c r="N52" s="114"/>
      <c r="O52" s="117">
        <f t="shared" si="30"/>
        <v>0</v>
      </c>
      <c r="P52" s="117">
        <f t="shared" si="31"/>
        <v>0</v>
      </c>
      <c r="Q52" s="118"/>
      <c r="R52" s="118"/>
      <c r="S52" s="117">
        <f t="shared" si="32"/>
        <v>0</v>
      </c>
      <c r="T52" s="117"/>
      <c r="U52" s="117"/>
      <c r="V52" s="117">
        <f t="shared" si="33"/>
        <v>0</v>
      </c>
      <c r="W52" s="118"/>
      <c r="X52" s="118"/>
      <c r="Y52" s="117">
        <f t="shared" si="34"/>
        <v>0</v>
      </c>
      <c r="Z52" s="117">
        <f t="shared" si="35"/>
        <v>0</v>
      </c>
      <c r="AA52" s="119">
        <f t="shared" si="49"/>
        <v>0</v>
      </c>
      <c r="AB52" s="117">
        <f t="shared" si="36"/>
        <v>0</v>
      </c>
      <c r="AC52" s="118"/>
      <c r="AD52" s="119">
        <f t="shared" si="37"/>
        <v>0</v>
      </c>
      <c r="AE52" s="118"/>
      <c r="AF52" s="118"/>
      <c r="AG52" s="118"/>
      <c r="AH52" s="118"/>
      <c r="AI52" s="152">
        <f t="shared" si="38"/>
        <v>0</v>
      </c>
      <c r="AJ52" s="118"/>
      <c r="AK52" s="120">
        <f t="shared" si="39"/>
        <v>0</v>
      </c>
      <c r="AL52" s="121">
        <f t="shared" si="40"/>
        <v>0</v>
      </c>
      <c r="AM52" s="122"/>
      <c r="AN52" s="123">
        <f t="shared" si="41"/>
        <v>0</v>
      </c>
      <c r="AO52" s="124">
        <f t="shared" si="42"/>
        <v>0</v>
      </c>
      <c r="AP52" s="124">
        <f t="shared" si="43"/>
        <v>0</v>
      </c>
      <c r="AQ52" s="124">
        <f t="shared" si="44"/>
        <v>0</v>
      </c>
      <c r="AR52" s="124">
        <f t="shared" si="45"/>
        <v>0</v>
      </c>
      <c r="AS52" s="124">
        <f t="array" ref="AS52">_xlfn.IFS(S52=0,AL52,S52&lt;0,AL52/-S52,S52&gt;0,AL52/S52)</f>
        <v>0</v>
      </c>
      <c r="AT52" s="119">
        <f t="shared" si="46"/>
        <v>0</v>
      </c>
      <c r="AU52" s="119">
        <f t="shared" si="47"/>
        <v>0</v>
      </c>
      <c r="AV52" s="125"/>
      <c r="AW52" s="120">
        <f t="shared" si="48"/>
        <v>0</v>
      </c>
    </row>
    <row r="53" spans="1:49" hidden="1" outlineLevel="1">
      <c r="A53" s="114"/>
      <c r="B53" s="115"/>
      <c r="C53" s="115"/>
      <c r="D53" s="116"/>
      <c r="E53" s="117">
        <f t="shared" si="50"/>
        <v>0</v>
      </c>
      <c r="F53" s="117"/>
      <c r="G53" s="117"/>
      <c r="H53" s="117"/>
      <c r="I53" s="117"/>
      <c r="J53" s="117">
        <f t="shared" si="29"/>
        <v>0</v>
      </c>
      <c r="K53" s="114"/>
      <c r="L53" s="114"/>
      <c r="M53" s="114"/>
      <c r="N53" s="114"/>
      <c r="O53" s="117">
        <f t="shared" si="30"/>
        <v>0</v>
      </c>
      <c r="P53" s="117">
        <f t="shared" si="31"/>
        <v>0</v>
      </c>
      <c r="Q53" s="118"/>
      <c r="R53" s="118"/>
      <c r="S53" s="117">
        <f t="shared" si="32"/>
        <v>0</v>
      </c>
      <c r="T53" s="117"/>
      <c r="U53" s="117"/>
      <c r="V53" s="117">
        <f t="shared" si="33"/>
        <v>0</v>
      </c>
      <c r="W53" s="118"/>
      <c r="X53" s="118"/>
      <c r="Y53" s="117">
        <f t="shared" si="34"/>
        <v>0</v>
      </c>
      <c r="Z53" s="117">
        <f t="shared" si="35"/>
        <v>0</v>
      </c>
      <c r="AA53" s="119">
        <f t="shared" si="49"/>
        <v>0</v>
      </c>
      <c r="AB53" s="117">
        <f t="shared" si="36"/>
        <v>0</v>
      </c>
      <c r="AC53" s="118"/>
      <c r="AD53" s="119">
        <f t="shared" si="37"/>
        <v>0</v>
      </c>
      <c r="AE53" s="118"/>
      <c r="AF53" s="118"/>
      <c r="AG53" s="118"/>
      <c r="AH53" s="118"/>
      <c r="AI53" s="152">
        <f t="shared" si="38"/>
        <v>0</v>
      </c>
      <c r="AJ53" s="118"/>
      <c r="AK53" s="120">
        <f t="shared" si="39"/>
        <v>0</v>
      </c>
      <c r="AL53" s="121">
        <f t="shared" si="40"/>
        <v>0</v>
      </c>
      <c r="AM53" s="122"/>
      <c r="AN53" s="123">
        <f t="shared" si="41"/>
        <v>0</v>
      </c>
      <c r="AO53" s="124">
        <f t="shared" si="42"/>
        <v>0</v>
      </c>
      <c r="AP53" s="124">
        <f t="shared" si="43"/>
        <v>0</v>
      </c>
      <c r="AQ53" s="124">
        <f t="shared" si="44"/>
        <v>0</v>
      </c>
      <c r="AR53" s="124">
        <f t="shared" si="45"/>
        <v>0</v>
      </c>
      <c r="AS53" s="124">
        <f t="array" ref="AS53">_xlfn.IFS(S53=0,AL53,S53&lt;0,AL53/-S53,S53&gt;0,AL53/S53)</f>
        <v>0</v>
      </c>
      <c r="AT53" s="119">
        <f t="shared" si="46"/>
        <v>0</v>
      </c>
      <c r="AU53" s="119">
        <f t="shared" si="47"/>
        <v>0</v>
      </c>
      <c r="AV53" s="125"/>
      <c r="AW53" s="120">
        <f t="shared" si="48"/>
        <v>0</v>
      </c>
    </row>
    <row r="54" spans="1:49" hidden="1" outlineLevel="1">
      <c r="A54" s="114"/>
      <c r="B54" s="115"/>
      <c r="C54" s="115"/>
      <c r="D54" s="116"/>
      <c r="E54" s="117">
        <f t="shared" si="50"/>
        <v>0</v>
      </c>
      <c r="F54" s="117"/>
      <c r="G54" s="117"/>
      <c r="H54" s="117"/>
      <c r="I54" s="117"/>
      <c r="J54" s="117">
        <f t="shared" si="29"/>
        <v>0</v>
      </c>
      <c r="K54" s="114"/>
      <c r="L54" s="114"/>
      <c r="M54" s="114"/>
      <c r="N54" s="114"/>
      <c r="O54" s="117">
        <f t="shared" si="30"/>
        <v>0</v>
      </c>
      <c r="P54" s="117">
        <f t="shared" si="31"/>
        <v>0</v>
      </c>
      <c r="Q54" s="118"/>
      <c r="R54" s="118"/>
      <c r="S54" s="117">
        <f t="shared" si="32"/>
        <v>0</v>
      </c>
      <c r="T54" s="117"/>
      <c r="U54" s="117"/>
      <c r="V54" s="117">
        <f t="shared" si="33"/>
        <v>0</v>
      </c>
      <c r="W54" s="118"/>
      <c r="X54" s="118"/>
      <c r="Y54" s="117">
        <f t="shared" si="34"/>
        <v>0</v>
      </c>
      <c r="Z54" s="117">
        <f t="shared" si="35"/>
        <v>0</v>
      </c>
      <c r="AA54" s="119">
        <f t="shared" si="49"/>
        <v>0</v>
      </c>
      <c r="AB54" s="117">
        <f t="shared" si="36"/>
        <v>0</v>
      </c>
      <c r="AC54" s="118"/>
      <c r="AD54" s="119">
        <f t="shared" si="37"/>
        <v>0</v>
      </c>
      <c r="AE54" s="118"/>
      <c r="AF54" s="118"/>
      <c r="AG54" s="118"/>
      <c r="AH54" s="118"/>
      <c r="AI54" s="152">
        <f t="shared" si="38"/>
        <v>0</v>
      </c>
      <c r="AJ54" s="118"/>
      <c r="AK54" s="120">
        <f t="shared" si="39"/>
        <v>0</v>
      </c>
      <c r="AL54" s="121">
        <f t="shared" si="40"/>
        <v>0</v>
      </c>
      <c r="AM54" s="122"/>
      <c r="AN54" s="123">
        <f t="shared" si="41"/>
        <v>0</v>
      </c>
      <c r="AO54" s="124">
        <f t="shared" si="42"/>
        <v>0</v>
      </c>
      <c r="AP54" s="124">
        <f t="shared" si="43"/>
        <v>0</v>
      </c>
      <c r="AQ54" s="124">
        <f t="shared" si="44"/>
        <v>0</v>
      </c>
      <c r="AR54" s="124">
        <f t="shared" si="45"/>
        <v>0</v>
      </c>
      <c r="AS54" s="124">
        <f t="array" ref="AS54">_xlfn.IFS(S54=0,AL54,S54&lt;0,AL54/-S54,S54&gt;0,AL54/S54)</f>
        <v>0</v>
      </c>
      <c r="AT54" s="119">
        <f t="shared" si="46"/>
        <v>0</v>
      </c>
      <c r="AU54" s="119">
        <f t="shared" si="47"/>
        <v>0</v>
      </c>
      <c r="AV54" s="125"/>
      <c r="AW54" s="120">
        <f t="shared" si="48"/>
        <v>0</v>
      </c>
    </row>
    <row r="55" spans="1:49" hidden="1" outlineLevel="1">
      <c r="A55" s="114"/>
      <c r="B55" s="115"/>
      <c r="C55" s="115"/>
      <c r="D55" s="116"/>
      <c r="E55" s="117">
        <f t="shared" si="50"/>
        <v>0</v>
      </c>
      <c r="F55" s="117"/>
      <c r="G55" s="117"/>
      <c r="H55" s="117"/>
      <c r="I55" s="117"/>
      <c r="J55" s="117">
        <f t="shared" si="29"/>
        <v>0</v>
      </c>
      <c r="K55" s="114"/>
      <c r="L55" s="114"/>
      <c r="M55" s="114"/>
      <c r="N55" s="114"/>
      <c r="O55" s="117">
        <f t="shared" si="30"/>
        <v>0</v>
      </c>
      <c r="P55" s="117">
        <f t="shared" si="31"/>
        <v>0</v>
      </c>
      <c r="Q55" s="118"/>
      <c r="R55" s="118"/>
      <c r="S55" s="117">
        <f t="shared" si="32"/>
        <v>0</v>
      </c>
      <c r="T55" s="117"/>
      <c r="U55" s="117"/>
      <c r="V55" s="117">
        <f t="shared" si="33"/>
        <v>0</v>
      </c>
      <c r="W55" s="118"/>
      <c r="X55" s="118"/>
      <c r="Y55" s="117">
        <f t="shared" si="34"/>
        <v>0</v>
      </c>
      <c r="Z55" s="117">
        <f t="shared" si="35"/>
        <v>0</v>
      </c>
      <c r="AA55" s="119">
        <f t="shared" si="49"/>
        <v>0</v>
      </c>
      <c r="AB55" s="117">
        <f t="shared" si="36"/>
        <v>0</v>
      </c>
      <c r="AC55" s="118"/>
      <c r="AD55" s="119">
        <f t="shared" si="37"/>
        <v>0</v>
      </c>
      <c r="AE55" s="118"/>
      <c r="AF55" s="118"/>
      <c r="AG55" s="118"/>
      <c r="AH55" s="118"/>
      <c r="AI55" s="152">
        <f t="shared" si="38"/>
        <v>0</v>
      </c>
      <c r="AJ55" s="118"/>
      <c r="AK55" s="120">
        <f t="shared" si="39"/>
        <v>0</v>
      </c>
      <c r="AL55" s="121">
        <f t="shared" si="40"/>
        <v>0</v>
      </c>
      <c r="AM55" s="122"/>
      <c r="AN55" s="123">
        <f t="shared" si="41"/>
        <v>0</v>
      </c>
      <c r="AO55" s="124">
        <f t="shared" si="42"/>
        <v>0</v>
      </c>
      <c r="AP55" s="124">
        <f t="shared" si="43"/>
        <v>0</v>
      </c>
      <c r="AQ55" s="124">
        <f t="shared" si="44"/>
        <v>0</v>
      </c>
      <c r="AR55" s="124">
        <f t="shared" si="45"/>
        <v>0</v>
      </c>
      <c r="AS55" s="124">
        <f t="array" ref="AS55">_xlfn.IFS(S55=0,AL55,S55&lt;0,AL55/-S55,S55&gt;0,AL55/S55)</f>
        <v>0</v>
      </c>
      <c r="AT55" s="119">
        <f t="shared" si="46"/>
        <v>0</v>
      </c>
      <c r="AU55" s="119">
        <f t="shared" si="47"/>
        <v>0</v>
      </c>
      <c r="AV55" s="125"/>
      <c r="AW55" s="120">
        <f t="shared" si="48"/>
        <v>0</v>
      </c>
    </row>
    <row r="56" spans="1:49" hidden="1" outlineLevel="1">
      <c r="A56" s="114"/>
      <c r="B56" s="115"/>
      <c r="C56" s="115"/>
      <c r="D56" s="116"/>
      <c r="E56" s="117">
        <f t="shared" si="50"/>
        <v>0</v>
      </c>
      <c r="F56" s="117"/>
      <c r="G56" s="117"/>
      <c r="H56" s="117"/>
      <c r="I56" s="117"/>
      <c r="J56" s="117">
        <f t="shared" si="29"/>
        <v>0</v>
      </c>
      <c r="K56" s="114"/>
      <c r="L56" s="114"/>
      <c r="M56" s="114"/>
      <c r="N56" s="114"/>
      <c r="O56" s="117">
        <f t="shared" si="30"/>
        <v>0</v>
      </c>
      <c r="P56" s="117">
        <f t="shared" si="31"/>
        <v>0</v>
      </c>
      <c r="Q56" s="118"/>
      <c r="R56" s="118"/>
      <c r="S56" s="117">
        <f t="shared" si="32"/>
        <v>0</v>
      </c>
      <c r="T56" s="117"/>
      <c r="U56" s="117"/>
      <c r="V56" s="117">
        <f t="shared" si="33"/>
        <v>0</v>
      </c>
      <c r="W56" s="118"/>
      <c r="X56" s="118"/>
      <c r="Y56" s="117">
        <f t="shared" si="34"/>
        <v>0</v>
      </c>
      <c r="Z56" s="117">
        <f t="shared" si="35"/>
        <v>0</v>
      </c>
      <c r="AA56" s="119">
        <f t="shared" si="49"/>
        <v>0</v>
      </c>
      <c r="AB56" s="117">
        <f t="shared" si="36"/>
        <v>0</v>
      </c>
      <c r="AC56" s="118"/>
      <c r="AD56" s="119">
        <f t="shared" si="37"/>
        <v>0</v>
      </c>
      <c r="AE56" s="118"/>
      <c r="AF56" s="118"/>
      <c r="AG56" s="118"/>
      <c r="AH56" s="118"/>
      <c r="AI56" s="152">
        <f t="shared" si="38"/>
        <v>0</v>
      </c>
      <c r="AJ56" s="118"/>
      <c r="AK56" s="120">
        <f t="shared" si="39"/>
        <v>0</v>
      </c>
      <c r="AL56" s="121">
        <f t="shared" si="40"/>
        <v>0</v>
      </c>
      <c r="AM56" s="122"/>
      <c r="AN56" s="123">
        <f t="shared" si="41"/>
        <v>0</v>
      </c>
      <c r="AO56" s="124">
        <f t="shared" si="42"/>
        <v>0</v>
      </c>
      <c r="AP56" s="124">
        <f t="shared" si="43"/>
        <v>0</v>
      </c>
      <c r="AQ56" s="124">
        <f t="shared" si="44"/>
        <v>0</v>
      </c>
      <c r="AR56" s="124">
        <f t="shared" si="45"/>
        <v>0</v>
      </c>
      <c r="AS56" s="124">
        <f t="array" ref="AS56">_xlfn.IFS(S56=0,AL56,S56&lt;0,AL56/-S56,S56&gt;0,AL56/S56)</f>
        <v>0</v>
      </c>
      <c r="AT56" s="119">
        <f t="shared" si="46"/>
        <v>0</v>
      </c>
      <c r="AU56" s="119">
        <f t="shared" si="47"/>
        <v>0</v>
      </c>
      <c r="AV56" s="125"/>
      <c r="AW56" s="120">
        <f t="shared" si="48"/>
        <v>0</v>
      </c>
    </row>
    <row r="57" spans="1:49" hidden="1" outlineLevel="1">
      <c r="A57" s="114"/>
      <c r="B57" s="115"/>
      <c r="C57" s="115"/>
      <c r="D57" s="116"/>
      <c r="E57" s="117">
        <f t="shared" si="50"/>
        <v>0</v>
      </c>
      <c r="F57" s="117"/>
      <c r="G57" s="117"/>
      <c r="H57" s="117"/>
      <c r="I57" s="117"/>
      <c r="J57" s="117">
        <f t="shared" si="29"/>
        <v>0</v>
      </c>
      <c r="K57" s="114"/>
      <c r="L57" s="114"/>
      <c r="M57" s="114"/>
      <c r="N57" s="114"/>
      <c r="O57" s="117">
        <f t="shared" si="30"/>
        <v>0</v>
      </c>
      <c r="P57" s="117">
        <f t="shared" si="31"/>
        <v>0</v>
      </c>
      <c r="Q57" s="118"/>
      <c r="R57" s="118"/>
      <c r="S57" s="117">
        <f t="shared" si="32"/>
        <v>0</v>
      </c>
      <c r="T57" s="117"/>
      <c r="U57" s="117"/>
      <c r="V57" s="117">
        <f t="shared" si="33"/>
        <v>0</v>
      </c>
      <c r="W57" s="118"/>
      <c r="X57" s="118"/>
      <c r="Y57" s="117">
        <f t="shared" si="34"/>
        <v>0</v>
      </c>
      <c r="Z57" s="117">
        <f t="shared" si="35"/>
        <v>0</v>
      </c>
      <c r="AA57" s="119">
        <f t="shared" si="49"/>
        <v>0</v>
      </c>
      <c r="AB57" s="117">
        <f t="shared" si="36"/>
        <v>0</v>
      </c>
      <c r="AC57" s="118"/>
      <c r="AD57" s="119">
        <f t="shared" si="37"/>
        <v>0</v>
      </c>
      <c r="AE57" s="118"/>
      <c r="AF57" s="118"/>
      <c r="AG57" s="118"/>
      <c r="AH57" s="118"/>
      <c r="AI57" s="152">
        <f t="shared" si="38"/>
        <v>0</v>
      </c>
      <c r="AJ57" s="118"/>
      <c r="AK57" s="120">
        <f t="shared" si="39"/>
        <v>0</v>
      </c>
      <c r="AL57" s="121">
        <f t="shared" si="40"/>
        <v>0</v>
      </c>
      <c r="AM57" s="122"/>
      <c r="AN57" s="123">
        <f t="shared" si="41"/>
        <v>0</v>
      </c>
      <c r="AO57" s="124">
        <f t="shared" si="42"/>
        <v>0</v>
      </c>
      <c r="AP57" s="124">
        <f t="shared" si="43"/>
        <v>0</v>
      </c>
      <c r="AQ57" s="124">
        <f t="shared" si="44"/>
        <v>0</v>
      </c>
      <c r="AR57" s="124">
        <f t="shared" si="45"/>
        <v>0</v>
      </c>
      <c r="AS57" s="124">
        <f t="array" ref="AS57">_xlfn.IFS(S57=0,AL57,S57&lt;0,AL57/-S57,S57&gt;0,AL57/S57)</f>
        <v>0</v>
      </c>
      <c r="AT57" s="119">
        <f t="shared" si="46"/>
        <v>0</v>
      </c>
      <c r="AU57" s="119">
        <f t="shared" si="47"/>
        <v>0</v>
      </c>
      <c r="AV57" s="125"/>
      <c r="AW57" s="120">
        <f t="shared" si="48"/>
        <v>0</v>
      </c>
    </row>
    <row r="58" spans="1:49" hidden="1" outlineLevel="1">
      <c r="A58" s="114"/>
      <c r="B58" s="115"/>
      <c r="C58" s="115"/>
      <c r="D58" s="116"/>
      <c r="E58" s="117">
        <f t="shared" si="50"/>
        <v>0</v>
      </c>
      <c r="F58" s="117"/>
      <c r="G58" s="117"/>
      <c r="H58" s="117"/>
      <c r="I58" s="117"/>
      <c r="J58" s="117">
        <f t="shared" si="29"/>
        <v>0</v>
      </c>
      <c r="K58" s="114"/>
      <c r="L58" s="114"/>
      <c r="M58" s="114"/>
      <c r="N58" s="114"/>
      <c r="O58" s="117">
        <f t="shared" si="30"/>
        <v>0</v>
      </c>
      <c r="P58" s="117">
        <f t="shared" si="31"/>
        <v>0</v>
      </c>
      <c r="Q58" s="118"/>
      <c r="R58" s="118"/>
      <c r="S58" s="117">
        <f t="shared" si="32"/>
        <v>0</v>
      </c>
      <c r="T58" s="117"/>
      <c r="U58" s="117"/>
      <c r="V58" s="117">
        <f t="shared" si="33"/>
        <v>0</v>
      </c>
      <c r="W58" s="118"/>
      <c r="X58" s="118"/>
      <c r="Y58" s="117">
        <f t="shared" si="34"/>
        <v>0</v>
      </c>
      <c r="Z58" s="117">
        <f t="shared" si="35"/>
        <v>0</v>
      </c>
      <c r="AA58" s="119">
        <f t="shared" si="49"/>
        <v>0</v>
      </c>
      <c r="AB58" s="117">
        <f t="shared" si="36"/>
        <v>0</v>
      </c>
      <c r="AC58" s="118"/>
      <c r="AD58" s="119">
        <f t="shared" si="37"/>
        <v>0</v>
      </c>
      <c r="AE58" s="118"/>
      <c r="AF58" s="118"/>
      <c r="AG58" s="118"/>
      <c r="AH58" s="118"/>
      <c r="AI58" s="152">
        <f t="shared" si="38"/>
        <v>0</v>
      </c>
      <c r="AJ58" s="118"/>
      <c r="AK58" s="120">
        <f t="shared" si="39"/>
        <v>0</v>
      </c>
      <c r="AL58" s="121">
        <f t="shared" si="40"/>
        <v>0</v>
      </c>
      <c r="AM58" s="122"/>
      <c r="AN58" s="123">
        <f t="shared" si="41"/>
        <v>0</v>
      </c>
      <c r="AO58" s="124">
        <f t="shared" si="42"/>
        <v>0</v>
      </c>
      <c r="AP58" s="124">
        <f t="shared" si="43"/>
        <v>0</v>
      </c>
      <c r="AQ58" s="124">
        <f t="shared" si="44"/>
        <v>0</v>
      </c>
      <c r="AR58" s="124">
        <f t="shared" si="45"/>
        <v>0</v>
      </c>
      <c r="AS58" s="124">
        <f t="array" ref="AS58">_xlfn.IFS(S58=0,AL58,S58&lt;0,AL58/-S58,S58&gt;0,AL58/S58)</f>
        <v>0</v>
      </c>
      <c r="AT58" s="119">
        <f t="shared" si="46"/>
        <v>0</v>
      </c>
      <c r="AU58" s="119">
        <f t="shared" si="47"/>
        <v>0</v>
      </c>
      <c r="AV58" s="125"/>
      <c r="AW58" s="120">
        <f t="shared" si="48"/>
        <v>0</v>
      </c>
    </row>
    <row r="59" spans="1:49" hidden="1" outlineLevel="1">
      <c r="A59" s="114"/>
      <c r="B59" s="115"/>
      <c r="C59" s="115"/>
      <c r="D59" s="116"/>
      <c r="E59" s="117">
        <f t="shared" si="50"/>
        <v>0</v>
      </c>
      <c r="F59" s="117"/>
      <c r="G59" s="117"/>
      <c r="H59" s="117"/>
      <c r="I59" s="117"/>
      <c r="J59" s="117">
        <f t="shared" si="29"/>
        <v>0</v>
      </c>
      <c r="K59" s="114"/>
      <c r="L59" s="114"/>
      <c r="M59" s="114"/>
      <c r="N59" s="114"/>
      <c r="O59" s="117">
        <f t="shared" si="30"/>
        <v>0</v>
      </c>
      <c r="P59" s="117">
        <f t="shared" si="31"/>
        <v>0</v>
      </c>
      <c r="Q59" s="118"/>
      <c r="R59" s="118"/>
      <c r="S59" s="117">
        <f t="shared" si="32"/>
        <v>0</v>
      </c>
      <c r="T59" s="117"/>
      <c r="U59" s="117"/>
      <c r="V59" s="117">
        <f t="shared" si="33"/>
        <v>0</v>
      </c>
      <c r="W59" s="118"/>
      <c r="X59" s="118"/>
      <c r="Y59" s="117">
        <f t="shared" si="34"/>
        <v>0</v>
      </c>
      <c r="Z59" s="117">
        <f t="shared" si="35"/>
        <v>0</v>
      </c>
      <c r="AA59" s="119">
        <f t="shared" si="49"/>
        <v>0</v>
      </c>
      <c r="AB59" s="117">
        <f t="shared" si="36"/>
        <v>0</v>
      </c>
      <c r="AC59" s="118"/>
      <c r="AD59" s="119">
        <f t="shared" si="37"/>
        <v>0</v>
      </c>
      <c r="AE59" s="118"/>
      <c r="AF59" s="118"/>
      <c r="AG59" s="118"/>
      <c r="AH59" s="118"/>
      <c r="AI59" s="152">
        <f t="shared" si="38"/>
        <v>0</v>
      </c>
      <c r="AJ59" s="118"/>
      <c r="AK59" s="120">
        <f t="shared" si="39"/>
        <v>0</v>
      </c>
      <c r="AL59" s="121">
        <f t="shared" si="40"/>
        <v>0</v>
      </c>
      <c r="AM59" s="122"/>
      <c r="AN59" s="123">
        <f t="shared" si="41"/>
        <v>0</v>
      </c>
      <c r="AO59" s="124">
        <f t="shared" si="42"/>
        <v>0</v>
      </c>
      <c r="AP59" s="124">
        <f t="shared" si="43"/>
        <v>0</v>
      </c>
      <c r="AQ59" s="124">
        <f t="shared" si="44"/>
        <v>0</v>
      </c>
      <c r="AR59" s="124">
        <f t="shared" si="45"/>
        <v>0</v>
      </c>
      <c r="AS59" s="124">
        <f t="array" ref="AS59">_xlfn.IFS(S59=0,AL59,S59&lt;0,AL59/-S59,S59&gt;0,AL59/S59)</f>
        <v>0</v>
      </c>
      <c r="AT59" s="119">
        <f t="shared" si="46"/>
        <v>0</v>
      </c>
      <c r="AU59" s="119">
        <f t="shared" si="47"/>
        <v>0</v>
      </c>
      <c r="AV59" s="125"/>
      <c r="AW59" s="120">
        <f t="shared" si="48"/>
        <v>0</v>
      </c>
    </row>
    <row r="60" spans="1:49" hidden="1" outlineLevel="1">
      <c r="A60" s="114"/>
      <c r="B60" s="115"/>
      <c r="C60" s="115"/>
      <c r="D60" s="116"/>
      <c r="E60" s="117">
        <f t="shared" si="50"/>
        <v>0</v>
      </c>
      <c r="F60" s="117"/>
      <c r="G60" s="117"/>
      <c r="H60" s="117"/>
      <c r="I60" s="117"/>
      <c r="J60" s="117">
        <f t="shared" si="29"/>
        <v>0</v>
      </c>
      <c r="K60" s="114"/>
      <c r="L60" s="114"/>
      <c r="M60" s="114"/>
      <c r="N60" s="114"/>
      <c r="O60" s="117">
        <f t="shared" si="30"/>
        <v>0</v>
      </c>
      <c r="P60" s="117">
        <f t="shared" si="31"/>
        <v>0</v>
      </c>
      <c r="Q60" s="118"/>
      <c r="R60" s="118"/>
      <c r="S60" s="117">
        <f t="shared" si="32"/>
        <v>0</v>
      </c>
      <c r="T60" s="117"/>
      <c r="U60" s="117"/>
      <c r="V60" s="117">
        <f t="shared" si="33"/>
        <v>0</v>
      </c>
      <c r="W60" s="118"/>
      <c r="X60" s="118"/>
      <c r="Y60" s="117">
        <f t="shared" si="34"/>
        <v>0</v>
      </c>
      <c r="Z60" s="117">
        <f t="shared" si="35"/>
        <v>0</v>
      </c>
      <c r="AA60" s="119">
        <f t="shared" si="49"/>
        <v>0</v>
      </c>
      <c r="AB60" s="117">
        <f t="shared" si="36"/>
        <v>0</v>
      </c>
      <c r="AC60" s="118"/>
      <c r="AD60" s="119">
        <f t="shared" si="37"/>
        <v>0</v>
      </c>
      <c r="AE60" s="118"/>
      <c r="AF60" s="118"/>
      <c r="AG60" s="118"/>
      <c r="AH60" s="118"/>
      <c r="AI60" s="152">
        <f t="shared" si="38"/>
        <v>0</v>
      </c>
      <c r="AJ60" s="118"/>
      <c r="AK60" s="120">
        <f t="shared" si="39"/>
        <v>0</v>
      </c>
      <c r="AL60" s="121">
        <f t="shared" si="40"/>
        <v>0</v>
      </c>
      <c r="AM60" s="122"/>
      <c r="AN60" s="123">
        <f t="shared" si="41"/>
        <v>0</v>
      </c>
      <c r="AO60" s="124">
        <f t="shared" si="42"/>
        <v>0</v>
      </c>
      <c r="AP60" s="124">
        <f t="shared" si="43"/>
        <v>0</v>
      </c>
      <c r="AQ60" s="124">
        <f t="shared" si="44"/>
        <v>0</v>
      </c>
      <c r="AR60" s="124">
        <f t="shared" si="45"/>
        <v>0</v>
      </c>
      <c r="AS60" s="124">
        <f t="array" ref="AS60">_xlfn.IFS(S60=0,AL60,S60&lt;0,AL60/-S60,S60&gt;0,AL60/S60)</f>
        <v>0</v>
      </c>
      <c r="AT60" s="119">
        <f t="shared" si="46"/>
        <v>0</v>
      </c>
      <c r="AU60" s="119">
        <f t="shared" si="47"/>
        <v>0</v>
      </c>
      <c r="AV60" s="125"/>
      <c r="AW60" s="120">
        <f t="shared" si="48"/>
        <v>0</v>
      </c>
    </row>
    <row r="61" spans="1:49" hidden="1" outlineLevel="1">
      <c r="A61" s="114"/>
      <c r="B61" s="115"/>
      <c r="C61" s="115"/>
      <c r="D61" s="116"/>
      <c r="E61" s="117">
        <f t="shared" si="50"/>
        <v>0</v>
      </c>
      <c r="F61" s="117"/>
      <c r="G61" s="117"/>
      <c r="H61" s="117"/>
      <c r="I61" s="117"/>
      <c r="J61" s="117">
        <f t="shared" si="29"/>
        <v>0</v>
      </c>
      <c r="K61" s="114"/>
      <c r="L61" s="114"/>
      <c r="M61" s="114"/>
      <c r="N61" s="114"/>
      <c r="O61" s="117">
        <f t="shared" si="30"/>
        <v>0</v>
      </c>
      <c r="P61" s="117">
        <f t="shared" si="31"/>
        <v>0</v>
      </c>
      <c r="Q61" s="118"/>
      <c r="R61" s="118"/>
      <c r="S61" s="117">
        <f t="shared" si="32"/>
        <v>0</v>
      </c>
      <c r="T61" s="117"/>
      <c r="U61" s="117"/>
      <c r="V61" s="117">
        <f t="shared" si="33"/>
        <v>0</v>
      </c>
      <c r="W61" s="118"/>
      <c r="X61" s="118"/>
      <c r="Y61" s="117">
        <f t="shared" si="34"/>
        <v>0</v>
      </c>
      <c r="Z61" s="117">
        <f t="shared" si="35"/>
        <v>0</v>
      </c>
      <c r="AA61" s="119">
        <f t="shared" si="49"/>
        <v>0</v>
      </c>
      <c r="AB61" s="117">
        <f t="shared" si="36"/>
        <v>0</v>
      </c>
      <c r="AC61" s="118"/>
      <c r="AD61" s="119">
        <f t="shared" si="37"/>
        <v>0</v>
      </c>
      <c r="AE61" s="118"/>
      <c r="AF61" s="118"/>
      <c r="AG61" s="118"/>
      <c r="AH61" s="118"/>
      <c r="AI61" s="152">
        <f t="shared" si="38"/>
        <v>0</v>
      </c>
      <c r="AJ61" s="118"/>
      <c r="AK61" s="120">
        <f t="shared" si="39"/>
        <v>0</v>
      </c>
      <c r="AL61" s="121">
        <f t="shared" si="40"/>
        <v>0</v>
      </c>
      <c r="AM61" s="122"/>
      <c r="AN61" s="123">
        <f t="shared" si="41"/>
        <v>0</v>
      </c>
      <c r="AO61" s="124">
        <f t="shared" si="42"/>
        <v>0</v>
      </c>
      <c r="AP61" s="124">
        <f t="shared" si="43"/>
        <v>0</v>
      </c>
      <c r="AQ61" s="124">
        <f t="shared" si="44"/>
        <v>0</v>
      </c>
      <c r="AR61" s="124">
        <f t="shared" si="45"/>
        <v>0</v>
      </c>
      <c r="AS61" s="124">
        <f t="array" ref="AS61">_xlfn.IFS(S61=0,AL61,S61&lt;0,AL61/-S61,S61&gt;0,AL61/S61)</f>
        <v>0</v>
      </c>
      <c r="AT61" s="119">
        <f t="shared" si="46"/>
        <v>0</v>
      </c>
      <c r="AU61" s="119">
        <f t="shared" si="47"/>
        <v>0</v>
      </c>
      <c r="AV61" s="125"/>
      <c r="AW61" s="120">
        <f t="shared" si="48"/>
        <v>0</v>
      </c>
    </row>
    <row r="62" spans="1:49" hidden="1" outlineLevel="1">
      <c r="A62" s="114"/>
      <c r="B62" s="115"/>
      <c r="C62" s="115"/>
      <c r="D62" s="116"/>
      <c r="E62" s="117">
        <f t="shared" si="50"/>
        <v>0</v>
      </c>
      <c r="F62" s="117"/>
      <c r="G62" s="117"/>
      <c r="H62" s="117"/>
      <c r="I62" s="117"/>
      <c r="J62" s="117">
        <f t="shared" si="29"/>
        <v>0</v>
      </c>
      <c r="K62" s="114"/>
      <c r="L62" s="114"/>
      <c r="M62" s="114"/>
      <c r="N62" s="114"/>
      <c r="O62" s="117">
        <f t="shared" si="30"/>
        <v>0</v>
      </c>
      <c r="P62" s="117">
        <f t="shared" si="31"/>
        <v>0</v>
      </c>
      <c r="Q62" s="118"/>
      <c r="R62" s="118"/>
      <c r="S62" s="117">
        <f t="shared" si="32"/>
        <v>0</v>
      </c>
      <c r="T62" s="117"/>
      <c r="U62" s="117"/>
      <c r="V62" s="117">
        <f t="shared" si="33"/>
        <v>0</v>
      </c>
      <c r="W62" s="118"/>
      <c r="X62" s="118"/>
      <c r="Y62" s="117">
        <f t="shared" si="34"/>
        <v>0</v>
      </c>
      <c r="Z62" s="117">
        <f t="shared" si="35"/>
        <v>0</v>
      </c>
      <c r="AA62" s="119">
        <f t="shared" si="49"/>
        <v>0</v>
      </c>
      <c r="AB62" s="117">
        <f t="shared" si="36"/>
        <v>0</v>
      </c>
      <c r="AC62" s="118"/>
      <c r="AD62" s="119">
        <f t="shared" si="37"/>
        <v>0</v>
      </c>
      <c r="AE62" s="118"/>
      <c r="AF62" s="118"/>
      <c r="AG62" s="118"/>
      <c r="AH62" s="118"/>
      <c r="AI62" s="152">
        <f t="shared" si="38"/>
        <v>0</v>
      </c>
      <c r="AJ62" s="118"/>
      <c r="AK62" s="120">
        <f t="shared" si="39"/>
        <v>0</v>
      </c>
      <c r="AL62" s="121">
        <f t="shared" si="40"/>
        <v>0</v>
      </c>
      <c r="AM62" s="122"/>
      <c r="AN62" s="123">
        <f t="shared" si="41"/>
        <v>0</v>
      </c>
      <c r="AO62" s="124">
        <f t="shared" si="42"/>
        <v>0</v>
      </c>
      <c r="AP62" s="124">
        <f t="shared" si="43"/>
        <v>0</v>
      </c>
      <c r="AQ62" s="124">
        <f t="shared" si="44"/>
        <v>0</v>
      </c>
      <c r="AR62" s="124">
        <f t="shared" si="45"/>
        <v>0</v>
      </c>
      <c r="AS62" s="124">
        <f t="array" ref="AS62">_xlfn.IFS(S62=0,AL62,S62&lt;0,AL62/-S62,S62&gt;0,AL62/S62)</f>
        <v>0</v>
      </c>
      <c r="AT62" s="119">
        <f t="shared" si="46"/>
        <v>0</v>
      </c>
      <c r="AU62" s="119">
        <f t="shared" si="47"/>
        <v>0</v>
      </c>
      <c r="AV62" s="125"/>
      <c r="AW62" s="120">
        <f t="shared" si="48"/>
        <v>0</v>
      </c>
    </row>
    <row r="63" spans="1:49" hidden="1" outlineLevel="1">
      <c r="A63" s="114"/>
      <c r="B63" s="115"/>
      <c r="C63" s="115"/>
      <c r="D63" s="149"/>
      <c r="E63" s="118">
        <f t="shared" si="50"/>
        <v>0</v>
      </c>
      <c r="F63" s="117"/>
      <c r="G63" s="117"/>
      <c r="H63" s="117"/>
      <c r="I63" s="117"/>
      <c r="J63" s="117">
        <f t="shared" si="29"/>
        <v>0</v>
      </c>
      <c r="K63" s="114"/>
      <c r="L63" s="114"/>
      <c r="M63" s="114"/>
      <c r="N63" s="114"/>
      <c r="O63" s="117">
        <f t="shared" si="30"/>
        <v>0</v>
      </c>
      <c r="P63" s="117">
        <f t="shared" si="31"/>
        <v>0</v>
      </c>
      <c r="Q63" s="118"/>
      <c r="R63" s="118"/>
      <c r="S63" s="117">
        <f t="shared" si="32"/>
        <v>0</v>
      </c>
      <c r="T63" s="117"/>
      <c r="U63" s="117"/>
      <c r="V63" s="117">
        <f t="shared" si="33"/>
        <v>0</v>
      </c>
      <c r="W63" s="118"/>
      <c r="X63" s="118"/>
      <c r="Y63" s="117">
        <f t="shared" si="34"/>
        <v>0</v>
      </c>
      <c r="Z63" s="117">
        <f t="shared" si="35"/>
        <v>0</v>
      </c>
      <c r="AA63" s="119">
        <f t="shared" si="49"/>
        <v>0</v>
      </c>
      <c r="AB63" s="117">
        <f t="shared" si="36"/>
        <v>0</v>
      </c>
      <c r="AC63" s="118"/>
      <c r="AD63" s="119">
        <f t="shared" si="37"/>
        <v>0</v>
      </c>
      <c r="AE63" s="118"/>
      <c r="AF63" s="118"/>
      <c r="AG63" s="118"/>
      <c r="AH63" s="118"/>
      <c r="AI63" s="152">
        <f t="shared" si="38"/>
        <v>0</v>
      </c>
      <c r="AJ63" s="118"/>
      <c r="AK63" s="120">
        <f t="shared" si="39"/>
        <v>0</v>
      </c>
      <c r="AL63" s="121">
        <f t="shared" si="40"/>
        <v>0</v>
      </c>
      <c r="AM63" s="122"/>
      <c r="AN63" s="123">
        <f t="shared" si="41"/>
        <v>0</v>
      </c>
      <c r="AO63" s="124">
        <f t="shared" si="42"/>
        <v>0</v>
      </c>
      <c r="AP63" s="124">
        <f t="shared" si="43"/>
        <v>0</v>
      </c>
      <c r="AQ63" s="124">
        <f t="shared" si="44"/>
        <v>0</v>
      </c>
      <c r="AR63" s="124">
        <f t="shared" si="45"/>
        <v>0</v>
      </c>
      <c r="AS63" s="124">
        <f t="array" ref="AS63">_xlfn.IFS(S63=0,AL63,S63&lt;0,AL63/-S63,S63&gt;0,AL63/S63)</f>
        <v>0</v>
      </c>
      <c r="AT63" s="119">
        <f t="shared" si="46"/>
        <v>0</v>
      </c>
      <c r="AU63" s="119">
        <f t="shared" si="47"/>
        <v>0</v>
      </c>
      <c r="AV63" s="125"/>
      <c r="AW63" s="120">
        <f t="shared" si="48"/>
        <v>0</v>
      </c>
    </row>
    <row r="64" spans="1:49" hidden="1" outlineLevel="1">
      <c r="A64" s="114"/>
      <c r="B64" s="115"/>
      <c r="C64" s="115"/>
      <c r="D64" s="149"/>
      <c r="E64" s="118">
        <f t="shared" si="50"/>
        <v>0</v>
      </c>
      <c r="F64" s="117"/>
      <c r="G64" s="117"/>
      <c r="H64" s="117"/>
      <c r="I64" s="117"/>
      <c r="J64" s="117">
        <f t="shared" si="29"/>
        <v>0</v>
      </c>
      <c r="K64" s="114"/>
      <c r="L64" s="114"/>
      <c r="M64" s="114"/>
      <c r="N64" s="114"/>
      <c r="O64" s="117">
        <f t="shared" si="30"/>
        <v>0</v>
      </c>
      <c r="P64" s="117">
        <f t="shared" si="31"/>
        <v>0</v>
      </c>
      <c r="Q64" s="118"/>
      <c r="R64" s="118"/>
      <c r="S64" s="117">
        <f t="shared" si="32"/>
        <v>0</v>
      </c>
      <c r="T64" s="117"/>
      <c r="U64" s="117"/>
      <c r="V64" s="117">
        <f t="shared" si="33"/>
        <v>0</v>
      </c>
      <c r="W64" s="118"/>
      <c r="X64" s="118"/>
      <c r="Y64" s="117">
        <f t="shared" si="34"/>
        <v>0</v>
      </c>
      <c r="Z64" s="117">
        <f t="shared" si="35"/>
        <v>0</v>
      </c>
      <c r="AA64" s="119">
        <f t="shared" si="49"/>
        <v>0</v>
      </c>
      <c r="AB64" s="117">
        <f t="shared" si="36"/>
        <v>0</v>
      </c>
      <c r="AC64" s="118"/>
      <c r="AD64" s="119">
        <f t="shared" si="37"/>
        <v>0</v>
      </c>
      <c r="AE64" s="118"/>
      <c r="AF64" s="118"/>
      <c r="AG64" s="118"/>
      <c r="AH64" s="118"/>
      <c r="AI64" s="152">
        <f t="shared" si="38"/>
        <v>0</v>
      </c>
      <c r="AJ64" s="118"/>
      <c r="AK64" s="120">
        <f t="shared" si="39"/>
        <v>0</v>
      </c>
      <c r="AL64" s="121">
        <f t="shared" si="40"/>
        <v>0</v>
      </c>
      <c r="AM64" s="122"/>
      <c r="AN64" s="123">
        <f t="shared" si="41"/>
        <v>0</v>
      </c>
      <c r="AO64" s="124">
        <f t="shared" si="42"/>
        <v>0</v>
      </c>
      <c r="AP64" s="124">
        <f t="shared" si="43"/>
        <v>0</v>
      </c>
      <c r="AQ64" s="124">
        <f t="shared" si="44"/>
        <v>0</v>
      </c>
      <c r="AR64" s="124">
        <f t="shared" si="45"/>
        <v>0</v>
      </c>
      <c r="AS64" s="124">
        <f t="array" ref="AS64">_xlfn.IFS(S64=0,AL64,S64&lt;0,AL64/-S64,S64&gt;0,AL64/S64)</f>
        <v>0</v>
      </c>
      <c r="AT64" s="119">
        <f t="shared" si="46"/>
        <v>0</v>
      </c>
      <c r="AU64" s="119">
        <f t="shared" si="47"/>
        <v>0</v>
      </c>
      <c r="AV64" s="125"/>
      <c r="AW64" s="120">
        <f t="shared" si="48"/>
        <v>0</v>
      </c>
    </row>
    <row r="65" spans="1:49" hidden="1" outlineLevel="1">
      <c r="A65" s="114"/>
      <c r="B65" s="115"/>
      <c r="C65" s="115"/>
      <c r="D65" s="149"/>
      <c r="E65" s="118">
        <f t="shared" si="50"/>
        <v>0</v>
      </c>
      <c r="F65" s="117"/>
      <c r="G65" s="117"/>
      <c r="H65" s="117"/>
      <c r="I65" s="117"/>
      <c r="J65" s="117">
        <f t="shared" si="29"/>
        <v>0</v>
      </c>
      <c r="K65" s="114"/>
      <c r="L65" s="114"/>
      <c r="M65" s="114"/>
      <c r="N65" s="114"/>
      <c r="O65" s="117">
        <f t="shared" si="30"/>
        <v>0</v>
      </c>
      <c r="P65" s="117">
        <f t="shared" si="31"/>
        <v>0</v>
      </c>
      <c r="Q65" s="118"/>
      <c r="R65" s="118"/>
      <c r="S65" s="117">
        <f t="shared" si="32"/>
        <v>0</v>
      </c>
      <c r="T65" s="117"/>
      <c r="U65" s="117"/>
      <c r="V65" s="117">
        <f t="shared" si="33"/>
        <v>0</v>
      </c>
      <c r="W65" s="118"/>
      <c r="X65" s="118"/>
      <c r="Y65" s="117">
        <f t="shared" si="34"/>
        <v>0</v>
      </c>
      <c r="Z65" s="117">
        <f t="shared" si="35"/>
        <v>0</v>
      </c>
      <c r="AA65" s="119">
        <f t="shared" si="49"/>
        <v>0</v>
      </c>
      <c r="AB65" s="117">
        <f t="shared" si="36"/>
        <v>0</v>
      </c>
      <c r="AC65" s="118"/>
      <c r="AD65" s="119">
        <f t="shared" si="37"/>
        <v>0</v>
      </c>
      <c r="AE65" s="118"/>
      <c r="AF65" s="118"/>
      <c r="AG65" s="118"/>
      <c r="AH65" s="118"/>
      <c r="AI65" s="152">
        <f t="shared" si="38"/>
        <v>0</v>
      </c>
      <c r="AJ65" s="118"/>
      <c r="AK65" s="120">
        <f t="shared" si="39"/>
        <v>0</v>
      </c>
      <c r="AL65" s="121">
        <f t="shared" si="40"/>
        <v>0</v>
      </c>
      <c r="AM65" s="122"/>
      <c r="AN65" s="123">
        <f t="shared" si="41"/>
        <v>0</v>
      </c>
      <c r="AO65" s="124">
        <f t="shared" si="42"/>
        <v>0</v>
      </c>
      <c r="AP65" s="124">
        <f t="shared" si="43"/>
        <v>0</v>
      </c>
      <c r="AQ65" s="124">
        <f t="shared" si="44"/>
        <v>0</v>
      </c>
      <c r="AR65" s="124">
        <f t="shared" si="45"/>
        <v>0</v>
      </c>
      <c r="AS65" s="124">
        <f t="array" ref="AS65">_xlfn.IFS(S65=0,AL65,S65&lt;0,AL65/-S65,S65&gt;0,AL65/S65)</f>
        <v>0</v>
      </c>
      <c r="AT65" s="119">
        <f t="shared" si="46"/>
        <v>0</v>
      </c>
      <c r="AU65" s="119">
        <f t="shared" si="47"/>
        <v>0</v>
      </c>
      <c r="AV65" s="125"/>
      <c r="AW65" s="120">
        <f t="shared" si="48"/>
        <v>0</v>
      </c>
    </row>
    <row r="66" spans="1:49" hidden="1" outlineLevel="1">
      <c r="A66" s="114"/>
      <c r="B66" s="115"/>
      <c r="C66" s="115"/>
      <c r="D66" s="149"/>
      <c r="E66" s="118">
        <f t="shared" si="50"/>
        <v>0</v>
      </c>
      <c r="F66" s="117"/>
      <c r="G66" s="117"/>
      <c r="H66" s="117"/>
      <c r="I66" s="117"/>
      <c r="J66" s="117">
        <f t="shared" si="29"/>
        <v>0</v>
      </c>
      <c r="K66" s="114"/>
      <c r="L66" s="114"/>
      <c r="M66" s="114"/>
      <c r="N66" s="114"/>
      <c r="O66" s="117">
        <f t="shared" si="30"/>
        <v>0</v>
      </c>
      <c r="P66" s="117">
        <f t="shared" si="31"/>
        <v>0</v>
      </c>
      <c r="Q66" s="118"/>
      <c r="R66" s="118"/>
      <c r="S66" s="117">
        <f t="shared" si="32"/>
        <v>0</v>
      </c>
      <c r="T66" s="117"/>
      <c r="U66" s="117"/>
      <c r="V66" s="117">
        <f t="shared" si="33"/>
        <v>0</v>
      </c>
      <c r="W66" s="118"/>
      <c r="X66" s="118"/>
      <c r="Y66" s="117">
        <f t="shared" si="34"/>
        <v>0</v>
      </c>
      <c r="Z66" s="117">
        <f>L66*M66*N66/100</f>
        <v>0</v>
      </c>
      <c r="AA66" s="119">
        <f t="shared" si="49"/>
        <v>0</v>
      </c>
      <c r="AB66" s="117">
        <f t="shared" si="36"/>
        <v>0</v>
      </c>
      <c r="AC66" s="118"/>
      <c r="AD66" s="119">
        <f t="shared" si="37"/>
        <v>0</v>
      </c>
      <c r="AE66" s="118"/>
      <c r="AF66" s="118"/>
      <c r="AG66" s="118"/>
      <c r="AH66" s="118"/>
      <c r="AI66" s="152">
        <f t="shared" si="38"/>
        <v>0</v>
      </c>
      <c r="AJ66" s="118"/>
      <c r="AK66" s="120">
        <f t="shared" si="39"/>
        <v>0</v>
      </c>
      <c r="AL66" s="121">
        <f t="shared" si="40"/>
        <v>0</v>
      </c>
      <c r="AM66" s="122"/>
      <c r="AN66" s="123">
        <f t="shared" si="41"/>
        <v>0</v>
      </c>
      <c r="AO66" s="124">
        <f t="shared" si="42"/>
        <v>0</v>
      </c>
      <c r="AP66" s="124">
        <f t="shared" si="43"/>
        <v>0</v>
      </c>
      <c r="AQ66" s="124">
        <f t="shared" si="44"/>
        <v>0</v>
      </c>
      <c r="AR66" s="124">
        <f t="shared" si="45"/>
        <v>0</v>
      </c>
      <c r="AS66" s="124">
        <f t="array" ref="AS66">_xlfn.IFS(S66=0,AL66,S66&lt;0,AL66/-S66,S66&gt;0,AL66/S66)</f>
        <v>0</v>
      </c>
      <c r="AT66" s="119">
        <f t="shared" si="46"/>
        <v>0</v>
      </c>
      <c r="AU66" s="119">
        <f t="shared" si="47"/>
        <v>0</v>
      </c>
      <c r="AV66" s="125"/>
      <c r="AW66" s="120">
        <f t="shared" si="48"/>
        <v>0</v>
      </c>
    </row>
    <row r="67" spans="1:49" hidden="1" outlineLevel="1">
      <c r="A67" s="114"/>
      <c r="B67" s="115"/>
      <c r="C67" s="115"/>
      <c r="D67" s="149"/>
      <c r="E67" s="118">
        <f t="shared" si="50"/>
        <v>0</v>
      </c>
      <c r="F67" s="117"/>
      <c r="G67" s="117"/>
      <c r="H67" s="117"/>
      <c r="I67" s="117"/>
      <c r="J67" s="117">
        <f t="shared" si="29"/>
        <v>0</v>
      </c>
      <c r="K67" s="114"/>
      <c r="L67" s="114"/>
      <c r="M67" s="114"/>
      <c r="N67" s="114"/>
      <c r="O67" s="117">
        <f t="shared" si="30"/>
        <v>0</v>
      </c>
      <c r="P67" s="117">
        <f t="shared" si="31"/>
        <v>0</v>
      </c>
      <c r="Q67" s="118"/>
      <c r="R67" s="118"/>
      <c r="S67" s="117">
        <f t="shared" si="32"/>
        <v>0</v>
      </c>
      <c r="T67" s="117"/>
      <c r="U67" s="117"/>
      <c r="V67" s="117">
        <f t="shared" si="33"/>
        <v>0</v>
      </c>
      <c r="W67" s="118"/>
      <c r="X67" s="118"/>
      <c r="Y67" s="117">
        <f t="shared" si="34"/>
        <v>0</v>
      </c>
      <c r="Z67" s="117">
        <f t="shared" ref="Z67:Z70" si="51">L67*M67*N67/100</f>
        <v>0</v>
      </c>
      <c r="AA67" s="119">
        <f t="shared" si="49"/>
        <v>0</v>
      </c>
      <c r="AB67" s="117">
        <f t="shared" si="36"/>
        <v>0</v>
      </c>
      <c r="AC67" s="118"/>
      <c r="AD67" s="119">
        <f t="shared" si="37"/>
        <v>0</v>
      </c>
      <c r="AE67" s="118"/>
      <c r="AF67" s="118"/>
      <c r="AG67" s="118"/>
      <c r="AH67" s="118"/>
      <c r="AI67" s="152">
        <f t="shared" si="38"/>
        <v>0</v>
      </c>
      <c r="AJ67" s="118"/>
      <c r="AK67" s="120">
        <f t="shared" si="39"/>
        <v>0</v>
      </c>
      <c r="AL67" s="121">
        <f t="shared" si="40"/>
        <v>0</v>
      </c>
      <c r="AM67" s="122"/>
      <c r="AN67" s="123">
        <f t="shared" si="41"/>
        <v>0</v>
      </c>
      <c r="AO67" s="124">
        <f t="shared" si="42"/>
        <v>0</v>
      </c>
      <c r="AP67" s="124">
        <f t="shared" si="43"/>
        <v>0</v>
      </c>
      <c r="AQ67" s="124">
        <f t="shared" si="44"/>
        <v>0</v>
      </c>
      <c r="AR67" s="124">
        <f t="shared" si="45"/>
        <v>0</v>
      </c>
      <c r="AS67" s="124">
        <f t="array" ref="AS67">_xlfn.IFS(S67=0,AL67,S67&lt;0,AL67/-S67,S67&gt;0,AL67/S67)</f>
        <v>0</v>
      </c>
      <c r="AT67" s="119">
        <f t="shared" si="46"/>
        <v>0</v>
      </c>
      <c r="AU67" s="119">
        <f t="shared" si="47"/>
        <v>0</v>
      </c>
      <c r="AV67" s="125"/>
      <c r="AW67" s="120">
        <f t="shared" si="48"/>
        <v>0</v>
      </c>
    </row>
    <row r="68" spans="1:49" hidden="1" outlineLevel="1">
      <c r="A68" s="114"/>
      <c r="B68" s="115"/>
      <c r="C68" s="115"/>
      <c r="D68" s="116"/>
      <c r="E68" s="117">
        <f t="shared" si="50"/>
        <v>0</v>
      </c>
      <c r="F68" s="117"/>
      <c r="G68" s="117"/>
      <c r="H68" s="117"/>
      <c r="I68" s="117"/>
      <c r="J68" s="117">
        <f t="shared" si="29"/>
        <v>0</v>
      </c>
      <c r="K68" s="114"/>
      <c r="L68" s="114"/>
      <c r="M68" s="114"/>
      <c r="N68" s="114"/>
      <c r="O68" s="117">
        <f t="shared" si="30"/>
        <v>0</v>
      </c>
      <c r="P68" s="117">
        <f t="shared" si="31"/>
        <v>0</v>
      </c>
      <c r="Q68" s="118"/>
      <c r="R68" s="118"/>
      <c r="S68" s="117">
        <f t="shared" si="32"/>
        <v>0</v>
      </c>
      <c r="T68" s="117"/>
      <c r="U68" s="117"/>
      <c r="V68" s="117">
        <f t="shared" si="33"/>
        <v>0</v>
      </c>
      <c r="W68" s="118"/>
      <c r="X68" s="118"/>
      <c r="Y68" s="117">
        <f t="shared" si="34"/>
        <v>0</v>
      </c>
      <c r="Z68" s="117">
        <f t="shared" si="51"/>
        <v>0</v>
      </c>
      <c r="AA68" s="119">
        <f t="shared" si="49"/>
        <v>0</v>
      </c>
      <c r="AB68" s="117">
        <f t="shared" si="36"/>
        <v>0</v>
      </c>
      <c r="AC68" s="118"/>
      <c r="AD68" s="119">
        <f t="shared" si="37"/>
        <v>0</v>
      </c>
      <c r="AE68" s="118"/>
      <c r="AF68" s="118"/>
      <c r="AG68" s="118"/>
      <c r="AH68" s="118"/>
      <c r="AI68" s="152">
        <f t="shared" si="38"/>
        <v>0</v>
      </c>
      <c r="AJ68" s="118"/>
      <c r="AK68" s="120">
        <f t="shared" si="39"/>
        <v>0</v>
      </c>
      <c r="AL68" s="121">
        <f t="shared" si="40"/>
        <v>0</v>
      </c>
      <c r="AM68" s="122"/>
      <c r="AN68" s="123">
        <f t="shared" si="41"/>
        <v>0</v>
      </c>
      <c r="AO68" s="124">
        <f t="shared" si="42"/>
        <v>0</v>
      </c>
      <c r="AP68" s="124">
        <f t="shared" si="43"/>
        <v>0</v>
      </c>
      <c r="AQ68" s="124">
        <f t="shared" si="44"/>
        <v>0</v>
      </c>
      <c r="AR68" s="124">
        <f t="shared" si="45"/>
        <v>0</v>
      </c>
      <c r="AS68" s="124">
        <f t="array" ref="AS68">_xlfn.IFS(S68=0,AL68,S68&lt;0,AL68/-S68,S68&gt;0,AL68/S68)</f>
        <v>0</v>
      </c>
      <c r="AT68" s="119">
        <f t="shared" si="46"/>
        <v>0</v>
      </c>
      <c r="AU68" s="119">
        <f t="shared" si="47"/>
        <v>0</v>
      </c>
      <c r="AV68" s="125"/>
      <c r="AW68" s="120">
        <f t="shared" si="48"/>
        <v>0</v>
      </c>
    </row>
    <row r="69" spans="1:49" hidden="1" outlineLevel="1">
      <c r="A69" s="114"/>
      <c r="B69" s="115"/>
      <c r="C69" s="115"/>
      <c r="D69" s="116"/>
      <c r="E69" s="117">
        <f t="shared" si="50"/>
        <v>0</v>
      </c>
      <c r="F69" s="117"/>
      <c r="G69" s="117"/>
      <c r="H69" s="117"/>
      <c r="I69" s="117"/>
      <c r="J69" s="117">
        <f t="shared" si="29"/>
        <v>0</v>
      </c>
      <c r="K69" s="114"/>
      <c r="L69" s="114"/>
      <c r="M69" s="114"/>
      <c r="N69" s="114"/>
      <c r="O69" s="117">
        <f t="shared" si="30"/>
        <v>0</v>
      </c>
      <c r="P69" s="117">
        <f t="shared" si="31"/>
        <v>0</v>
      </c>
      <c r="Q69" s="118"/>
      <c r="R69" s="118"/>
      <c r="S69" s="117">
        <f t="shared" si="32"/>
        <v>0</v>
      </c>
      <c r="T69" s="117"/>
      <c r="U69" s="117"/>
      <c r="V69" s="117">
        <f t="shared" si="33"/>
        <v>0</v>
      </c>
      <c r="W69" s="118"/>
      <c r="X69" s="118"/>
      <c r="Y69" s="117">
        <f t="shared" si="34"/>
        <v>0</v>
      </c>
      <c r="Z69" s="117">
        <f t="shared" si="51"/>
        <v>0</v>
      </c>
      <c r="AA69" s="119">
        <f t="shared" si="49"/>
        <v>0</v>
      </c>
      <c r="AB69" s="117">
        <f t="shared" si="36"/>
        <v>0</v>
      </c>
      <c r="AC69" s="118"/>
      <c r="AD69" s="119">
        <f t="shared" si="37"/>
        <v>0</v>
      </c>
      <c r="AE69" s="118"/>
      <c r="AF69" s="118"/>
      <c r="AG69" s="118"/>
      <c r="AH69" s="118"/>
      <c r="AI69" s="152">
        <f t="shared" si="38"/>
        <v>0</v>
      </c>
      <c r="AJ69" s="118"/>
      <c r="AK69" s="120">
        <f t="shared" si="39"/>
        <v>0</v>
      </c>
      <c r="AL69" s="121">
        <f t="shared" si="40"/>
        <v>0</v>
      </c>
      <c r="AM69" s="122"/>
      <c r="AN69" s="123">
        <f t="shared" si="41"/>
        <v>0</v>
      </c>
      <c r="AO69" s="124">
        <f t="shared" si="42"/>
        <v>0</v>
      </c>
      <c r="AP69" s="124">
        <f t="shared" si="43"/>
        <v>0</v>
      </c>
      <c r="AQ69" s="124">
        <f t="shared" si="44"/>
        <v>0</v>
      </c>
      <c r="AR69" s="124">
        <f t="shared" si="45"/>
        <v>0</v>
      </c>
      <c r="AS69" s="124">
        <f t="array" ref="AS69">_xlfn.IFS(S69=0,AL69,S69&lt;0,AL69/-S69,S69&gt;0,AL69/S69)</f>
        <v>0</v>
      </c>
      <c r="AT69" s="119">
        <f t="shared" si="46"/>
        <v>0</v>
      </c>
      <c r="AU69" s="119">
        <f t="shared" si="47"/>
        <v>0</v>
      </c>
      <c r="AV69" s="125"/>
      <c r="AW69" s="120">
        <f t="shared" si="48"/>
        <v>0</v>
      </c>
    </row>
    <row r="70" spans="1:49" hidden="1" outlineLevel="1">
      <c r="A70" s="114"/>
      <c r="B70" s="115"/>
      <c r="C70" s="115"/>
      <c r="D70" s="116"/>
      <c r="E70" s="117">
        <f t="shared" si="50"/>
        <v>0</v>
      </c>
      <c r="F70" s="117"/>
      <c r="G70" s="117"/>
      <c r="H70" s="117"/>
      <c r="I70" s="117"/>
      <c r="J70" s="117">
        <f t="shared" si="29"/>
        <v>0</v>
      </c>
      <c r="K70" s="114"/>
      <c r="L70" s="114"/>
      <c r="M70" s="114"/>
      <c r="N70" s="114"/>
      <c r="O70" s="117">
        <f t="shared" si="30"/>
        <v>0</v>
      </c>
      <c r="P70" s="117">
        <f t="shared" si="31"/>
        <v>0</v>
      </c>
      <c r="Q70" s="118"/>
      <c r="R70" s="118"/>
      <c r="S70" s="117">
        <f t="shared" si="32"/>
        <v>0</v>
      </c>
      <c r="T70" s="117"/>
      <c r="U70" s="117"/>
      <c r="V70" s="117">
        <f t="shared" si="33"/>
        <v>0</v>
      </c>
      <c r="W70" s="118"/>
      <c r="X70" s="118"/>
      <c r="Y70" s="117">
        <f t="shared" si="34"/>
        <v>0</v>
      </c>
      <c r="Z70" s="117">
        <f t="shared" si="51"/>
        <v>0</v>
      </c>
      <c r="AA70" s="119">
        <f t="shared" si="49"/>
        <v>0</v>
      </c>
      <c r="AB70" s="117">
        <f t="shared" si="36"/>
        <v>0</v>
      </c>
      <c r="AC70" s="118"/>
      <c r="AD70" s="119">
        <f t="shared" si="37"/>
        <v>0</v>
      </c>
      <c r="AE70" s="118"/>
      <c r="AF70" s="118"/>
      <c r="AG70" s="118"/>
      <c r="AH70" s="118"/>
      <c r="AI70" s="152">
        <f t="shared" si="38"/>
        <v>0</v>
      </c>
      <c r="AJ70" s="118"/>
      <c r="AK70" s="120">
        <f t="shared" si="39"/>
        <v>0</v>
      </c>
      <c r="AL70" s="121">
        <f t="shared" si="40"/>
        <v>0</v>
      </c>
      <c r="AM70" s="122"/>
      <c r="AN70" s="123">
        <f t="shared" si="41"/>
        <v>0</v>
      </c>
      <c r="AO70" s="124">
        <f t="shared" si="42"/>
        <v>0</v>
      </c>
      <c r="AP70" s="124">
        <f t="shared" si="43"/>
        <v>0</v>
      </c>
      <c r="AQ70" s="124">
        <f t="shared" si="44"/>
        <v>0</v>
      </c>
      <c r="AR70" s="124">
        <f t="shared" si="45"/>
        <v>0</v>
      </c>
      <c r="AS70" s="124">
        <f t="array" ref="AS70">_xlfn.IFS(S70=0,AL70,S70&lt;0,AL70/-S70,S70&gt;0,AL70/S70)</f>
        <v>0</v>
      </c>
      <c r="AT70" s="119">
        <f t="shared" si="46"/>
        <v>0</v>
      </c>
      <c r="AU70" s="119">
        <f t="shared" si="47"/>
        <v>0</v>
      </c>
      <c r="AV70" s="125"/>
      <c r="AW70" s="120">
        <f t="shared" si="48"/>
        <v>0</v>
      </c>
    </row>
    <row r="71" spans="1:49" collapsed="1">
      <c r="A71" s="158"/>
      <c r="B71" s="126"/>
      <c r="C71" s="114"/>
      <c r="D71" s="158"/>
      <c r="E71" s="117"/>
      <c r="F71" s="117"/>
      <c r="G71" s="117"/>
      <c r="H71" s="117"/>
      <c r="I71" s="117"/>
      <c r="J71" s="117"/>
      <c r="K71" s="159"/>
      <c r="L71" s="160"/>
      <c r="M71" s="160"/>
      <c r="N71" s="160"/>
      <c r="O71" s="159"/>
      <c r="P71" s="159"/>
      <c r="Q71" s="117"/>
      <c r="R71" s="117"/>
      <c r="S71" s="117"/>
      <c r="T71" s="117"/>
      <c r="U71" s="117"/>
      <c r="V71" s="117"/>
      <c r="W71" s="117"/>
      <c r="X71" s="117"/>
      <c r="Y71" s="117"/>
      <c r="Z71" s="117"/>
      <c r="AA71" s="119"/>
      <c r="AB71" s="117"/>
      <c r="AC71" s="117"/>
      <c r="AD71" s="119"/>
      <c r="AE71" s="117"/>
      <c r="AF71" s="118"/>
      <c r="AG71" s="118"/>
      <c r="AH71" s="118"/>
      <c r="AI71" s="152"/>
      <c r="AJ71" s="118"/>
      <c r="AK71" s="120"/>
      <c r="AL71" s="121"/>
      <c r="AM71" s="122"/>
      <c r="AN71" s="161">
        <f>AVERAGE(AN19:AN70)</f>
        <v>0</v>
      </c>
      <c r="AO71" s="161">
        <f t="shared" ref="AO71:AU71" si="52">AVERAGE(AO19:AO70)</f>
        <v>0</v>
      </c>
      <c r="AP71" s="161">
        <f t="shared" si="52"/>
        <v>0</v>
      </c>
      <c r="AQ71" s="161">
        <f t="shared" si="52"/>
        <v>0</v>
      </c>
      <c r="AR71" s="161">
        <f t="shared" si="52"/>
        <v>0</v>
      </c>
      <c r="AS71" s="161">
        <f t="shared" si="52"/>
        <v>0</v>
      </c>
      <c r="AT71" s="162">
        <f t="shared" si="52"/>
        <v>0</v>
      </c>
      <c r="AU71" s="162">
        <f t="shared" si="52"/>
        <v>0</v>
      </c>
      <c r="AV71" s="125"/>
      <c r="AW71" s="120"/>
    </row>
    <row r="72" spans="1:49" s="171" customFormat="1" ht="15" customHeight="1">
      <c r="A72" s="163" t="s">
        <v>107</v>
      </c>
      <c r="B72" s="164"/>
      <c r="C72" s="165"/>
      <c r="D72" s="165"/>
      <c r="E72" s="165">
        <f>SUM(E19:E70)</f>
        <v>0</v>
      </c>
      <c r="F72" s="165">
        <f>SUM(F19:F70)</f>
        <v>0</v>
      </c>
      <c r="G72" s="165">
        <f>SUM(G19:G70)</f>
        <v>0</v>
      </c>
      <c r="H72" s="165">
        <f>SUM(H19:H70)</f>
        <v>0</v>
      </c>
      <c r="I72" s="165"/>
      <c r="J72" s="165">
        <f>SUM(J19:J70)</f>
        <v>0</v>
      </c>
      <c r="K72" s="165"/>
      <c r="L72" s="165">
        <f>SUM(L19:L70)</f>
        <v>0</v>
      </c>
      <c r="M72" s="165"/>
      <c r="N72" s="165"/>
      <c r="O72" s="165"/>
      <c r="P72" s="165"/>
      <c r="Q72" s="165">
        <f t="shared" ref="Q72:AC72" si="53">SUM(Q19:Q70)</f>
        <v>0</v>
      </c>
      <c r="R72" s="165">
        <f t="shared" si="53"/>
        <v>0</v>
      </c>
      <c r="S72" s="165">
        <f t="shared" si="53"/>
        <v>0</v>
      </c>
      <c r="T72" s="165">
        <f t="shared" si="53"/>
        <v>0</v>
      </c>
      <c r="U72" s="165">
        <f t="shared" si="53"/>
        <v>0</v>
      </c>
      <c r="V72" s="165">
        <f t="shared" si="53"/>
        <v>0</v>
      </c>
      <c r="W72" s="165">
        <f t="shared" si="53"/>
        <v>0</v>
      </c>
      <c r="X72" s="165">
        <f t="shared" si="53"/>
        <v>0</v>
      </c>
      <c r="Y72" s="165">
        <f t="shared" si="53"/>
        <v>0</v>
      </c>
      <c r="Z72" s="165">
        <f t="shared" si="53"/>
        <v>0</v>
      </c>
      <c r="AA72" s="166">
        <f t="shared" si="53"/>
        <v>0</v>
      </c>
      <c r="AB72" s="167">
        <f t="shared" si="53"/>
        <v>0</v>
      </c>
      <c r="AC72" s="165">
        <f t="shared" si="53"/>
        <v>0</v>
      </c>
      <c r="AD72" s="166" t="e">
        <f>AC72/Y72</f>
        <v>#DIV/0!</v>
      </c>
      <c r="AE72" s="165">
        <f t="shared" ref="AE72:AK72" si="54">SUM(AE19:AE70)</f>
        <v>0</v>
      </c>
      <c r="AF72" s="165">
        <f t="shared" si="54"/>
        <v>0</v>
      </c>
      <c r="AG72" s="165">
        <f>SUM(AG19:AG70)</f>
        <v>0</v>
      </c>
      <c r="AH72" s="165">
        <f>SUM(AH19:AH70)</f>
        <v>0</v>
      </c>
      <c r="AI72" s="168">
        <f>SUM(AI19:AI70)</f>
        <v>0</v>
      </c>
      <c r="AJ72" s="165">
        <f t="shared" si="54"/>
        <v>0</v>
      </c>
      <c r="AK72" s="165">
        <f t="shared" si="54"/>
        <v>0</v>
      </c>
      <c r="AL72" s="165">
        <f>SUM(AL19:AL70)</f>
        <v>0</v>
      </c>
      <c r="AM72" s="169"/>
      <c r="AN72" s="165"/>
      <c r="AO72" s="165"/>
      <c r="AP72" s="165"/>
      <c r="AQ72" s="165"/>
      <c r="AR72" s="165" t="e">
        <f>(AF72+AG72)/Q72</f>
        <v>#DIV/0!</v>
      </c>
      <c r="AS72" s="165"/>
      <c r="AT72" s="165"/>
      <c r="AU72" s="165"/>
      <c r="AV72" s="170"/>
      <c r="AW72" s="165">
        <f>SUM(AW19:AW70)</f>
        <v>0</v>
      </c>
    </row>
    <row r="73" spans="1:49" s="175" customFormat="1">
      <c r="A73" s="172"/>
      <c r="B73" s="173"/>
      <c r="C73" s="174"/>
      <c r="D73" s="174"/>
      <c r="L73" s="176"/>
      <c r="M73" s="176"/>
      <c r="N73" s="176"/>
      <c r="P73" s="177"/>
      <c r="Q73" s="178"/>
      <c r="R73" s="178"/>
      <c r="S73" s="179"/>
      <c r="T73" s="179"/>
      <c r="U73" s="179"/>
      <c r="V73" s="179"/>
      <c r="W73" s="178"/>
      <c r="X73" s="179"/>
      <c r="Y73" s="179"/>
      <c r="Z73" s="179"/>
      <c r="AC73" s="180"/>
      <c r="AE73" s="178"/>
      <c r="AF73" s="347"/>
      <c r="AG73" s="347"/>
      <c r="AH73" s="237"/>
      <c r="AI73" s="182"/>
      <c r="AJ73" s="183"/>
      <c r="AM73" s="184"/>
      <c r="AN73" s="176"/>
      <c r="AO73" s="176"/>
      <c r="AP73" s="176"/>
      <c r="AQ73" s="176"/>
      <c r="AR73" s="176"/>
      <c r="AS73" s="176"/>
      <c r="AT73" s="176"/>
      <c r="AU73" s="176"/>
      <c r="AV73" s="185"/>
    </row>
    <row r="74" spans="1:49" s="194" customFormat="1">
      <c r="A74" s="186" t="s">
        <v>7</v>
      </c>
      <c r="B74" s="187"/>
      <c r="C74" s="188"/>
      <c r="D74" s="188"/>
      <c r="E74" s="188">
        <f t="shared" ref="E74:AC74" si="55">E17+E72</f>
        <v>0</v>
      </c>
      <c r="F74" s="188">
        <f t="shared" si="55"/>
        <v>0</v>
      </c>
      <c r="G74" s="188">
        <f t="shared" si="55"/>
        <v>0</v>
      </c>
      <c r="H74" s="188">
        <f t="shared" si="55"/>
        <v>2500</v>
      </c>
      <c r="I74" s="188">
        <f t="shared" si="55"/>
        <v>0</v>
      </c>
      <c r="J74" s="188">
        <f t="shared" si="55"/>
        <v>0</v>
      </c>
      <c r="K74" s="188">
        <f t="shared" si="55"/>
        <v>0</v>
      </c>
      <c r="L74" s="188">
        <f t="shared" si="55"/>
        <v>66</v>
      </c>
      <c r="M74" s="188">
        <f t="shared" si="55"/>
        <v>0</v>
      </c>
      <c r="N74" s="188">
        <f t="shared" si="55"/>
        <v>0</v>
      </c>
      <c r="O74" s="188">
        <f t="shared" si="55"/>
        <v>0</v>
      </c>
      <c r="P74" s="188">
        <f t="shared" si="55"/>
        <v>0</v>
      </c>
      <c r="Q74" s="188">
        <f t="shared" si="55"/>
        <v>45</v>
      </c>
      <c r="R74" s="188">
        <f t="shared" si="55"/>
        <v>0</v>
      </c>
      <c r="S74" s="188">
        <f t="shared" si="55"/>
        <v>45</v>
      </c>
      <c r="T74" s="188">
        <f t="shared" si="55"/>
        <v>46145.63</v>
      </c>
      <c r="U74" s="188">
        <f t="shared" si="55"/>
        <v>0</v>
      </c>
      <c r="V74" s="188">
        <f t="shared" si="55"/>
        <v>46145.63</v>
      </c>
      <c r="W74" s="188">
        <f t="shared" si="55"/>
        <v>54988.62000000001</v>
      </c>
      <c r="X74" s="188">
        <f t="shared" si="55"/>
        <v>0</v>
      </c>
      <c r="Y74" s="188">
        <f t="shared" si="55"/>
        <v>54988.62000000001</v>
      </c>
      <c r="Z74" s="188">
        <f t="shared" si="55"/>
        <v>47981.62</v>
      </c>
      <c r="AA74" s="189">
        <f t="shared" si="55"/>
        <v>1</v>
      </c>
      <c r="AB74" s="190">
        <f t="shared" si="55"/>
        <v>5712.2100000000009</v>
      </c>
      <c r="AC74" s="188">
        <f t="shared" si="55"/>
        <v>19854.220000000008</v>
      </c>
      <c r="AD74" s="189">
        <f>AC74/Y74</f>
        <v>0.36106052488678575</v>
      </c>
      <c r="AE74" s="190">
        <f>AE17+AE72</f>
        <v>4543.050000000002</v>
      </c>
      <c r="AF74" s="191">
        <f>AF17+AF72</f>
        <v>0</v>
      </c>
      <c r="AG74" s="191">
        <f>AG17+AG72</f>
        <v>4738</v>
      </c>
      <c r="AH74" s="191">
        <f>AH17+AH72</f>
        <v>0</v>
      </c>
      <c r="AI74" s="192">
        <v>1049.6300000000001</v>
      </c>
      <c r="AJ74" s="188">
        <f>AJ17+AJ72</f>
        <v>0</v>
      </c>
      <c r="AK74" s="188">
        <f>AK17+AK72</f>
        <v>461.45629999999994</v>
      </c>
      <c r="AL74" s="188">
        <f>AL17+AL72</f>
        <v>18630.053699999997</v>
      </c>
      <c r="AM74" s="188"/>
      <c r="AN74" s="188"/>
      <c r="AO74" s="188"/>
      <c r="AP74" s="188"/>
      <c r="AQ74" s="188"/>
      <c r="AR74" s="188">
        <f>(AF74+AG74)/Q74</f>
        <v>105.28888888888889</v>
      </c>
      <c r="AS74" s="188"/>
      <c r="AT74" s="188"/>
      <c r="AU74" s="188"/>
      <c r="AV74" s="193"/>
      <c r="AW74" s="188">
        <f>AW17+AW72</f>
        <v>0</v>
      </c>
    </row>
    <row r="75" spans="1:49" s="175" customFormat="1">
      <c r="A75" s="174"/>
      <c r="B75" s="173"/>
      <c r="C75" s="195"/>
      <c r="D75" s="174"/>
      <c r="L75" s="176"/>
      <c r="M75" s="176"/>
      <c r="N75" s="176"/>
      <c r="P75" s="177"/>
      <c r="Q75" s="178"/>
      <c r="R75" s="178"/>
      <c r="S75" s="179"/>
      <c r="T75" s="179"/>
      <c r="U75" s="179"/>
      <c r="V75" s="179"/>
      <c r="W75" s="178"/>
      <c r="X75" s="179"/>
      <c r="Y75" s="179"/>
      <c r="Z75" s="179"/>
      <c r="AC75" s="180"/>
      <c r="AE75" s="196"/>
      <c r="AF75" s="347">
        <f>AF18+AF73</f>
        <v>0</v>
      </c>
      <c r="AG75" s="347"/>
      <c r="AH75" s="237"/>
      <c r="AI75" s="182"/>
      <c r="AJ75" s="183"/>
      <c r="AM75" s="184"/>
      <c r="AN75" s="184"/>
      <c r="AO75" s="184"/>
      <c r="AP75" s="184"/>
      <c r="AQ75" s="184"/>
      <c r="AR75" s="184"/>
      <c r="AS75" s="184"/>
      <c r="AT75" s="184"/>
      <c r="AU75" s="184"/>
      <c r="AV75" s="185"/>
    </row>
    <row r="76" spans="1:49">
      <c r="C76" s="198"/>
      <c r="D76" s="198"/>
    </row>
    <row r="77" spans="1:49">
      <c r="C77" s="198"/>
      <c r="D77" s="198"/>
    </row>
  </sheetData>
  <mergeCells count="10">
    <mergeCell ref="AN1:AU1"/>
    <mergeCell ref="AF18:AG18"/>
    <mergeCell ref="AF73:AG73"/>
    <mergeCell ref="AF75:AG75"/>
    <mergeCell ref="F1:H1"/>
    <mergeCell ref="L1:N1"/>
    <mergeCell ref="Q1:R1"/>
    <mergeCell ref="T1:U1"/>
    <mergeCell ref="W1:X1"/>
    <mergeCell ref="AF1:AG1"/>
  </mergeCells>
  <conditionalFormatting sqref="K71:M71 K18:K70 K3:K16">
    <cfRule type="cellIs" dxfId="3" priority="4" operator="greaterThan">
      <formula>120</formula>
    </cfRule>
  </conditionalFormatting>
  <conditionalFormatting sqref="O71">
    <cfRule type="cellIs" dxfId="2" priority="3" operator="between">
      <formula>0.000001</formula>
      <formula>25</formula>
    </cfRule>
  </conditionalFormatting>
  <conditionalFormatting sqref="AA73 AA75:AA1048576">
    <cfRule type="cellIs" dxfId="1" priority="5" operator="greaterThan">
      <formula>0.23</formula>
    </cfRule>
  </conditionalFormatting>
  <conditionalFormatting sqref="Y18:AA71 Y3:AA16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{D8DBECD7-0D32-4A85-97B5-07EEDA94D01C}</x14:id>
        </ext>
      </extLst>
    </cfRule>
  </conditionalFormatting>
  <conditionalFormatting sqref="AS18:AS70 AS3:AS15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{5234A49C-01CA-42BA-94AD-AF008EA90C9D}</x14:id>
        </ext>
      </extLst>
    </cfRule>
  </conditionalFormatting>
  <conditionalFormatting sqref="AT18:AU70 AT3:AU15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{7331E4BD-5AAC-49A2-B917-6CCAD4CD7C72}</x14:id>
        </ext>
      </extLst>
    </cfRule>
  </conditionalFormatting>
  <conditionalFormatting sqref="AW18:AW71 AW3:AW16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{84E239DC-4843-451B-8B28-F08859CDA475}</x14:id>
        </ext>
      </extLst>
    </cfRule>
  </conditionalFormatting>
  <conditionalFormatting sqref="AA18:AA70 AA3:AA16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{8DBF1328-FB75-4B3A-A3E9-A0A42D5211BA}</x14:id>
        </ext>
      </extLst>
    </cfRule>
  </conditionalFormatting>
  <conditionalFormatting sqref="AW18:AW70 AW3:AW16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{7B5B1C07-9118-478F-A22C-E12CBFC933A1}</x14:id>
        </ext>
      </extLst>
    </cfRule>
  </conditionalFormatting>
  <conditionalFormatting sqref="AL18:AL71 AL3:AL16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{23741012-C1C3-4037-8A7A-9EB44DECB209}</x14:id>
        </ext>
      </extLst>
    </cfRule>
  </conditionalFormatting>
  <conditionalFormatting sqref="AL18:AL70 AL3:AL16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{71BA05A8-4041-4855-BA75-85B06507D35A}</x14:id>
        </ext>
      </extLst>
    </cfRule>
  </conditionalFormatting>
  <conditionalFormatting sqref="AA1">
    <cfRule type="cellIs" dxfId="0" priority="1" operator="greaterThan">
      <formula>0.23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8DBECD7-0D32-4A85-97B5-07EEDA94D01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Y18:AA71 Y3:AA16</xm:sqref>
        </x14:conditionalFormatting>
        <x14:conditionalFormatting xmlns:xm="http://schemas.microsoft.com/office/excel/2006/main">
          <x14:cfRule type="dataBar" id="{5234A49C-01CA-42BA-94AD-AF008EA90C9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AS18:AS70 AS3:AS15</xm:sqref>
        </x14:conditionalFormatting>
        <x14:conditionalFormatting xmlns:xm="http://schemas.microsoft.com/office/excel/2006/main">
          <x14:cfRule type="dataBar" id="{7331E4BD-5AAC-49A2-B917-6CCAD4CD7C7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AT18:AU70 AT3:AU15</xm:sqref>
        </x14:conditionalFormatting>
        <x14:conditionalFormatting xmlns:xm="http://schemas.microsoft.com/office/excel/2006/main">
          <x14:cfRule type="dataBar" id="{84E239DC-4843-451B-8B28-F08859CDA47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AW18:AW71 AW3:AW16</xm:sqref>
        </x14:conditionalFormatting>
        <x14:conditionalFormatting xmlns:xm="http://schemas.microsoft.com/office/excel/2006/main">
          <x14:cfRule type="dataBar" id="{8DBF1328-FB75-4B3A-A3E9-A0A42D5211B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AA18:AA70 AA3:AA16</xm:sqref>
        </x14:conditionalFormatting>
        <x14:conditionalFormatting xmlns:xm="http://schemas.microsoft.com/office/excel/2006/main">
          <x14:cfRule type="dataBar" id="{7B5B1C07-9118-478F-A22C-E12CBFC933A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AW18:AW70 AW3:AW16</xm:sqref>
        </x14:conditionalFormatting>
        <x14:conditionalFormatting xmlns:xm="http://schemas.microsoft.com/office/excel/2006/main">
          <x14:cfRule type="dataBar" id="{23741012-C1C3-4037-8A7A-9EB44DECB20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AL18:AL71 AL3:AL16</xm:sqref>
        </x14:conditionalFormatting>
        <x14:conditionalFormatting xmlns:xm="http://schemas.microsoft.com/office/excel/2006/main">
          <x14:cfRule type="dataBar" id="{71BA05A8-4041-4855-BA75-85B06507D35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AL18:AL70 AL3:AL16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22</vt:i4>
      </vt:variant>
    </vt:vector>
  </HeadingPairs>
  <TitlesOfParts>
    <vt:vector size="22" baseType="lpstr">
      <vt:lpstr>Реклама</vt:lpstr>
      <vt:lpstr>Сводная</vt:lpstr>
      <vt:lpstr>АВС 8</vt:lpstr>
      <vt:lpstr>АВС 7</vt:lpstr>
      <vt:lpstr>АВС 6</vt:lpstr>
      <vt:lpstr>АВС ЯНВАРЬ</vt:lpstr>
      <vt:lpstr>АВС 5</vt:lpstr>
      <vt:lpstr>АВС 4</vt:lpstr>
      <vt:lpstr>АВС 3</vt:lpstr>
      <vt:lpstr>АВС 2</vt:lpstr>
      <vt:lpstr>АВС 1</vt:lpstr>
      <vt:lpstr>ФЕВРАЛЬ</vt:lpstr>
      <vt:lpstr>Юнит 9</vt:lpstr>
      <vt:lpstr>Юнит 8</vt:lpstr>
      <vt:lpstr>Юнит 7</vt:lpstr>
      <vt:lpstr>Юнит 6</vt:lpstr>
      <vt:lpstr>ЯНВАРЬ</vt:lpstr>
      <vt:lpstr>Юнит 5</vt:lpstr>
      <vt:lpstr>Юнит 4</vt:lpstr>
      <vt:lpstr>Юнит 3</vt:lpstr>
      <vt:lpstr>Юнит 2</vt:lpstr>
      <vt:lpstr>Юнит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Гульнара</dc:creator>
  <cp:lastModifiedBy>Гульнара</cp:lastModifiedBy>
  <dcterms:created xsi:type="dcterms:W3CDTF">2015-06-05T18:19:34Z</dcterms:created>
  <dcterms:modified xsi:type="dcterms:W3CDTF">2026-02-16T12:37:11Z</dcterms:modified>
</cp:coreProperties>
</file>